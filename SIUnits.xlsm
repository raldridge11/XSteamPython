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w_ph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<sst xmlns="http://schemas.openxmlformats.org/spreadsheetml/2006/main" count="524" uniqueCount="251">
  <si>
    <t xml:space="preserve">X Steam Tables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</si>
  <si>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</si>
  <si>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</si>
  <si>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</si>
  <si>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</si>
  <si>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</si>
  <si>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</si>
  <si>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</si>
  <si>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</si>
  <si>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</si>
  <si>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°C</t>
  </si>
  <si>
    <t xml:space="preserve">Pressure</t>
  </si>
  <si>
    <t xml:space="preserve">kPa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</si>
  <si>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</si>
  <si>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</si>
  <si>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</si>
  <si>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</si>
  <si>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kJ/kg</t>
  </si>
  <si>
    <t xml:space="preserve">Density</t>
  </si>
  <si>
    <t xml:space="preserve">kg/m3</t>
  </si>
  <si>
    <t xml:space="preserve">Entropy</t>
  </si>
  <si>
    <t xml:space="preserve">kJ/kgK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</si>
  <si>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</si>
  <si>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</si>
  <si>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</si>
  <si>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</si>
  <si>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</si>
  <si>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</si>
  <si>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</si>
  <si>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</si>
  <si>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</si>
  <si>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</si>
  <si>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</si>
  <si>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</si>
  <si>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</si>
  <si>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</si>
  <si>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m/s</t>
  </si>
  <si>
    <t xml:space="preserve">v2.5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</si>
  <si>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</si>
  <si>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</si>
  <si>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</si>
  <si>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</si>
  <si>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</si>
  <si>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</si>
  <si>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 T_ph</t>
  </si>
  <si>
    <t xml:space="preserve">Temperture as a function of pressure and enthalpy</t>
  </si>
  <si>
    <t xml:space="preserve"> T_ps</t>
  </si>
  <si>
    <t xml:space="preserve">kJ/(kg K)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</si>
  <si>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</si>
  <si>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</si>
  <si>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</si>
  <si>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</si>
  <si>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bar</t>
  </si>
  <si>
    <t xml:space="preserve"> p_hs</t>
  </si>
  <si>
    <t xml:space="preserve">Pressure as a function of h and s. </t>
  </si>
  <si>
    <t xml:space="preserve"> p_hrho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</si>
  <si>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</si>
  <si>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</si>
  <si>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</si>
  <si>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</si>
  <si>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</si>
  <si>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</si>
  <si>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</si>
  <si>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</si>
  <si>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</si>
  <si>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</si>
  <si>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</si>
  <si>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</si>
  <si>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</si>
  <si>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</si>
  <si>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</si>
  <si>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</si>
  <si>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</si>
  <si>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</si>
  <si>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</si>
  <si>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m3/kg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</si>
  <si>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</si>
  <si>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</si>
  <si>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</si>
  <si>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</si>
  <si>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</si>
  <si>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</si>
  <si>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</si>
  <si>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</si>
  <si>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</si>
  <si>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</si>
  <si>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</si>
  <si>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</si>
  <si>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</si>
  <si>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</si>
  <si>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</si>
  <si>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</si>
  <si>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</si>
  <si>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</si>
  <si>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</si>
  <si>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</si>
  <si>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</si>
  <si>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</si>
  <si>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</si>
  <si>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</si>
  <si>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</si>
  <si>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</si>
  <si>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</si>
  <si>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</si>
  <si>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</si>
  <si>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</si>
  <si>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</si>
  <si>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</si>
  <si>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</si>
  <si>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</si>
  <si>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</si>
  <si>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</si>
  <si>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</si>
  <si>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</si>
  <si>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</si>
  <si>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</si>
  <si>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</si>
  <si>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</si>
  <si>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</si>
  <si>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</si>
  <si>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</si>
  <si>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</si>
  <si>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</si>
  <si>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</si>
  <si>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</si>
  <si>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kJ/(kg°C)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</si>
  <si>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</si>
  <si>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</si>
  <si>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</si>
  <si>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</si>
  <si>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</si>
  <si>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</si>
  <si>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</si>
  <si>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</si>
  <si>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</si>
  <si>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</si>
  <si>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</si>
  <si>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</si>
  <si>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</si>
  <si>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</si>
  <si>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</si>
  <si>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</si>
  <si>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</si>
  <si>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</si>
  <si>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</si>
  <si>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</si>
  <si>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</si>
  <si>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</si>
  <si>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</si>
  <si>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</si>
  <si>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</si>
  <si>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</si>
  <si>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</si>
  <si>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</si>
  <si>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</si>
  <si>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</si>
  <si>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</si>
  <si>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</si>
  <si>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</si>
  <si>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</si>
  <si>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</si>
  <si>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</si>
  <si>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</si>
  <si>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</si>
  <si>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"Revised Release on the IAPWS Formulation 1985 for the Viscosity of Ordinary Water Substance",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</si>
  <si>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</si>
  <si>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</si>
  <si>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Pa s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</si>
  <si>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</si>
  <si>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</si>
  <si>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</si>
  <si>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</si>
  <si>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</si>
  <si>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</si>
  <si>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</si>
  <si>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</si>
  <si>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</si>
  <si>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</si>
  <si>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</si>
  <si>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</si>
  <si>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</si>
  <si>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W/(m K)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</si>
  <si>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</si>
  <si>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</si>
  <si>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</si>
  <si>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</si>
  <si>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</si>
  <si>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</si>
  <si>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</si>
  <si>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</si>
  <si>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</si>
  <si>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</si>
  <si>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</si>
  <si>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</si>
  <si>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</si>
  <si>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</si>
  <si>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N/m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</si>
  <si>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</si>
  <si>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</si>
  <si>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</si>
  <si>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</si>
  <si>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</si>
  <si>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</si>
  <si>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</si>
  <si>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</si>
  <si>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</si>
  <si>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</si>
  <si>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</si>
  <si>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</si>
  <si>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</si>
  <si>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</si>
  <si>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</si>
  <si>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</si>
  <si>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</si>
  <si>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</si>
  <si>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</si>
  <si>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* ToSIUnit for h_ps region 4. (No effect in SI unit version).</t>
  </si>
  <si>
    <t xml:space="preserve">News in V2.4</t>
  </si>
  <si>
    <t xml:space="preserve">* Functions by p,rho inplemented in matlab also.</t>
  </si>
  <si>
    <t xml:space="preserve">* Many missing ; in matlab causing printouts detected.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</si>
  <si>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</si>
  <si>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</si>
  <si>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</si>
  <si>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</si>
  <si>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</si>
  <si>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</si>
  <si>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</si>
  <si>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</si>
  <si>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</si>
  <si>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</si>
  <si>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</si>
  <si>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</si>
  <si>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</si>
  <si>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</si>
  <si>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</si>
  <si>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</si>
  <si>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</si>
  <si>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</si>
  <si>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</si>
  <si>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</si>
  <si>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</si>
  <si>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</si>
  <si>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</si>
  <si>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</si>
  <si>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</si>
  <si>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</si>
  <si>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T2</t>
  </si>
  <si>
    <t xml:space="preserve">h</t>
  </si>
  <si>
    <t xml:space="preserve">rho</t>
  </si>
  <si>
    <t xml:space="preserve">x</t>
  </si>
  <si>
    <t xml:space="preserve">w(p,t)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</si>
</sst>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</numFmts>
  <fonts count="1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4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8FFFF"/>
      </patternFill>
    </fill>
    <fill>
      <patternFill patternType="solid">
        <fgColor rgb="FFD8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3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3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1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8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0" activeCellId="0" sqref="H40"/>
    </sheetView>
  </sheetViews>
  <sheetFormatPr defaultRowHeight="12.75" zeroHeight="false" outlineLevelRow="0" outlineLevelCol="0"/>
  <cols>
    <col collapsed="false" customWidth="true" hidden="false" outlineLevel="0" max="1" min="1" style="1" width="2.57"/>
    <col collapsed="false" customWidth="true" hidden="false" outlineLevel="0" max="2" min="2" style="1" width="20.98"/>
    <col collapsed="false" customWidth="true" hidden="false" outlineLevel="0" max="4" min="3" style="1" width="9.13"/>
    <col collapsed="false" customWidth="true" hidden="false" outlineLevel="0" max="5" min="5" style="1" width="4.71"/>
    <col collapsed="false" customWidth="true" hidden="false" outlineLevel="0" max="6" min="6" style="1" width="20.71"/>
    <col collapsed="false" customWidth="true" hidden="false" outlineLevel="0" max="256" min="7" style="1" width="9.13"/>
    <col collapsed="false" customWidth="true" hidden="false" outlineLevel="0" max="257" min="257" style="1" width="2.57"/>
    <col collapsed="false" customWidth="true" hidden="false" outlineLevel="0" max="258" min="258" style="1" width="20.98"/>
    <col collapsed="false" customWidth="true" hidden="false" outlineLevel="0" max="260" min="259" style="1" width="9.13"/>
    <col collapsed="false" customWidth="true" hidden="false" outlineLevel="0" max="261" min="261" style="1" width="4.71"/>
    <col collapsed="false" customWidth="true" hidden="false" outlineLevel="0" max="262" min="262" style="1" width="20.71"/>
    <col collapsed="false" customWidth="true" hidden="false" outlineLevel="0" max="512" min="263" style="1" width="9.13"/>
    <col collapsed="false" customWidth="true" hidden="false" outlineLevel="0" max="513" min="513" style="1" width="2.57"/>
    <col collapsed="false" customWidth="true" hidden="false" outlineLevel="0" max="514" min="514" style="1" width="20.98"/>
    <col collapsed="false" customWidth="true" hidden="false" outlineLevel="0" max="516" min="515" style="1" width="9.13"/>
    <col collapsed="false" customWidth="true" hidden="false" outlineLevel="0" max="517" min="517" style="1" width="4.71"/>
    <col collapsed="false" customWidth="true" hidden="false" outlineLevel="0" max="518" min="518" style="1" width="20.71"/>
    <col collapsed="false" customWidth="true" hidden="false" outlineLevel="0" max="768" min="519" style="1" width="9.13"/>
    <col collapsed="false" customWidth="true" hidden="false" outlineLevel="0" max="769" min="769" style="1" width="2.57"/>
    <col collapsed="false" customWidth="true" hidden="false" outlineLevel="0" max="770" min="770" style="1" width="20.98"/>
    <col collapsed="false" customWidth="true" hidden="false" outlineLevel="0" max="772" min="771" style="1" width="9.13"/>
    <col collapsed="false" customWidth="true" hidden="false" outlineLevel="0" max="773" min="773" style="1" width="4.71"/>
    <col collapsed="false" customWidth="true" hidden="false" outlineLevel="0" max="774" min="774" style="1" width="20.71"/>
    <col collapsed="false" customWidth="true" hidden="false" outlineLevel="0" max="1025" min="775" style="1" width="9.13"/>
  </cols>
  <sheetData>
    <row r="1" customFormat="false" ht="18" hidden="false" customHeight="false" outlineLevel="0" collapsed="false">
      <c r="B1" s="2" t="s">
        <v>0</v>
      </c>
    </row>
    <row r="2" s="3" customFormat="true" ht="12.75" hidden="false" customHeight="false" outlineLevel="0" collapsed="false">
      <c r="B2" s="4" t="s">
        <v>1</v>
      </c>
      <c r="D2" s="4" t="s">
        <v>2</v>
      </c>
    </row>
    <row r="3" s="3" customFormat="true" ht="12.75" hidden="false" customHeight="false" outlineLevel="0" collapsed="false">
      <c r="B3" s="4" t="s">
        <v>3</v>
      </c>
      <c r="D3" s="4" t="s">
        <v>4</v>
      </c>
      <c r="H3" s="5"/>
      <c r="I3" s="5"/>
    </row>
    <row r="4" customFormat="false" ht="12.75" hidden="false" customHeight="false" outlineLevel="0" collapsed="false">
      <c r="B4" s="6" t="s">
        <v>5</v>
      </c>
      <c r="D4" s="4" t="s">
        <v>6</v>
      </c>
      <c r="H4" s="5"/>
      <c r="I4" s="5"/>
      <c r="J4" s="3"/>
    </row>
    <row r="5" customFormat="false" ht="12.75" hidden="false" customHeight="false" outlineLevel="0" collapsed="false">
      <c r="B5" s="7"/>
      <c r="H5" s="5"/>
      <c r="I5" s="5"/>
      <c r="J5" s="3"/>
    </row>
    <row r="6" customFormat="false" ht="12.75" hidden="false" customHeight="false" outlineLevel="0" collapsed="false">
      <c r="B6" s="8" t="s">
        <v>7</v>
      </c>
      <c r="C6" s="9"/>
      <c r="D6" s="9"/>
      <c r="E6" s="9"/>
      <c r="F6" s="8" t="s">
        <v>8</v>
      </c>
      <c r="G6" s="9"/>
      <c r="H6" s="9"/>
    </row>
    <row r="7" customFormat="false" ht="12.75" hidden="false" customHeight="false" outlineLevel="0" collapsed="false">
      <c r="A7" s="9"/>
      <c r="B7" s="10" t="s">
        <v>9</v>
      </c>
      <c r="C7" s="11" t="n">
        <v>100</v>
      </c>
      <c r="D7" s="12" t="s">
        <v>10</v>
      </c>
      <c r="E7" s="9"/>
      <c r="F7" s="10" t="s">
        <v>11</v>
      </c>
      <c r="G7" s="13" t="n">
        <v>12.57</v>
      </c>
      <c r="H7" s="12" t="s">
        <v>12</v>
      </c>
      <c r="I7" s="9"/>
    </row>
    <row r="8" customFormat="false" ht="12.75" hidden="false" customHeight="false" outlineLevel="0" collapsed="false">
      <c r="A8" s="9"/>
      <c r="B8" s="14" t="s">
        <v>13</v>
      </c>
      <c r="C8" s="15" t="n">
        <f aca="false">PSAT_T(C7)</f>
        <v>101.41797792131</v>
      </c>
      <c r="D8" s="16" t="s">
        <v>12</v>
      </c>
      <c r="E8" s="9"/>
      <c r="F8" s="14" t="s">
        <v>14</v>
      </c>
      <c r="G8" s="17" t="n">
        <f aca="false">TSAT_P(G7)</f>
        <v>50.3541843032366</v>
      </c>
      <c r="H8" s="16" t="s">
        <v>10</v>
      </c>
      <c r="I8" s="9"/>
    </row>
    <row r="9" customFormat="false" ht="12.75" hidden="false" customHeight="false" outlineLevel="0" collapsed="false">
      <c r="A9" s="9"/>
      <c r="B9" s="18" t="s">
        <v>15</v>
      </c>
      <c r="C9" s="9"/>
      <c r="D9" s="16"/>
      <c r="F9" s="18" t="s">
        <v>15</v>
      </c>
      <c r="G9" s="9"/>
      <c r="H9" s="16"/>
      <c r="I9" s="9"/>
    </row>
    <row r="10" customFormat="false" ht="12.75" hidden="false" customHeight="false" outlineLevel="0" collapsed="false">
      <c r="A10" s="9"/>
      <c r="B10" s="14" t="s">
        <v>16</v>
      </c>
      <c r="C10" s="19" t="n">
        <f aca="false">HL_T(C7)</f>
        <v>419.099154997703</v>
      </c>
      <c r="D10" s="16" t="s">
        <v>17</v>
      </c>
      <c r="E10" s="9"/>
      <c r="F10" s="14" t="s">
        <v>16</v>
      </c>
      <c r="G10" s="19" t="n">
        <f aca="false">HL_P(G7)</f>
        <v>210.816807734016</v>
      </c>
      <c r="H10" s="16" t="s">
        <v>17</v>
      </c>
      <c r="I10" s="9"/>
    </row>
    <row r="11" customFormat="false" ht="12.75" hidden="false" customHeight="false" outlineLevel="0" collapsed="false">
      <c r="A11" s="9"/>
      <c r="B11" s="14" t="s">
        <v>18</v>
      </c>
      <c r="C11" s="17" t="n">
        <f aca="false">RHOL_T(C7)</f>
        <v>958.35427728589</v>
      </c>
      <c r="D11" s="16" t="s">
        <v>19</v>
      </c>
      <c r="E11" s="9"/>
      <c r="F11" s="14" t="s">
        <v>18</v>
      </c>
      <c r="G11" s="17" t="n">
        <f aca="false">RHOL_P(G7)</f>
        <v>987.848390443843</v>
      </c>
      <c r="H11" s="16" t="s">
        <v>19</v>
      </c>
      <c r="I11" s="9"/>
    </row>
    <row r="12" customFormat="false" ht="12.75" hidden="false" customHeight="false" outlineLevel="0" collapsed="false">
      <c r="A12" s="9"/>
      <c r="B12" s="14" t="s">
        <v>20</v>
      </c>
      <c r="C12" s="17" t="n">
        <f aca="false">SL_T(C7)</f>
        <v>1.30701432784134</v>
      </c>
      <c r="D12" s="16" t="s">
        <v>21</v>
      </c>
      <c r="E12" s="9"/>
      <c r="F12" s="14" t="s">
        <v>20</v>
      </c>
      <c r="G12" s="17" t="n">
        <f aca="false">SL_P(G7)</f>
        <v>0.708372506696844</v>
      </c>
      <c r="H12" s="16" t="s">
        <v>21</v>
      </c>
      <c r="I12" s="9"/>
    </row>
    <row r="13" customFormat="false" ht="12.75" hidden="false" customHeight="false" outlineLevel="0" collapsed="false">
      <c r="A13" s="9"/>
      <c r="B13" s="18" t="s">
        <v>22</v>
      </c>
      <c r="C13" s="9"/>
      <c r="D13" s="16"/>
      <c r="F13" s="18" t="s">
        <v>22</v>
      </c>
      <c r="G13" s="9"/>
      <c r="H13" s="16"/>
      <c r="I13" s="9"/>
    </row>
    <row r="14" customFormat="false" ht="12.75" hidden="false" customHeight="false" outlineLevel="0" collapsed="false">
      <c r="A14" s="9"/>
      <c r="B14" s="14" t="s">
        <v>23</v>
      </c>
      <c r="C14" s="19" t="n">
        <f aca="false">HV_T(C7)</f>
        <v>2675.57202922083</v>
      </c>
      <c r="D14" s="16" t="s">
        <v>17</v>
      </c>
      <c r="E14" s="9"/>
      <c r="F14" s="14" t="s">
        <v>23</v>
      </c>
      <c r="G14" s="19" t="n">
        <f aca="false">HV_P(G7)</f>
        <v>2591.93557418644</v>
      </c>
      <c r="H14" s="16" t="s">
        <v>17</v>
      </c>
      <c r="I14" s="9"/>
    </row>
    <row r="15" customFormat="false" ht="12.75" hidden="false" customHeight="false" outlineLevel="0" collapsed="false">
      <c r="A15" s="9"/>
      <c r="B15" s="14" t="s">
        <v>24</v>
      </c>
      <c r="C15" s="17" t="n">
        <f aca="false">RHOV_T(C7)</f>
        <v>0.598135992525703</v>
      </c>
      <c r="D15" s="16" t="s">
        <v>19</v>
      </c>
      <c r="E15" s="9"/>
      <c r="F15" s="14" t="s">
        <v>24</v>
      </c>
      <c r="G15" s="17" t="n">
        <f aca="false">RHOV_P(G7)</f>
        <v>0.0845237743927298</v>
      </c>
      <c r="H15" s="16" t="s">
        <v>19</v>
      </c>
      <c r="I15" s="9"/>
    </row>
    <row r="16" customFormat="false" ht="12.75" hidden="false" customHeight="false" outlineLevel="0" collapsed="false">
      <c r="A16" s="9"/>
      <c r="B16" s="14" t="s">
        <v>25</v>
      </c>
      <c r="C16" s="17" t="n">
        <f aca="false">SV_T(C7)</f>
        <v>7.35407705095841</v>
      </c>
      <c r="D16" s="16" t="s">
        <v>21</v>
      </c>
      <c r="E16" s="9"/>
      <c r="F16" s="14" t="s">
        <v>26</v>
      </c>
      <c r="G16" s="17" t="n">
        <f aca="false">SV_P(G7)</f>
        <v>8.06877333231276</v>
      </c>
      <c r="H16" s="16" t="s">
        <v>21</v>
      </c>
      <c r="I16" s="9"/>
    </row>
    <row r="17" customFormat="false" ht="12.75" hidden="false" customHeight="false" outlineLevel="0" collapsed="false">
      <c r="A17" s="9"/>
      <c r="B17" s="20" t="s">
        <v>27</v>
      </c>
      <c r="C17" s="21" t="n">
        <f aca="false">C14-C10</f>
        <v>2256.47287422313</v>
      </c>
      <c r="D17" s="22" t="s">
        <v>17</v>
      </c>
      <c r="E17" s="9"/>
      <c r="F17" s="20" t="s">
        <v>27</v>
      </c>
      <c r="G17" s="21" t="n">
        <f aca="false">G14-G10</f>
        <v>2381.11876645242</v>
      </c>
      <c r="H17" s="22" t="s">
        <v>17</v>
      </c>
      <c r="I17" s="9"/>
    </row>
    <row r="18" customFormat="false" ht="12.75" hidden="false" customHeight="false" outlineLevel="0" collapsed="false">
      <c r="A18" s="9"/>
      <c r="I18" s="9"/>
    </row>
    <row r="19" customFormat="false" ht="12.75" hidden="false" customHeight="false" outlineLevel="0" collapsed="false">
      <c r="A19" s="9"/>
      <c r="B19" s="8" t="s">
        <v>28</v>
      </c>
      <c r="C19" s="9"/>
      <c r="D19" s="9"/>
      <c r="E19" s="9"/>
      <c r="F19" s="8" t="s">
        <v>29</v>
      </c>
      <c r="G19" s="9"/>
      <c r="H19" s="9"/>
      <c r="I19" s="9"/>
    </row>
    <row r="20" customFormat="false" ht="12.75" hidden="false" customHeight="false" outlineLevel="0" collapsed="false">
      <c r="A20" s="9"/>
      <c r="B20" s="10" t="s">
        <v>11</v>
      </c>
      <c r="C20" s="11" t="n">
        <v>1</v>
      </c>
      <c r="D20" s="12" t="s">
        <v>12</v>
      </c>
      <c r="E20" s="9"/>
      <c r="F20" s="10" t="s">
        <v>11</v>
      </c>
      <c r="G20" s="11" t="n">
        <v>12.57</v>
      </c>
      <c r="H20" s="12" t="s">
        <v>12</v>
      </c>
      <c r="I20" s="9"/>
    </row>
    <row r="21" customFormat="false" ht="12.75" hidden="false" customHeight="false" outlineLevel="0" collapsed="false">
      <c r="A21" s="9"/>
      <c r="B21" s="23" t="s">
        <v>9</v>
      </c>
      <c r="C21" s="24" t="n">
        <v>20</v>
      </c>
      <c r="D21" s="25" t="s">
        <v>10</v>
      </c>
      <c r="E21" s="9"/>
      <c r="F21" s="23" t="s">
        <v>16</v>
      </c>
      <c r="G21" s="24" t="n">
        <v>2788</v>
      </c>
      <c r="H21" s="25" t="s">
        <v>17</v>
      </c>
      <c r="I21" s="9"/>
    </row>
    <row r="22" customFormat="false" ht="12.75" hidden="false" customHeight="false" outlineLevel="0" collapsed="false">
      <c r="A22" s="9"/>
      <c r="B22" s="14" t="s">
        <v>16</v>
      </c>
      <c r="C22" s="19" t="n">
        <f aca="false">H_PT(C20,C21)</f>
        <v>2538.18548379391</v>
      </c>
      <c r="D22" s="16" t="s">
        <v>17</v>
      </c>
      <c r="E22" s="9"/>
      <c r="F22" s="14" t="s">
        <v>9</v>
      </c>
      <c r="G22" s="19" t="n">
        <f aca="false">T_PH(G20,G21)</f>
        <v>152.685665598747</v>
      </c>
      <c r="H22" s="16" t="s">
        <v>10</v>
      </c>
      <c r="I22" s="9"/>
    </row>
    <row r="23" customFormat="false" ht="12.75" hidden="false" customHeight="false" outlineLevel="0" collapsed="false">
      <c r="A23" s="9"/>
      <c r="B23" s="14" t="s">
        <v>18</v>
      </c>
      <c r="C23" s="17" t="n">
        <f aca="false">RHO_PT(C20,C21)</f>
        <v>0.00739523693872489</v>
      </c>
      <c r="D23" s="16" t="s">
        <v>19</v>
      </c>
      <c r="E23" s="9"/>
      <c r="F23" s="14" t="s">
        <v>18</v>
      </c>
      <c r="G23" s="17" t="n">
        <f aca="false">RHO_PH(G20,G21)</f>
        <v>0.0640220986240443</v>
      </c>
      <c r="H23" s="16" t="s">
        <v>19</v>
      </c>
      <c r="I23" s="9"/>
    </row>
    <row r="24" customFormat="false" ht="12.75" hidden="false" customHeight="false" outlineLevel="0" collapsed="false">
      <c r="A24" s="9"/>
      <c r="B24" s="14" t="s">
        <v>20</v>
      </c>
      <c r="C24" s="17" t="n">
        <f aca="false">S_PT(C20,C21)</f>
        <v>9.0604341729713</v>
      </c>
      <c r="D24" s="16" t="s">
        <v>21</v>
      </c>
      <c r="E24" s="9"/>
      <c r="F24" s="14" t="s">
        <v>20</v>
      </c>
      <c r="G24" s="17" t="n">
        <f aca="false">S_PH(G20,G21)</f>
        <v>8.59542341318828</v>
      </c>
      <c r="H24" s="16" t="s">
        <v>21</v>
      </c>
      <c r="I24" s="9"/>
    </row>
    <row r="25" customFormat="false" ht="12.75" hidden="false" customHeight="false" outlineLevel="0" collapsed="false">
      <c r="A25" s="9"/>
      <c r="B25" s="14" t="s">
        <v>30</v>
      </c>
      <c r="C25" s="1" t="n">
        <f aca="false">X_PH(C20,C22)*100</f>
        <v>100</v>
      </c>
      <c r="D25" s="16" t="s">
        <v>31</v>
      </c>
      <c r="F25" s="14" t="s">
        <v>30</v>
      </c>
      <c r="G25" s="1" t="n">
        <f aca="false">X_PH(G20,G21)*100</f>
        <v>100</v>
      </c>
      <c r="H25" s="16" t="s">
        <v>31</v>
      </c>
      <c r="I25" s="9"/>
    </row>
    <row r="26" customFormat="false" ht="12.75" hidden="false" customHeight="false" outlineLevel="0" collapsed="false">
      <c r="A26" s="9"/>
      <c r="B26" s="14" t="s">
        <v>32</v>
      </c>
      <c r="C26" s="9" t="n">
        <f aca="false">REGION_PT(C20/10,C21+273.15)</f>
        <v>1</v>
      </c>
      <c r="D26" s="16"/>
      <c r="E26" s="9"/>
      <c r="F26" s="14" t="s">
        <v>32</v>
      </c>
      <c r="G26" s="9" t="n">
        <f aca="false">REGION_PH(G20/10,G21)</f>
        <v>2</v>
      </c>
      <c r="H26" s="16"/>
      <c r="I26" s="9"/>
    </row>
    <row r="27" customFormat="false" ht="12.75" hidden="false" customHeight="false" outlineLevel="0" collapsed="false">
      <c r="A27" s="9"/>
      <c r="B27" s="14" t="s">
        <v>33</v>
      </c>
      <c r="C27" s="26" t="str">
        <f aca="false">IF(C26=2,"Steam",IF(C26=1,"Liquid",IF(C26=4,"Mixture","")))</f>
        <v>Liquid</v>
      </c>
      <c r="D27" s="16"/>
      <c r="E27" s="9"/>
      <c r="F27" s="14" t="s">
        <v>33</v>
      </c>
      <c r="G27" s="26" t="str">
        <f aca="false">IF(G26=2,"Steam",IF(G26=1,"Liquid",IF(G26=4,"Mixture","")))</f>
        <v>Steam</v>
      </c>
      <c r="H27" s="16"/>
      <c r="I27" s="9"/>
    </row>
    <row r="28" customFormat="false" ht="12.75" hidden="false" customHeight="false" outlineLevel="0" collapsed="false">
      <c r="B28" s="14" t="s">
        <v>34</v>
      </c>
      <c r="C28" s="9" t="n">
        <f aca="false">CP_PT(C20,C21)</f>
        <v>1.87432544104745</v>
      </c>
      <c r="D28" s="16" t="s">
        <v>17</v>
      </c>
      <c r="F28" s="14" t="s">
        <v>34</v>
      </c>
      <c r="G28" s="9" t="n">
        <f aca="false">CP_PH(G20,G21)</f>
        <v>1.92294619184134</v>
      </c>
      <c r="H28" s="16" t="s">
        <v>17</v>
      </c>
    </row>
    <row r="29" customFormat="false" ht="12.75" hidden="false" customHeight="false" outlineLevel="0" collapsed="false">
      <c r="B29" s="20" t="s">
        <v>35</v>
      </c>
      <c r="C29" s="27" t="n">
        <f aca="false">W_PT(C20,C21)</f>
        <v>423.847638254217</v>
      </c>
      <c r="D29" s="22" t="s">
        <v>36</v>
      </c>
      <c r="F29" s="20" t="s">
        <v>35</v>
      </c>
      <c r="G29" s="27" t="n">
        <f aca="false">W_PH(G20,G21)</f>
        <v>508.560687210867</v>
      </c>
      <c r="H29" s="22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4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8" activeCellId="0" sqref="D38"/>
    </sheetView>
  </sheetViews>
  <sheetFormatPr defaultRowHeight="12.75" zeroHeight="false" outlineLevelRow="1" outlineLevelCol="0"/>
  <cols>
    <col collapsed="false" customWidth="true" hidden="false" outlineLevel="0" max="1" min="1" style="1" width="24.15"/>
    <col collapsed="false" customWidth="true" hidden="false" outlineLevel="0" max="2" min="2" style="1" width="4.71"/>
    <col collapsed="false" customWidth="true" hidden="false" outlineLevel="0" max="3" min="3" style="1" width="7.71"/>
    <col collapsed="false" customWidth="true" hidden="false" outlineLevel="0" max="4" min="4" style="1" width="4.71"/>
    <col collapsed="false" customWidth="true" hidden="false" outlineLevel="0" max="5" min="5" style="1" width="8.29"/>
    <col collapsed="false" customWidth="true" hidden="false" outlineLevel="0" max="6" min="6" style="5" width="10.42"/>
    <col collapsed="false" customWidth="true" hidden="false" outlineLevel="0" max="7" min="7" style="5" width="9.13"/>
    <col collapsed="false" customWidth="true" hidden="false" outlineLevel="0" max="8" min="8" style="3" width="7.57"/>
    <col collapsed="false" customWidth="true" hidden="false" outlineLevel="0" max="256" min="9" style="1" width="9.13"/>
    <col collapsed="false" customWidth="true" hidden="false" outlineLevel="0" max="257" min="257" style="1" width="24.15"/>
    <col collapsed="false" customWidth="true" hidden="false" outlineLevel="0" max="258" min="258" style="1" width="4.71"/>
    <col collapsed="false" customWidth="true" hidden="false" outlineLevel="0" max="259" min="259" style="1" width="7.71"/>
    <col collapsed="false" customWidth="true" hidden="false" outlineLevel="0" max="260" min="260" style="1" width="4.71"/>
    <col collapsed="false" customWidth="true" hidden="false" outlineLevel="0" max="261" min="261" style="1" width="8.29"/>
    <col collapsed="false" customWidth="true" hidden="false" outlineLevel="0" max="262" min="262" style="1" width="10.42"/>
    <col collapsed="false" customWidth="true" hidden="false" outlineLevel="0" max="263" min="263" style="1" width="9.13"/>
    <col collapsed="false" customWidth="true" hidden="false" outlineLevel="0" max="264" min="264" style="1" width="7.57"/>
    <col collapsed="false" customWidth="true" hidden="false" outlineLevel="0" max="512" min="265" style="1" width="9.13"/>
    <col collapsed="false" customWidth="true" hidden="false" outlineLevel="0" max="513" min="513" style="1" width="24.15"/>
    <col collapsed="false" customWidth="true" hidden="false" outlineLevel="0" max="514" min="514" style="1" width="4.71"/>
    <col collapsed="false" customWidth="true" hidden="false" outlineLevel="0" max="515" min="515" style="1" width="7.71"/>
    <col collapsed="false" customWidth="true" hidden="false" outlineLevel="0" max="516" min="516" style="1" width="4.71"/>
    <col collapsed="false" customWidth="true" hidden="false" outlineLevel="0" max="517" min="517" style="1" width="8.29"/>
    <col collapsed="false" customWidth="true" hidden="false" outlineLevel="0" max="518" min="518" style="1" width="10.42"/>
    <col collapsed="false" customWidth="true" hidden="false" outlineLevel="0" max="519" min="519" style="1" width="9.13"/>
    <col collapsed="false" customWidth="true" hidden="false" outlineLevel="0" max="520" min="520" style="1" width="7.57"/>
    <col collapsed="false" customWidth="true" hidden="false" outlineLevel="0" max="768" min="521" style="1" width="9.13"/>
    <col collapsed="false" customWidth="true" hidden="false" outlineLevel="0" max="769" min="769" style="1" width="24.15"/>
    <col collapsed="false" customWidth="true" hidden="false" outlineLevel="0" max="770" min="770" style="1" width="4.71"/>
    <col collapsed="false" customWidth="true" hidden="false" outlineLevel="0" max="771" min="771" style="1" width="7.71"/>
    <col collapsed="false" customWidth="true" hidden="false" outlineLevel="0" max="772" min="772" style="1" width="4.71"/>
    <col collapsed="false" customWidth="true" hidden="false" outlineLevel="0" max="773" min="773" style="1" width="8.29"/>
    <col collapsed="false" customWidth="true" hidden="false" outlineLevel="0" max="774" min="774" style="1" width="10.42"/>
    <col collapsed="false" customWidth="true" hidden="false" outlineLevel="0" max="775" min="775" style="1" width="9.13"/>
    <col collapsed="false" customWidth="true" hidden="false" outlineLevel="0" max="776" min="776" style="1" width="7.57"/>
    <col collapsed="false" customWidth="true" hidden="false" outlineLevel="0" max="1025" min="777" style="1" width="9.13"/>
  </cols>
  <sheetData>
    <row r="1" s="28" customFormat="true" ht="18" hidden="false" customHeight="false" outlineLevel="0" collapsed="false">
      <c r="A1" s="2" t="s">
        <v>0</v>
      </c>
      <c r="D1" s="3" t="s">
        <v>37</v>
      </c>
      <c r="E1" s="29" t="s">
        <v>38</v>
      </c>
      <c r="F1" s="2"/>
      <c r="G1" s="2"/>
    </row>
    <row r="2" s="30" customFormat="true" ht="11.25" hidden="false" customHeight="false" outlineLevel="0" collapsed="false">
      <c r="A2" s="30" t="s">
        <v>39</v>
      </c>
    </row>
    <row r="3" s="4" customFormat="true" ht="11.25" hidden="false" customHeight="false" outlineLevel="0" collapsed="false">
      <c r="A3" s="4" t="s">
        <v>40</v>
      </c>
    </row>
    <row r="4" s="4" customFormat="true" ht="11.25" hidden="false" customHeight="false" outlineLevel="0" collapsed="false">
      <c r="A4" s="4" t="s">
        <v>41</v>
      </c>
      <c r="F4" s="6" t="s">
        <v>42</v>
      </c>
    </row>
    <row r="5" s="4" customFormat="true" ht="11.25" hidden="false" customHeight="false" outlineLevel="0" collapsed="false">
      <c r="A5" s="4" t="s">
        <v>4</v>
      </c>
    </row>
    <row r="6" customFormat="false" ht="12.75" hidden="false" customHeight="false" outlineLevel="0" collapsed="false">
      <c r="A6" s="30" t="s">
        <v>6</v>
      </c>
      <c r="B6" s="3"/>
      <c r="C6" s="3"/>
      <c r="D6" s="3"/>
      <c r="E6" s="3"/>
      <c r="F6" s="3"/>
      <c r="G6" s="3"/>
    </row>
    <row r="7" customFormat="false" ht="12.75" hidden="false" customHeight="false" outlineLevel="0" collapsed="false">
      <c r="A7" s="30"/>
      <c r="B7" s="3"/>
      <c r="C7" s="3"/>
      <c r="D7" s="3"/>
      <c r="E7" s="3"/>
      <c r="F7" s="3"/>
      <c r="G7" s="3"/>
    </row>
    <row r="8" s="32" customFormat="true" ht="15" hidden="false" customHeight="false" outlineLevel="0" collapsed="false">
      <c r="A8" s="31" t="s">
        <v>9</v>
      </c>
      <c r="F8" s="33"/>
      <c r="G8" s="33"/>
    </row>
    <row r="9" s="4" customFormat="true" ht="12.75" hidden="false" customHeight="false" outlineLevel="1" collapsed="false">
      <c r="A9" s="5" t="s">
        <v>43</v>
      </c>
      <c r="B9" s="3" t="n">
        <v>100</v>
      </c>
      <c r="C9" s="3" t="s">
        <v>12</v>
      </c>
      <c r="D9" s="3"/>
      <c r="E9" s="3"/>
      <c r="F9" s="5" t="n">
        <f aca="false">TSAT_P(B9)</f>
        <v>99.6059186113376</v>
      </c>
      <c r="G9" s="5" t="s">
        <v>10</v>
      </c>
      <c r="H9" s="3" t="s">
        <v>14</v>
      </c>
    </row>
    <row r="10" s="4" customFormat="true" ht="12.75" hidden="false" customHeight="false" outlineLevel="1" collapsed="false">
      <c r="A10" s="5" t="s">
        <v>44</v>
      </c>
      <c r="B10" s="3" t="n">
        <v>100</v>
      </c>
      <c r="C10" s="3" t="s">
        <v>12</v>
      </c>
      <c r="D10" s="3" t="n">
        <v>100</v>
      </c>
      <c r="E10" s="3" t="s">
        <v>17</v>
      </c>
      <c r="F10" s="5" t="n">
        <f aca="false">T_PH(B10,D10)</f>
        <v>23.8448190753248</v>
      </c>
      <c r="G10" s="5" t="s">
        <v>10</v>
      </c>
      <c r="H10" s="3" t="s">
        <v>45</v>
      </c>
    </row>
    <row r="11" s="4" customFormat="true" ht="12.75" hidden="false" customHeight="false" outlineLevel="1" collapsed="false">
      <c r="A11" s="5" t="s">
        <v>46</v>
      </c>
      <c r="B11" s="3" t="n">
        <v>100</v>
      </c>
      <c r="C11" s="3" t="s">
        <v>12</v>
      </c>
      <c r="D11" s="3" t="n">
        <v>1</v>
      </c>
      <c r="E11" s="3" t="s">
        <v>47</v>
      </c>
      <c r="F11" s="5" t="n">
        <f aca="false">T_PS(B11,D11)</f>
        <v>73.7085942144087</v>
      </c>
      <c r="G11" s="5" t="s">
        <v>10</v>
      </c>
      <c r="H11" s="3" t="s">
        <v>48</v>
      </c>
    </row>
    <row r="12" s="4" customFormat="true" ht="12.75" hidden="false" customHeight="false" outlineLevel="1" collapsed="false">
      <c r="A12" s="5" t="s">
        <v>49</v>
      </c>
      <c r="B12" s="3" t="n">
        <v>100</v>
      </c>
      <c r="C12" s="3" t="s">
        <v>17</v>
      </c>
      <c r="D12" s="3" t="n">
        <v>0.2</v>
      </c>
      <c r="E12" s="3" t="s">
        <v>47</v>
      </c>
      <c r="F12" s="5" t="n">
        <f aca="false">T_HS(B12,D12)</f>
        <v>13.8493351118726</v>
      </c>
      <c r="G12" s="5" t="s">
        <v>10</v>
      </c>
      <c r="H12" s="3" t="s">
        <v>50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4" customFormat="true" ht="12.75" hidden="false" customHeight="false" outlineLevel="1" collapsed="false">
      <c r="A14" s="5" t="s">
        <v>51</v>
      </c>
      <c r="B14" s="3" t="n">
        <v>100</v>
      </c>
      <c r="C14" s="3" t="s">
        <v>10</v>
      </c>
      <c r="D14" s="3"/>
      <c r="E14" s="3"/>
      <c r="F14" s="5" t="n">
        <f aca="false">PSAT_T(B14)</f>
        <v>101.41797792131</v>
      </c>
      <c r="G14" s="5" t="s">
        <v>52</v>
      </c>
      <c r="H14" s="3" t="s">
        <v>13</v>
      </c>
    </row>
    <row r="15" s="4" customFormat="true" ht="12.75" hidden="false" customHeight="false" outlineLevel="1" collapsed="false">
      <c r="A15" s="5" t="s">
        <v>53</v>
      </c>
      <c r="B15" s="3" t="n">
        <v>84</v>
      </c>
      <c r="C15" s="3" t="s">
        <v>17</v>
      </c>
      <c r="D15" s="3" t="n">
        <v>0.296</v>
      </c>
      <c r="E15" s="3" t="s">
        <v>47</v>
      </c>
      <c r="F15" s="5" t="n">
        <f aca="false">P_HS(B15,D15)</f>
        <v>229.549826928091</v>
      </c>
      <c r="G15" s="5" t="s">
        <v>52</v>
      </c>
      <c r="H15" s="3" t="s">
        <v>54</v>
      </c>
    </row>
    <row r="16" s="4" customFormat="true" ht="12.75" hidden="false" customHeight="false" outlineLevel="1" collapsed="false">
      <c r="A16" s="5" t="s">
        <v>55</v>
      </c>
      <c r="B16" s="3" t="n">
        <v>2000</v>
      </c>
      <c r="C16" s="3" t="s">
        <v>17</v>
      </c>
      <c r="D16" s="3" t="n">
        <v>5</v>
      </c>
      <c r="E16" s="3" t="s">
        <v>19</v>
      </c>
      <c r="F16" s="5" t="n">
        <f aca="false">P_HRHO(B16,D16)</f>
        <v>604.646887793206</v>
      </c>
      <c r="G16" s="5" t="s">
        <v>52</v>
      </c>
      <c r="H16" s="3" t="s">
        <v>56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4" customFormat="true" ht="12.75" hidden="false" customHeight="false" outlineLevel="1" collapsed="false">
      <c r="A18" s="5" t="s">
        <v>57</v>
      </c>
      <c r="B18" s="3" t="n">
        <v>100</v>
      </c>
      <c r="C18" s="3" t="s">
        <v>12</v>
      </c>
      <c r="D18" s="3"/>
      <c r="E18" s="3"/>
      <c r="F18" s="5" t="n">
        <f aca="false">HV_P(B18)</f>
        <v>2674.94964083215</v>
      </c>
      <c r="G18" s="5" t="s">
        <v>17</v>
      </c>
      <c r="H18" s="3" t="s">
        <v>58</v>
      </c>
    </row>
    <row r="19" s="4" customFormat="true" ht="12.75" hidden="false" customHeight="false" outlineLevel="1" collapsed="false">
      <c r="A19" s="5" t="s">
        <v>59</v>
      </c>
      <c r="B19" s="3" t="n">
        <v>100</v>
      </c>
      <c r="C19" s="3" t="s">
        <v>12</v>
      </c>
      <c r="D19" s="3"/>
      <c r="E19" s="3"/>
      <c r="F19" s="5" t="n">
        <f aca="false">HL_P(B19)</f>
        <v>417.436485816232</v>
      </c>
      <c r="G19" s="5" t="s">
        <v>17</v>
      </c>
      <c r="H19" s="3" t="s">
        <v>60</v>
      </c>
    </row>
    <row r="20" s="4" customFormat="true" ht="12.75" hidden="false" customHeight="false" outlineLevel="1" collapsed="false">
      <c r="A20" s="5" t="s">
        <v>61</v>
      </c>
      <c r="B20" s="3" t="n">
        <v>100</v>
      </c>
      <c r="C20" s="3" t="s">
        <v>10</v>
      </c>
      <c r="D20" s="3"/>
      <c r="E20" s="3"/>
      <c r="F20" s="5" t="n">
        <f aca="false">HV_T(B20)</f>
        <v>2675.57202922083</v>
      </c>
      <c r="G20" s="5" t="s">
        <v>17</v>
      </c>
      <c r="H20" s="3" t="s">
        <v>58</v>
      </c>
    </row>
    <row r="21" s="4" customFormat="true" ht="12.75" hidden="false" customHeight="false" outlineLevel="1" collapsed="false">
      <c r="A21" s="5" t="s">
        <v>62</v>
      </c>
      <c r="B21" s="3" t="n">
        <v>100</v>
      </c>
      <c r="C21" s="3" t="s">
        <v>10</v>
      </c>
      <c r="D21" s="3"/>
      <c r="E21" s="3"/>
      <c r="F21" s="5" t="n">
        <f aca="false">HL_T(B21)</f>
        <v>419.099154997703</v>
      </c>
      <c r="G21" s="5" t="s">
        <v>17</v>
      </c>
      <c r="H21" s="3" t="s">
        <v>60</v>
      </c>
    </row>
    <row r="22" s="4" customFormat="true" ht="12.75" hidden="false" customHeight="false" outlineLevel="1" collapsed="false">
      <c r="A22" s="5" t="s">
        <v>63</v>
      </c>
      <c r="B22" s="3" t="n">
        <v>100</v>
      </c>
      <c r="C22" s="3" t="s">
        <v>12</v>
      </c>
      <c r="D22" s="3" t="n">
        <v>20</v>
      </c>
      <c r="E22" s="3" t="s">
        <v>10</v>
      </c>
      <c r="F22" s="5" t="n">
        <f aca="false">H_PT(B22,D22)</f>
        <v>84.0118111671364</v>
      </c>
      <c r="G22" s="5" t="s">
        <v>17</v>
      </c>
      <c r="H22" s="3" t="s">
        <v>64</v>
      </c>
    </row>
    <row r="23" s="4" customFormat="true" ht="12.75" hidden="false" customHeight="false" outlineLevel="1" collapsed="false">
      <c r="A23" s="5" t="s">
        <v>65</v>
      </c>
      <c r="B23" s="3" t="n">
        <v>100</v>
      </c>
      <c r="C23" s="3" t="s">
        <v>12</v>
      </c>
      <c r="D23" s="3" t="n">
        <v>1</v>
      </c>
      <c r="E23" s="3" t="s">
        <v>47</v>
      </c>
      <c r="F23" s="5" t="n">
        <f aca="false">H_PS(B23,D23)</f>
        <v>308.610717082946</v>
      </c>
      <c r="G23" s="5" t="s">
        <v>17</v>
      </c>
      <c r="H23" s="3" t="s">
        <v>66</v>
      </c>
    </row>
    <row r="24" s="4" customFormat="true" ht="12.75" hidden="false" customHeight="false" outlineLevel="1" collapsed="false">
      <c r="A24" s="5" t="s">
        <v>67</v>
      </c>
      <c r="B24" s="3" t="n">
        <v>100</v>
      </c>
      <c r="C24" s="3" t="s">
        <v>12</v>
      </c>
      <c r="D24" s="3" t="n">
        <v>0.5</v>
      </c>
      <c r="E24" s="3"/>
      <c r="F24" s="5" t="n">
        <f aca="false">H_PX(B24,D24)</f>
        <v>1546.19306332419</v>
      </c>
      <c r="G24" s="5" t="s">
        <v>17</v>
      </c>
      <c r="H24" s="3" t="s">
        <v>68</v>
      </c>
    </row>
    <row r="25" s="4" customFormat="true" ht="12.75" hidden="false" customHeight="false" outlineLevel="1" collapsed="false">
      <c r="A25" s="5" t="s">
        <v>69</v>
      </c>
      <c r="B25" s="3" t="n">
        <v>100</v>
      </c>
      <c r="C25" s="3" t="s">
        <v>10</v>
      </c>
      <c r="D25" s="3" t="n">
        <v>0.5</v>
      </c>
      <c r="E25" s="3"/>
      <c r="F25" s="5" t="n">
        <f aca="false">H_TX(B25,D25)</f>
        <v>1547.33559210927</v>
      </c>
      <c r="G25" s="5" t="s">
        <v>17</v>
      </c>
      <c r="H25" s="3" t="s">
        <v>70</v>
      </c>
    </row>
    <row r="26" s="4" customFormat="true" ht="12.75" hidden="false" customHeight="false" outlineLevel="1" collapsed="false">
      <c r="A26" s="5" t="s">
        <v>71</v>
      </c>
      <c r="B26" s="3" t="n">
        <v>100</v>
      </c>
      <c r="C26" s="3" t="s">
        <v>12</v>
      </c>
      <c r="D26" s="3" t="n">
        <v>2</v>
      </c>
      <c r="E26" s="3" t="s">
        <v>19</v>
      </c>
      <c r="F26" s="5" t="n">
        <f aca="false">H_PRHO(B26,D26)</f>
        <v>1082.77339076002</v>
      </c>
      <c r="G26" s="5" t="s">
        <v>17</v>
      </c>
      <c r="H26" s="3" t="s">
        <v>72</v>
      </c>
    </row>
    <row r="27" s="32" customFormat="true" ht="15" hidden="false" customHeight="false" outlineLevel="0" collapsed="false">
      <c r="A27" s="31" t="s">
        <v>73</v>
      </c>
      <c r="F27" s="33"/>
      <c r="G27" s="33"/>
    </row>
    <row r="28" s="4" customFormat="true" ht="12.75" hidden="false" customHeight="false" outlineLevel="1" collapsed="false">
      <c r="A28" s="5" t="s">
        <v>74</v>
      </c>
      <c r="B28" s="3" t="n">
        <v>100</v>
      </c>
      <c r="C28" s="3" t="s">
        <v>12</v>
      </c>
      <c r="D28" s="3"/>
      <c r="E28" s="3"/>
      <c r="F28" s="5" t="n">
        <f aca="false">VV_P(B28)</f>
        <v>1.69402252290268</v>
      </c>
      <c r="G28" s="5" t="s">
        <v>75</v>
      </c>
      <c r="H28" s="3" t="s">
        <v>76</v>
      </c>
    </row>
    <row r="29" s="4" customFormat="true" ht="12.75" hidden="false" customHeight="false" outlineLevel="1" collapsed="false">
      <c r="A29" s="5" t="s">
        <v>77</v>
      </c>
      <c r="B29" s="3" t="n">
        <v>100</v>
      </c>
      <c r="C29" s="3" t="s">
        <v>12</v>
      </c>
      <c r="D29" s="3"/>
      <c r="E29" s="3"/>
      <c r="F29" s="5" t="n">
        <f aca="false">VL_P(B29)</f>
        <v>0.00104314783915518</v>
      </c>
      <c r="G29" s="5" t="s">
        <v>75</v>
      </c>
      <c r="H29" s="3" t="s">
        <v>78</v>
      </c>
    </row>
    <row r="30" s="4" customFormat="true" ht="12.75" hidden="false" customHeight="false" outlineLevel="1" collapsed="false">
      <c r="A30" s="5" t="s">
        <v>79</v>
      </c>
      <c r="B30" s="3" t="n">
        <v>100</v>
      </c>
      <c r="C30" s="3" t="s">
        <v>10</v>
      </c>
      <c r="D30" s="3"/>
      <c r="E30" s="3"/>
      <c r="F30" s="5" t="n">
        <f aca="false">VV_T(B30)</f>
        <v>1.67186060109404</v>
      </c>
      <c r="G30" s="5" t="s">
        <v>75</v>
      </c>
      <c r="H30" s="3" t="s">
        <v>76</v>
      </c>
    </row>
    <row r="31" s="4" customFormat="true" ht="12.75" hidden="false" customHeight="false" outlineLevel="1" collapsed="false">
      <c r="A31" s="5" t="s">
        <v>80</v>
      </c>
      <c r="B31" s="3" t="n">
        <v>100</v>
      </c>
      <c r="C31" s="3" t="s">
        <v>10</v>
      </c>
      <c r="D31" s="3"/>
      <c r="E31" s="3"/>
      <c r="F31" s="5" t="n">
        <f aca="false">VL_T(B31)</f>
        <v>0.00104345545661053</v>
      </c>
      <c r="G31" s="5" t="s">
        <v>75</v>
      </c>
      <c r="H31" s="3" t="s">
        <v>78</v>
      </c>
    </row>
    <row r="32" s="4" customFormat="true" ht="12.75" hidden="false" customHeight="false" outlineLevel="1" collapsed="false">
      <c r="A32" s="5" t="s">
        <v>81</v>
      </c>
      <c r="B32" s="3" t="n">
        <v>100</v>
      </c>
      <c r="C32" s="3" t="s">
        <v>12</v>
      </c>
      <c r="D32" s="3" t="n">
        <v>100</v>
      </c>
      <c r="E32" s="3" t="s">
        <v>10</v>
      </c>
      <c r="F32" s="5" t="n">
        <f aca="false">V_PT(B32,D32)</f>
        <v>1.69595940739822</v>
      </c>
      <c r="G32" s="5" t="s">
        <v>75</v>
      </c>
      <c r="H32" s="3" t="s">
        <v>82</v>
      </c>
    </row>
    <row r="33" s="4" customFormat="true" ht="12.75" hidden="false" customHeight="false" outlineLevel="1" collapsed="false">
      <c r="A33" s="5" t="s">
        <v>83</v>
      </c>
      <c r="B33" s="3" t="n">
        <v>100</v>
      </c>
      <c r="C33" s="3" t="s">
        <v>12</v>
      </c>
      <c r="D33" s="3" t="n">
        <v>1000</v>
      </c>
      <c r="E33" s="3" t="s">
        <v>17</v>
      </c>
      <c r="F33" s="5" t="n">
        <f aca="false">V_PH(B33,D33)</f>
        <v>0.437925658129864</v>
      </c>
      <c r="G33" s="5" t="s">
        <v>75</v>
      </c>
      <c r="H33" s="3" t="s">
        <v>84</v>
      </c>
    </row>
    <row r="34" s="4" customFormat="true" ht="12.75" hidden="false" customHeight="false" outlineLevel="1" collapsed="false">
      <c r="A34" s="5" t="s">
        <v>85</v>
      </c>
      <c r="B34" s="3" t="n">
        <v>100</v>
      </c>
      <c r="C34" s="3" t="s">
        <v>12</v>
      </c>
      <c r="D34" s="3" t="n">
        <v>5</v>
      </c>
      <c r="E34" s="3" t="s">
        <v>47</v>
      </c>
      <c r="F34" s="5" t="n">
        <f aca="false">V_PS(B34,D34)</f>
        <v>1.03463539018629</v>
      </c>
      <c r="G34" s="5" t="s">
        <v>75</v>
      </c>
      <c r="H34" s="3" t="s">
        <v>86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4" customFormat="true" ht="12.75" hidden="false" customHeight="false" outlineLevel="1" collapsed="false">
      <c r="A36" s="5" t="s">
        <v>87</v>
      </c>
      <c r="B36" s="3" t="n">
        <v>100</v>
      </c>
      <c r="C36" s="3" t="s">
        <v>12</v>
      </c>
      <c r="D36" s="3"/>
      <c r="E36" s="3"/>
      <c r="F36" s="5" t="n">
        <f aca="false">RHOV_P(B36)</f>
        <v>0.590310923544578</v>
      </c>
      <c r="G36" s="5" t="s">
        <v>19</v>
      </c>
      <c r="H36" s="3" t="s">
        <v>88</v>
      </c>
    </row>
    <row r="37" s="4" customFormat="true" ht="12.75" hidden="false" customHeight="false" outlineLevel="1" collapsed="false">
      <c r="A37" s="5" t="s">
        <v>89</v>
      </c>
      <c r="B37" s="3" t="n">
        <v>100</v>
      </c>
      <c r="C37" s="3" t="s">
        <v>12</v>
      </c>
      <c r="D37" s="3"/>
      <c r="E37" s="3"/>
      <c r="F37" s="5" t="n">
        <f aca="false">RHOL_P(B37)</f>
        <v>958.636889676033</v>
      </c>
      <c r="G37" s="5" t="s">
        <v>19</v>
      </c>
      <c r="H37" s="3" t="s">
        <v>90</v>
      </c>
    </row>
    <row r="38" s="4" customFormat="true" ht="12.75" hidden="false" customHeight="false" outlineLevel="1" collapsed="false">
      <c r="A38" s="5" t="s">
        <v>91</v>
      </c>
      <c r="B38" s="3" t="n">
        <v>100</v>
      </c>
      <c r="C38" s="3" t="s">
        <v>10</v>
      </c>
      <c r="D38" s="3"/>
      <c r="E38" s="3"/>
      <c r="F38" s="5" t="n">
        <f aca="false">RHOV_T(B38)</f>
        <v>0.598135992525703</v>
      </c>
      <c r="G38" s="5" t="s">
        <v>19</v>
      </c>
      <c r="H38" s="3" t="s">
        <v>88</v>
      </c>
    </row>
    <row r="39" s="4" customFormat="true" ht="12.75" hidden="false" customHeight="false" outlineLevel="1" collapsed="false">
      <c r="A39" s="5" t="s">
        <v>92</v>
      </c>
      <c r="B39" s="3" t="n">
        <v>100</v>
      </c>
      <c r="C39" s="3" t="s">
        <v>10</v>
      </c>
      <c r="D39" s="3"/>
      <c r="E39" s="3"/>
      <c r="F39" s="5" t="n">
        <f aca="false">RHOL_T(B39)</f>
        <v>958.35427728589</v>
      </c>
      <c r="G39" s="5" t="s">
        <v>19</v>
      </c>
      <c r="H39" s="3" t="s">
        <v>90</v>
      </c>
    </row>
    <row r="40" s="4" customFormat="true" ht="12.75" hidden="false" customHeight="false" outlineLevel="1" collapsed="false">
      <c r="A40" s="5" t="s">
        <v>93</v>
      </c>
      <c r="B40" s="3" t="n">
        <v>100</v>
      </c>
      <c r="C40" s="3" t="s">
        <v>12</v>
      </c>
      <c r="D40" s="3" t="n">
        <v>100</v>
      </c>
      <c r="E40" s="3" t="s">
        <v>10</v>
      </c>
      <c r="F40" s="5" t="n">
        <f aca="false">RHO_PT(B40,D40)</f>
        <v>0.589636754062471</v>
      </c>
      <c r="G40" s="5" t="s">
        <v>19</v>
      </c>
      <c r="H40" s="3" t="s">
        <v>94</v>
      </c>
    </row>
    <row r="41" s="4" customFormat="true" ht="12.75" hidden="false" customHeight="false" outlineLevel="1" collapsed="false">
      <c r="A41" s="5" t="s">
        <v>95</v>
      </c>
      <c r="B41" s="3" t="n">
        <v>100</v>
      </c>
      <c r="C41" s="3" t="s">
        <v>12</v>
      </c>
      <c r="D41" s="3" t="n">
        <v>1000</v>
      </c>
      <c r="E41" s="3" t="s">
        <v>17</v>
      </c>
      <c r="F41" s="5" t="n">
        <f aca="false">RHO_PH(B41,D41)</f>
        <v>2.28349260070863</v>
      </c>
      <c r="G41" s="5" t="s">
        <v>19</v>
      </c>
      <c r="H41" s="3" t="s">
        <v>96</v>
      </c>
    </row>
    <row r="42" s="4" customFormat="true" ht="12.75" hidden="false" customHeight="false" outlineLevel="1" collapsed="false">
      <c r="A42" s="5" t="s">
        <v>97</v>
      </c>
      <c r="B42" s="3" t="n">
        <v>100</v>
      </c>
      <c r="C42" s="3" t="s">
        <v>12</v>
      </c>
      <c r="D42" s="3" t="n">
        <v>1</v>
      </c>
      <c r="E42" s="3" t="s">
        <v>47</v>
      </c>
      <c r="F42" s="5" t="n">
        <f aca="false">RHO_PS(B42,D42)</f>
        <v>975.623678848232</v>
      </c>
      <c r="G42" s="5" t="s">
        <v>19</v>
      </c>
      <c r="H42" s="3" t="s">
        <v>98</v>
      </c>
    </row>
    <row r="43" s="32" customFormat="true" ht="15" hidden="false" customHeight="false" outlineLevel="0" collapsed="false">
      <c r="A43" s="31" t="s">
        <v>99</v>
      </c>
      <c r="F43" s="33"/>
      <c r="G43" s="33"/>
    </row>
    <row r="44" s="4" customFormat="true" ht="12.75" hidden="false" customHeight="false" outlineLevel="1" collapsed="false">
      <c r="A44" s="5" t="s">
        <v>100</v>
      </c>
      <c r="B44" s="3" t="n">
        <v>1</v>
      </c>
      <c r="C44" s="3" t="s">
        <v>12</v>
      </c>
      <c r="D44" s="3"/>
      <c r="E44" s="3"/>
      <c r="F44" s="5" t="n">
        <f aca="false">SV_P(B44)</f>
        <v>8.97492979038626</v>
      </c>
      <c r="G44" s="5" t="s">
        <v>47</v>
      </c>
      <c r="H44" s="3" t="s">
        <v>101</v>
      </c>
    </row>
    <row r="45" s="4" customFormat="true" ht="12.75" hidden="false" customHeight="false" outlineLevel="1" collapsed="false">
      <c r="A45" s="5" t="s">
        <v>102</v>
      </c>
      <c r="B45" s="3" t="n">
        <v>1</v>
      </c>
      <c r="C45" s="3" t="s">
        <v>12</v>
      </c>
      <c r="D45" s="3"/>
      <c r="E45" s="3"/>
      <c r="F45" s="5" t="n">
        <f aca="false">SL_P(B45)</f>
        <v>0.105910447662535</v>
      </c>
      <c r="G45" s="5" t="s">
        <v>47</v>
      </c>
      <c r="H45" s="3" t="s">
        <v>103</v>
      </c>
    </row>
    <row r="46" s="4" customFormat="true" ht="12.75" hidden="false" customHeight="false" outlineLevel="1" collapsed="false">
      <c r="A46" s="5" t="s">
        <v>104</v>
      </c>
      <c r="B46" s="3" t="n">
        <v>0.0001</v>
      </c>
      <c r="C46" s="3" t="s">
        <v>10</v>
      </c>
      <c r="D46" s="3"/>
      <c r="E46" s="3"/>
      <c r="F46" s="5" t="n">
        <f aca="false">SV_T(B46)</f>
        <v>9.15575671588559</v>
      </c>
      <c r="G46" s="5" t="s">
        <v>47</v>
      </c>
      <c r="H46" s="3" t="s">
        <v>101</v>
      </c>
    </row>
    <row r="47" s="4" customFormat="true" ht="12.75" hidden="false" customHeight="false" outlineLevel="1" collapsed="false">
      <c r="A47" s="5" t="s">
        <v>105</v>
      </c>
      <c r="B47" s="3" t="n">
        <v>100</v>
      </c>
      <c r="C47" s="3" t="s">
        <v>10</v>
      </c>
      <c r="D47" s="3"/>
      <c r="E47" s="3"/>
      <c r="F47" s="5" t="n">
        <f aca="false">SL_T(B47)</f>
        <v>1.30701432784134</v>
      </c>
      <c r="G47" s="5" t="s">
        <v>47</v>
      </c>
      <c r="H47" s="3" t="s">
        <v>103</v>
      </c>
    </row>
    <row r="48" s="4" customFormat="true" ht="12.75" hidden="false" customHeight="false" outlineLevel="1" collapsed="false">
      <c r="A48" s="5" t="s">
        <v>106</v>
      </c>
      <c r="B48" s="3" t="n">
        <v>100</v>
      </c>
      <c r="C48" s="3" t="s">
        <v>12</v>
      </c>
      <c r="D48" s="3" t="n">
        <v>20</v>
      </c>
      <c r="E48" s="3" t="s">
        <v>10</v>
      </c>
      <c r="F48" s="5" t="n">
        <f aca="false">S_PT(B48,D48)</f>
        <v>0.29648292080641</v>
      </c>
      <c r="G48" s="5" t="s">
        <v>47</v>
      </c>
      <c r="H48" s="3" t="s">
        <v>107</v>
      </c>
    </row>
    <row r="49" s="4" customFormat="true" ht="12.75" hidden="false" customHeight="false" outlineLevel="1" collapsed="false">
      <c r="A49" s="5" t="s">
        <v>108</v>
      </c>
      <c r="B49" s="3" t="n">
        <v>100</v>
      </c>
      <c r="C49" s="3" t="s">
        <v>12</v>
      </c>
      <c r="D49" s="3" t="n">
        <f aca="false">F22</f>
        <v>84.0118111671364</v>
      </c>
      <c r="E49" s="3" t="s">
        <v>17</v>
      </c>
      <c r="F49" s="5" t="n">
        <f aca="false">S_PH(B49,D49)</f>
        <v>0.29681384467643</v>
      </c>
      <c r="G49" s="5" t="s">
        <v>47</v>
      </c>
      <c r="H49" s="3" t="s">
        <v>109</v>
      </c>
    </row>
    <row r="50" s="32" customFormat="true" ht="15" hidden="false" customHeight="false" outlineLevel="0" collapsed="false">
      <c r="A50" s="31" t="s">
        <v>110</v>
      </c>
      <c r="F50" s="33"/>
      <c r="G50" s="33"/>
    </row>
    <row r="51" s="4" customFormat="true" ht="12.75" hidden="false" customHeight="false" outlineLevel="1" collapsed="false">
      <c r="A51" s="5" t="s">
        <v>111</v>
      </c>
      <c r="B51" s="3" t="n">
        <v>100</v>
      </c>
      <c r="C51" s="3" t="s">
        <v>12</v>
      </c>
      <c r="D51" s="3"/>
      <c r="E51" s="3"/>
      <c r="F51" s="5" t="n">
        <f aca="false">UV_P(B51)</f>
        <v>2505.54738854188</v>
      </c>
      <c r="G51" s="5" t="s">
        <v>17</v>
      </c>
      <c r="H51" s="3" t="s">
        <v>112</v>
      </c>
    </row>
    <row r="52" s="4" customFormat="true" ht="12.75" hidden="false" customHeight="false" outlineLevel="1" collapsed="false">
      <c r="A52" s="5" t="s">
        <v>113</v>
      </c>
      <c r="B52" s="3" t="n">
        <v>100</v>
      </c>
      <c r="C52" s="3" t="s">
        <v>12</v>
      </c>
      <c r="D52" s="3"/>
      <c r="E52" s="3"/>
      <c r="F52" s="5" t="n">
        <f aca="false">UL_P(B52)</f>
        <v>417.332171032316</v>
      </c>
      <c r="G52" s="5" t="s">
        <v>17</v>
      </c>
      <c r="H52" s="3" t="s">
        <v>114</v>
      </c>
    </row>
    <row r="53" s="4" customFormat="true" ht="12.75" hidden="false" customHeight="false" outlineLevel="1" collapsed="false">
      <c r="A53" s="5" t="s">
        <v>115</v>
      </c>
      <c r="B53" s="3" t="n">
        <v>100</v>
      </c>
      <c r="C53" s="3" t="s">
        <v>10</v>
      </c>
      <c r="D53" s="3"/>
      <c r="E53" s="3"/>
      <c r="F53" s="5" t="n">
        <f aca="false">UV_T(B53)</f>
        <v>2506.01530769157</v>
      </c>
      <c r="G53" s="5" t="s">
        <v>17</v>
      </c>
      <c r="H53" s="3" t="s">
        <v>112</v>
      </c>
    </row>
    <row r="54" s="4" customFormat="true" ht="12.75" hidden="false" customHeight="false" outlineLevel="1" collapsed="false">
      <c r="A54" s="5" t="s">
        <v>116</v>
      </c>
      <c r="B54" s="3" t="n">
        <v>100</v>
      </c>
      <c r="C54" s="3" t="s">
        <v>10</v>
      </c>
      <c r="D54" s="3"/>
      <c r="E54" s="3"/>
      <c r="F54" s="5" t="n">
        <f aca="false">UL_T(B54)</f>
        <v>418.993329855243</v>
      </c>
      <c r="G54" s="5" t="s">
        <v>17</v>
      </c>
      <c r="H54" s="3" t="s">
        <v>114</v>
      </c>
    </row>
    <row r="55" s="4" customFormat="true" ht="12.75" hidden="false" customHeight="false" outlineLevel="1" collapsed="false">
      <c r="A55" s="5" t="s">
        <v>117</v>
      </c>
      <c r="B55" s="3" t="n">
        <v>100</v>
      </c>
      <c r="C55" s="3" t="s">
        <v>12</v>
      </c>
      <c r="D55" s="3" t="n">
        <v>100</v>
      </c>
      <c r="E55" s="3" t="s">
        <v>10</v>
      </c>
      <c r="F55" s="5" t="n">
        <f aca="false">U_PT(B55,D55)</f>
        <v>2506.17142646601</v>
      </c>
      <c r="G55" s="5" t="s">
        <v>17</v>
      </c>
      <c r="H55" s="3" t="s">
        <v>118</v>
      </c>
    </row>
    <row r="56" s="4" customFormat="true" ht="12.75" hidden="false" customHeight="false" outlineLevel="1" collapsed="false">
      <c r="A56" s="5" t="s">
        <v>119</v>
      </c>
      <c r="B56" s="3" t="n">
        <v>100</v>
      </c>
      <c r="C56" s="3" t="s">
        <v>12</v>
      </c>
      <c r="D56" s="3" t="n">
        <v>1000</v>
      </c>
      <c r="E56" s="3" t="s">
        <v>17</v>
      </c>
      <c r="F56" s="5" t="n">
        <f aca="false">U_PH(B56,D56)</f>
        <v>956.207434187014</v>
      </c>
      <c r="G56" s="5" t="s">
        <v>17</v>
      </c>
      <c r="H56" s="3" t="s">
        <v>120</v>
      </c>
    </row>
    <row r="57" s="4" customFormat="true" ht="12.75" hidden="false" customHeight="false" outlineLevel="1" collapsed="false">
      <c r="A57" s="5" t="s">
        <v>121</v>
      </c>
      <c r="B57" s="3" t="n">
        <v>100</v>
      </c>
      <c r="C57" s="3" t="s">
        <v>12</v>
      </c>
      <c r="D57" s="3" t="n">
        <v>1</v>
      </c>
      <c r="E57" s="3" t="s">
        <v>47</v>
      </c>
      <c r="F57" s="5" t="n">
        <f aca="false">U_PS(B57,D57)</f>
        <v>308.508218545684</v>
      </c>
      <c r="G57" s="5" t="s">
        <v>17</v>
      </c>
      <c r="H57" s="3" t="s">
        <v>122</v>
      </c>
    </row>
    <row r="58" s="32" customFormat="true" ht="15" hidden="false" customHeight="false" outlineLevel="0" collapsed="false">
      <c r="A58" s="31" t="s">
        <v>123</v>
      </c>
      <c r="F58" s="33"/>
      <c r="G58" s="33"/>
    </row>
    <row r="59" s="4" customFormat="true" ht="12.75" hidden="false" customHeight="false" outlineLevel="1" collapsed="false">
      <c r="A59" s="5" t="s">
        <v>124</v>
      </c>
      <c r="B59" s="3" t="n">
        <v>100</v>
      </c>
      <c r="C59" s="3" t="s">
        <v>12</v>
      </c>
      <c r="D59" s="3"/>
      <c r="E59" s="3"/>
      <c r="F59" s="5" t="n">
        <f aca="false">CPV_P(B59)</f>
        <v>2.07593802520444</v>
      </c>
      <c r="G59" s="5" t="s">
        <v>125</v>
      </c>
      <c r="H59" s="3" t="s">
        <v>126</v>
      </c>
    </row>
    <row r="60" s="4" customFormat="true" ht="12.75" hidden="false" customHeight="false" outlineLevel="1" collapsed="false">
      <c r="A60" s="5" t="s">
        <v>127</v>
      </c>
      <c r="B60" s="3" t="n">
        <v>100</v>
      </c>
      <c r="C60" s="3" t="s">
        <v>12</v>
      </c>
      <c r="D60" s="3"/>
      <c r="E60" s="3"/>
      <c r="F60" s="5" t="n">
        <f aca="false">CPL_P(B60)</f>
        <v>4.21614943083875</v>
      </c>
      <c r="G60" s="5" t="s">
        <v>125</v>
      </c>
      <c r="H60" s="3" t="s">
        <v>128</v>
      </c>
    </row>
    <row r="61" s="4" customFormat="true" ht="12.75" hidden="false" customHeight="false" outlineLevel="1" collapsed="false">
      <c r="A61" s="5" t="s">
        <v>129</v>
      </c>
      <c r="B61" s="3" t="n">
        <v>100</v>
      </c>
      <c r="C61" s="3" t="s">
        <v>10</v>
      </c>
      <c r="D61" s="3"/>
      <c r="E61" s="3"/>
      <c r="F61" s="5" t="n">
        <f aca="false">CPV_T(B61)</f>
        <v>2.07749186848227</v>
      </c>
      <c r="G61" s="5" t="s">
        <v>125</v>
      </c>
      <c r="H61" s="3" t="s">
        <v>126</v>
      </c>
    </row>
    <row r="62" s="4" customFormat="true" ht="12.75" hidden="false" customHeight="false" outlineLevel="1" collapsed="false">
      <c r="A62" s="5" t="s">
        <v>130</v>
      </c>
      <c r="B62" s="3" t="n">
        <v>100</v>
      </c>
      <c r="C62" s="3" t="s">
        <v>10</v>
      </c>
      <c r="D62" s="3"/>
      <c r="E62" s="3"/>
      <c r="F62" s="5" t="n">
        <f aca="false">CPL_T(B62)</f>
        <v>4.21664511892358</v>
      </c>
      <c r="G62" s="5" t="s">
        <v>125</v>
      </c>
      <c r="H62" s="3" t="s">
        <v>128</v>
      </c>
    </row>
    <row r="63" s="4" customFormat="true" ht="12.75" hidden="false" customHeight="false" outlineLevel="1" collapsed="false">
      <c r="A63" s="5" t="s">
        <v>131</v>
      </c>
      <c r="B63" s="3" t="n">
        <v>100</v>
      </c>
      <c r="C63" s="3" t="s">
        <v>12</v>
      </c>
      <c r="D63" s="3" t="n">
        <v>100</v>
      </c>
      <c r="E63" s="3" t="s">
        <v>10</v>
      </c>
      <c r="F63" s="5" t="n">
        <f aca="false">CP_PT(B63,D63)</f>
        <v>2.07410855458011</v>
      </c>
      <c r="G63" s="5" t="s">
        <v>125</v>
      </c>
      <c r="H63" s="3" t="s">
        <v>132</v>
      </c>
    </row>
    <row r="64" s="4" customFormat="true" ht="12.75" hidden="false" customHeight="false" outlineLevel="1" collapsed="false">
      <c r="A64" s="5" t="s">
        <v>133</v>
      </c>
      <c r="B64" s="3" t="n">
        <v>100</v>
      </c>
      <c r="C64" s="3" t="s">
        <v>12</v>
      </c>
      <c r="D64" s="3" t="n">
        <v>200</v>
      </c>
      <c r="E64" s="3" t="s">
        <v>17</v>
      </c>
      <c r="F64" s="5" t="n">
        <f aca="false">CP_PH(B64,D64)</f>
        <v>4.17913573168802</v>
      </c>
      <c r="G64" s="5" t="s">
        <v>125</v>
      </c>
      <c r="H64" s="3" t="s">
        <v>134</v>
      </c>
    </row>
    <row r="65" s="4" customFormat="true" ht="12.75" hidden="false" customHeight="false" outlineLevel="1" collapsed="false">
      <c r="A65" s="5" t="s">
        <v>135</v>
      </c>
      <c r="B65" s="3" t="n">
        <v>100</v>
      </c>
      <c r="C65" s="3" t="s">
        <v>12</v>
      </c>
      <c r="D65" s="3" t="n">
        <v>1</v>
      </c>
      <c r="E65" s="3" t="s">
        <v>47</v>
      </c>
      <c r="F65" s="5" t="n">
        <f aca="false">CP_PS(B65,D65)</f>
        <v>4.19060703790129</v>
      </c>
      <c r="G65" s="5" t="s">
        <v>125</v>
      </c>
      <c r="H65" s="3" t="s">
        <v>136</v>
      </c>
    </row>
    <row r="66" s="32" customFormat="true" ht="15" hidden="false" customHeight="false" outlineLevel="0" collapsed="false">
      <c r="A66" s="31" t="s">
        <v>137</v>
      </c>
      <c r="F66" s="33"/>
      <c r="G66" s="33"/>
    </row>
    <row r="67" s="4" customFormat="true" ht="12.75" hidden="false" customHeight="false" outlineLevel="1" collapsed="false">
      <c r="A67" s="5" t="s">
        <v>138</v>
      </c>
      <c r="B67" s="3" t="n">
        <v>100</v>
      </c>
      <c r="C67" s="3" t="s">
        <v>12</v>
      </c>
      <c r="D67" s="3"/>
      <c r="E67" s="3"/>
      <c r="F67" s="5" t="n">
        <f aca="false">CVV_P(B67)</f>
        <v>1.5526969793308</v>
      </c>
      <c r="G67" s="5" t="s">
        <v>125</v>
      </c>
      <c r="H67" s="3" t="s">
        <v>139</v>
      </c>
    </row>
    <row r="68" s="4" customFormat="true" ht="12.75" hidden="false" customHeight="false" outlineLevel="1" collapsed="false">
      <c r="A68" s="5" t="s">
        <v>140</v>
      </c>
      <c r="B68" s="3" t="n">
        <v>100</v>
      </c>
      <c r="C68" s="3" t="s">
        <v>12</v>
      </c>
      <c r="D68" s="3"/>
      <c r="E68" s="3"/>
      <c r="F68" s="5" t="n">
        <f aca="false">CVL_P(B68)</f>
        <v>3.7696996827335</v>
      </c>
      <c r="G68" s="5" t="s">
        <v>125</v>
      </c>
      <c r="H68" s="3" t="s">
        <v>141</v>
      </c>
    </row>
    <row r="69" s="4" customFormat="true" ht="12.75" hidden="false" customHeight="false" outlineLevel="1" collapsed="false">
      <c r="A69" s="5" t="s">
        <v>142</v>
      </c>
      <c r="B69" s="3" t="n">
        <v>100</v>
      </c>
      <c r="C69" s="3" t="s">
        <v>10</v>
      </c>
      <c r="D69" s="3"/>
      <c r="E69" s="3"/>
      <c r="F69" s="5" t="n">
        <f aca="false">CVV_T(B69)</f>
        <v>1.55369869603451</v>
      </c>
      <c r="G69" s="5" t="s">
        <v>125</v>
      </c>
      <c r="H69" s="3" t="s">
        <v>139</v>
      </c>
    </row>
    <row r="70" s="4" customFormat="true" ht="12.75" hidden="false" customHeight="false" outlineLevel="1" collapsed="false">
      <c r="A70" s="5" t="s">
        <v>143</v>
      </c>
      <c r="B70" s="3" t="n">
        <v>100</v>
      </c>
      <c r="C70" s="3" t="s">
        <v>10</v>
      </c>
      <c r="D70" s="3"/>
      <c r="E70" s="3"/>
      <c r="F70" s="5" t="n">
        <f aca="false">CVL_T(B70)</f>
        <v>3.76770022014275</v>
      </c>
      <c r="G70" s="5" t="s">
        <v>125</v>
      </c>
      <c r="H70" s="3" t="s">
        <v>141</v>
      </c>
    </row>
    <row r="71" s="4" customFormat="true" ht="12.75" hidden="false" customHeight="false" outlineLevel="1" collapsed="false">
      <c r="A71" s="5" t="s">
        <v>144</v>
      </c>
      <c r="B71" s="3" t="n">
        <v>100</v>
      </c>
      <c r="C71" s="3" t="s">
        <v>12</v>
      </c>
      <c r="D71" s="3" t="n">
        <v>100</v>
      </c>
      <c r="E71" s="3" t="s">
        <v>10</v>
      </c>
      <c r="F71" s="5" t="n">
        <f aca="false">CV_PT(B71,D71)</f>
        <v>1.55139724946449</v>
      </c>
      <c r="G71" s="5" t="s">
        <v>125</v>
      </c>
      <c r="H71" s="3" t="s">
        <v>145</v>
      </c>
    </row>
    <row r="72" s="4" customFormat="true" ht="12.75" hidden="false" customHeight="false" outlineLevel="1" collapsed="false">
      <c r="A72" s="5" t="s">
        <v>146</v>
      </c>
      <c r="B72" s="3" t="n">
        <v>0.0001</v>
      </c>
      <c r="C72" s="3" t="s">
        <v>12</v>
      </c>
      <c r="D72" s="3" t="n">
        <v>200</v>
      </c>
      <c r="E72" s="3" t="s">
        <v>17</v>
      </c>
      <c r="F72" s="5" t="n">
        <f aca="false">CV_PH(B72,D72)</f>
        <v>2015</v>
      </c>
      <c r="G72" s="5" t="s">
        <v>125</v>
      </c>
      <c r="H72" s="3" t="s">
        <v>147</v>
      </c>
    </row>
    <row r="73" s="4" customFormat="true" ht="12.75" hidden="false" customHeight="false" outlineLevel="1" collapsed="false">
      <c r="A73" s="5" t="s">
        <v>148</v>
      </c>
      <c r="B73" s="3" t="n">
        <v>100</v>
      </c>
      <c r="C73" s="3" t="s">
        <v>12</v>
      </c>
      <c r="D73" s="3" t="n">
        <v>1</v>
      </c>
      <c r="E73" s="3" t="s">
        <v>47</v>
      </c>
      <c r="F73" s="5" t="n">
        <f aca="false">CV_PS(B73,D73)</f>
        <v>3.90291946811366</v>
      </c>
      <c r="G73" s="5" t="s">
        <v>125</v>
      </c>
      <c r="H73" s="3" t="s">
        <v>149</v>
      </c>
    </row>
    <row r="74" s="32" customFormat="true" ht="15" hidden="false" customHeight="false" outlineLevel="0" collapsed="false">
      <c r="A74" s="31" t="s">
        <v>150</v>
      </c>
      <c r="F74" s="33"/>
      <c r="G74" s="33"/>
    </row>
    <row r="75" s="4" customFormat="true" ht="12.75" hidden="false" customHeight="false" outlineLevel="1" collapsed="false">
      <c r="A75" s="5" t="s">
        <v>151</v>
      </c>
      <c r="B75" s="3" t="n">
        <v>100</v>
      </c>
      <c r="C75" s="3" t="s">
        <v>12</v>
      </c>
      <c r="D75" s="3"/>
      <c r="E75" s="3"/>
      <c r="F75" s="5" t="n">
        <f aca="false">WV_P(B75)</f>
        <v>472.054157106048</v>
      </c>
      <c r="G75" s="5" t="s">
        <v>36</v>
      </c>
      <c r="H75" s="3" t="s">
        <v>152</v>
      </c>
    </row>
    <row r="76" s="4" customFormat="true" ht="12.75" hidden="false" customHeight="false" outlineLevel="1" collapsed="false">
      <c r="A76" s="5" t="s">
        <v>153</v>
      </c>
      <c r="B76" s="3" t="n">
        <v>100</v>
      </c>
      <c r="C76" s="3" t="s">
        <v>12</v>
      </c>
      <c r="D76" s="3"/>
      <c r="E76" s="3"/>
      <c r="F76" s="5" t="n">
        <f aca="false">WL_P(B76)</f>
        <v>1545.45194753397</v>
      </c>
      <c r="G76" s="5" t="s">
        <v>36</v>
      </c>
      <c r="H76" s="3" t="s">
        <v>154</v>
      </c>
    </row>
    <row r="77" s="4" customFormat="true" ht="12.75" hidden="false" customHeight="false" outlineLevel="1" collapsed="false">
      <c r="A77" s="5" t="s">
        <v>155</v>
      </c>
      <c r="B77" s="3" t="n">
        <v>100</v>
      </c>
      <c r="C77" s="3" t="s">
        <v>10</v>
      </c>
      <c r="D77" s="3"/>
      <c r="E77" s="3"/>
      <c r="F77" s="5" t="n">
        <f aca="false">WV_T(B77)</f>
        <v>472.255949238944</v>
      </c>
      <c r="G77" s="5" t="s">
        <v>36</v>
      </c>
      <c r="H77" s="3" t="s">
        <v>152</v>
      </c>
    </row>
    <row r="78" s="4" customFormat="true" ht="12.75" hidden="false" customHeight="false" outlineLevel="1" collapsed="false">
      <c r="A78" s="5" t="s">
        <v>156</v>
      </c>
      <c r="B78" s="3" t="n">
        <v>100</v>
      </c>
      <c r="C78" s="3" t="s">
        <v>10</v>
      </c>
      <c r="D78" s="3"/>
      <c r="E78" s="3"/>
      <c r="F78" s="5" t="n">
        <f aca="false">WL_T(B78)</f>
        <v>1545.09224919387</v>
      </c>
      <c r="G78" s="5" t="s">
        <v>36</v>
      </c>
      <c r="H78" s="3" t="s">
        <v>154</v>
      </c>
    </row>
    <row r="79" s="4" customFormat="true" ht="12.75" hidden="false" customHeight="false" outlineLevel="1" collapsed="false">
      <c r="A79" s="5" t="s">
        <v>157</v>
      </c>
      <c r="B79" s="3" t="n">
        <v>100</v>
      </c>
      <c r="C79" s="3" t="s">
        <v>12</v>
      </c>
      <c r="D79" s="3" t="n">
        <v>100</v>
      </c>
      <c r="E79" s="3" t="s">
        <v>10</v>
      </c>
      <c r="F79" s="5" t="n">
        <f aca="false">W_PT(B79,D79)</f>
        <v>472.337523524855</v>
      </c>
      <c r="G79" s="5" t="s">
        <v>36</v>
      </c>
      <c r="H79" s="3" t="s">
        <v>158</v>
      </c>
    </row>
    <row r="80" s="4" customFormat="true" ht="12.75" hidden="false" customHeight="false" outlineLevel="1" collapsed="false">
      <c r="A80" s="5" t="s">
        <v>159</v>
      </c>
      <c r="B80" s="3" t="n">
        <v>100</v>
      </c>
      <c r="C80" s="3" t="s">
        <v>12</v>
      </c>
      <c r="D80" s="3" t="n">
        <v>200</v>
      </c>
      <c r="E80" s="3" t="s">
        <v>17</v>
      </c>
      <c r="F80" s="5" t="n">
        <f aca="false">W_PH(B80,D80)</f>
        <v>1542.68247501147</v>
      </c>
      <c r="G80" s="5" t="s">
        <v>36</v>
      </c>
      <c r="H80" s="3" t="s">
        <v>160</v>
      </c>
    </row>
    <row r="81" s="4" customFormat="true" ht="12.75" hidden="false" customHeight="false" outlineLevel="1" collapsed="false">
      <c r="A81" s="5" t="s">
        <v>161</v>
      </c>
      <c r="B81" s="3" t="n">
        <v>100</v>
      </c>
      <c r="C81" s="3" t="s">
        <v>12</v>
      </c>
      <c r="D81" s="3" t="n">
        <v>1</v>
      </c>
      <c r="E81" s="3" t="s">
        <v>47</v>
      </c>
      <c r="F81" s="5" t="n">
        <f aca="false">W_PS(B81,D81)</f>
        <v>1557.85853553222</v>
      </c>
      <c r="G81" s="5" t="s">
        <v>36</v>
      </c>
      <c r="H81" s="3" t="s">
        <v>162</v>
      </c>
    </row>
    <row r="82" s="32" customFormat="true" ht="15" hidden="false" customHeight="false" outlineLevel="0" collapsed="false">
      <c r="A82" s="31" t="s">
        <v>163</v>
      </c>
      <c r="F82" s="33"/>
      <c r="G82" s="33"/>
    </row>
    <row r="83" s="4" customFormat="true" ht="11.25" hidden="false" customHeight="false" outlineLevel="1" collapsed="false">
      <c r="A83" s="4" t="s">
        <v>164</v>
      </c>
      <c r="F83" s="30"/>
      <c r="G83" s="30"/>
    </row>
    <row r="84" s="4" customFormat="true" ht="11.25" hidden="false" customHeight="false" outlineLevel="1" collapsed="false">
      <c r="A84" s="4" t="s">
        <v>165</v>
      </c>
      <c r="F84" s="30"/>
      <c r="G84" s="30"/>
    </row>
    <row r="85" s="4" customFormat="true" ht="12.75" hidden="false" customHeight="false" outlineLevel="1" collapsed="false">
      <c r="A85" s="5" t="s">
        <v>166</v>
      </c>
      <c r="B85" s="3" t="n">
        <v>100</v>
      </c>
      <c r="C85" s="3" t="s">
        <v>12</v>
      </c>
      <c r="D85" s="3" t="n">
        <v>100</v>
      </c>
      <c r="E85" s="3" t="s">
        <v>10</v>
      </c>
      <c r="F85" s="5" t="n">
        <f aca="false">MY_PT(B85,D85)</f>
        <v>1.22704057071965E-005</v>
      </c>
      <c r="G85" s="5" t="s">
        <v>167</v>
      </c>
      <c r="H85" s="3" t="s">
        <v>168</v>
      </c>
    </row>
    <row r="86" s="4" customFormat="true" ht="12.75" hidden="false" customHeight="false" outlineLevel="1" collapsed="false">
      <c r="A86" s="5" t="s">
        <v>169</v>
      </c>
      <c r="B86" s="3" t="n">
        <v>100</v>
      </c>
      <c r="C86" s="3" t="s">
        <v>12</v>
      </c>
      <c r="D86" s="3" t="n">
        <v>100</v>
      </c>
      <c r="E86" s="3" t="s">
        <v>17</v>
      </c>
      <c r="F86" s="34" t="n">
        <f aca="false">MY_PH(B86,D86)</f>
        <v>0.000914003770302112</v>
      </c>
      <c r="G86" s="5" t="s">
        <v>167</v>
      </c>
      <c r="H86" s="3" t="s">
        <v>170</v>
      </c>
    </row>
    <row r="87" s="4" customFormat="true" ht="12.75" hidden="false" customHeight="false" outlineLevel="1" collapsed="false">
      <c r="A87" s="5" t="s">
        <v>171</v>
      </c>
      <c r="B87" s="3" t="n">
        <v>100</v>
      </c>
      <c r="C87" s="3" t="s">
        <v>12</v>
      </c>
      <c r="D87" s="3" t="n">
        <v>1</v>
      </c>
      <c r="E87" s="3" t="s">
        <v>47</v>
      </c>
      <c r="F87" s="34" t="n">
        <f aca="false">MY_PS(B87,D87)</f>
        <v>0.000384221865647568</v>
      </c>
      <c r="G87" s="5" t="s">
        <v>167</v>
      </c>
      <c r="H87" s="3" t="s">
        <v>172</v>
      </c>
    </row>
    <row r="88" customFormat="false" ht="18" hidden="false" customHeight="false" outlineLevel="0" collapsed="false">
      <c r="A88" s="2" t="s">
        <v>173</v>
      </c>
      <c r="F88" s="34"/>
      <c r="H88" s="35"/>
      <c r="I88" s="9"/>
      <c r="J88" s="9"/>
      <c r="K88" s="9"/>
      <c r="L88" s="9"/>
      <c r="M88" s="9"/>
    </row>
    <row r="89" customFormat="false" ht="12.75" hidden="false" customHeight="false" outlineLevel="1" collapsed="false">
      <c r="A89" s="4" t="s">
        <v>174</v>
      </c>
      <c r="F89" s="34"/>
      <c r="H89" s="35"/>
      <c r="I89" s="9"/>
      <c r="J89" s="9"/>
      <c r="K89" s="9"/>
      <c r="L89" s="9"/>
      <c r="M89" s="9"/>
    </row>
    <row r="90" customFormat="false" ht="12.75" hidden="false" customHeight="false" outlineLevel="1" collapsed="false">
      <c r="A90" s="5" t="s">
        <v>175</v>
      </c>
      <c r="B90" s="3" t="n">
        <v>100</v>
      </c>
      <c r="C90" s="3" t="s">
        <v>12</v>
      </c>
      <c r="D90" s="1" t="n">
        <v>200</v>
      </c>
      <c r="E90" s="1" t="s">
        <v>10</v>
      </c>
      <c r="F90" s="34" t="n">
        <f aca="false">PR_PT(B90,D90)</f>
        <v>0.957808214385887</v>
      </c>
      <c r="G90" s="5" t="s">
        <v>176</v>
      </c>
      <c r="H90" s="35"/>
      <c r="I90" s="9"/>
      <c r="J90" s="9"/>
      <c r="K90" s="9"/>
      <c r="L90" s="9"/>
      <c r="M90" s="9"/>
    </row>
    <row r="91" customFormat="false" ht="12.75" hidden="false" customHeight="false" outlineLevel="1" collapsed="false">
      <c r="A91" s="5" t="s">
        <v>177</v>
      </c>
      <c r="B91" s="3" t="n">
        <v>100</v>
      </c>
      <c r="C91" s="3" t="s">
        <v>12</v>
      </c>
      <c r="D91" s="1" t="n">
        <v>2875.4750649489</v>
      </c>
      <c r="E91" s="1" t="s">
        <v>17</v>
      </c>
      <c r="F91" s="34" t="n">
        <f aca="false">PR_PH(B91,D91)</f>
        <v>0.957808261483562</v>
      </c>
      <c r="G91" s="5" t="s">
        <v>176</v>
      </c>
      <c r="H91" s="35"/>
      <c r="I91" s="9"/>
      <c r="J91" s="9"/>
      <c r="K91" s="9"/>
      <c r="L91" s="9"/>
      <c r="M91" s="9"/>
    </row>
    <row r="92" s="32" customFormat="true" ht="15" hidden="false" customHeight="false" outlineLevel="0" collapsed="false">
      <c r="A92" s="31" t="s">
        <v>178</v>
      </c>
      <c r="F92" s="33"/>
      <c r="G92" s="33"/>
      <c r="H92" s="36"/>
      <c r="I92" s="36"/>
      <c r="J92" s="36"/>
      <c r="K92" s="36"/>
      <c r="L92" s="36"/>
      <c r="M92" s="36"/>
    </row>
    <row r="93" s="4" customFormat="true" ht="11.25" hidden="false" customHeight="false" outlineLevel="1" collapsed="false">
      <c r="A93" s="4" t="s">
        <v>179</v>
      </c>
      <c r="F93" s="30"/>
      <c r="G93" s="30"/>
    </row>
    <row r="94" s="4" customFormat="true" ht="12.75" hidden="false" customHeight="false" outlineLevel="1" collapsed="false">
      <c r="A94" s="5" t="s">
        <v>180</v>
      </c>
      <c r="B94" s="3" t="n">
        <v>100</v>
      </c>
      <c r="C94" s="3" t="s">
        <v>12</v>
      </c>
      <c r="D94" s="3"/>
      <c r="E94" s="3"/>
      <c r="F94" s="5" t="n">
        <f aca="false">TCL_P(B94)</f>
        <v>0.677593821766432</v>
      </c>
      <c r="G94" s="5" t="s">
        <v>181</v>
      </c>
      <c r="H94" s="3" t="s">
        <v>182</v>
      </c>
    </row>
    <row r="95" s="4" customFormat="true" ht="12.75" hidden="false" customHeight="false" outlineLevel="1" collapsed="false">
      <c r="A95" s="5" t="s">
        <v>183</v>
      </c>
      <c r="B95" s="3" t="n">
        <v>100</v>
      </c>
      <c r="C95" s="3" t="s">
        <v>12</v>
      </c>
      <c r="D95" s="3"/>
      <c r="E95" s="3"/>
      <c r="F95" s="5" t="n">
        <f aca="false">TCV_P(B95)</f>
        <v>0.0247536675923502</v>
      </c>
      <c r="G95" s="5" t="s">
        <v>181</v>
      </c>
      <c r="H95" s="3" t="s">
        <v>184</v>
      </c>
    </row>
    <row r="96" s="4" customFormat="true" ht="12.75" hidden="false" customHeight="false" outlineLevel="1" collapsed="false">
      <c r="A96" s="5" t="s">
        <v>185</v>
      </c>
      <c r="B96" s="3" t="n">
        <v>25</v>
      </c>
      <c r="C96" s="3" t="s">
        <v>10</v>
      </c>
      <c r="D96" s="3"/>
      <c r="E96" s="3"/>
      <c r="F96" s="5" t="n">
        <f aca="false">TCL_T(B96)</f>
        <v>0.607458161578871</v>
      </c>
      <c r="G96" s="5" t="s">
        <v>181</v>
      </c>
      <c r="H96" s="3" t="s">
        <v>182</v>
      </c>
    </row>
    <row r="97" s="4" customFormat="true" ht="12.75" hidden="false" customHeight="false" outlineLevel="1" collapsed="false">
      <c r="A97" s="5" t="s">
        <v>186</v>
      </c>
      <c r="B97" s="3" t="n">
        <v>25</v>
      </c>
      <c r="C97" s="3" t="s">
        <v>10</v>
      </c>
      <c r="D97" s="3"/>
      <c r="E97" s="3"/>
      <c r="F97" s="5" t="n">
        <f aca="false">TCV_T(B97)</f>
        <v>0.0183267228768631</v>
      </c>
      <c r="G97" s="5" t="s">
        <v>181</v>
      </c>
      <c r="H97" s="3" t="s">
        <v>184</v>
      </c>
    </row>
    <row r="98" s="4" customFormat="true" ht="12.75" hidden="false" customHeight="false" outlineLevel="1" collapsed="false">
      <c r="A98" s="5" t="s">
        <v>187</v>
      </c>
      <c r="B98" s="3" t="n">
        <v>100</v>
      </c>
      <c r="C98" s="3" t="s">
        <v>12</v>
      </c>
      <c r="D98" s="3" t="n">
        <v>25</v>
      </c>
      <c r="E98" s="3" t="s">
        <v>10</v>
      </c>
      <c r="F98" s="5" t="n">
        <f aca="false">TC_PT(B98,D98)</f>
        <v>0.607509806390758</v>
      </c>
      <c r="G98" s="5" t="s">
        <v>181</v>
      </c>
      <c r="H98" s="3" t="s">
        <v>188</v>
      </c>
    </row>
    <row r="99" s="4" customFormat="true" ht="12.75" hidden="false" customHeight="false" outlineLevel="1" collapsed="false">
      <c r="A99" s="5" t="s">
        <v>189</v>
      </c>
      <c r="B99" s="3" t="n">
        <v>100</v>
      </c>
      <c r="C99" s="3" t="s">
        <v>12</v>
      </c>
      <c r="D99" s="3" t="n">
        <v>100</v>
      </c>
      <c r="E99" s="3" t="s">
        <v>47</v>
      </c>
      <c r="F99" s="5" t="n">
        <f aca="false">TC_PH(B99,D99)</f>
        <v>0.605710062456013</v>
      </c>
      <c r="G99" s="5" t="s">
        <v>181</v>
      </c>
      <c r="H99" s="3" t="s">
        <v>190</v>
      </c>
    </row>
    <row r="100" s="4" customFormat="true" ht="12.75" hidden="false" customHeight="false" outlineLevel="1" collapsed="false">
      <c r="A100" s="5" t="s">
        <v>191</v>
      </c>
      <c r="B100" s="3" t="n">
        <v>100</v>
      </c>
      <c r="C100" s="3" t="s">
        <v>47</v>
      </c>
      <c r="D100" s="3" t="n">
        <v>0.34</v>
      </c>
      <c r="E100" s="3" t="s">
        <v>47</v>
      </c>
      <c r="F100" s="5" t="n">
        <f aca="false">TC_HS(B100,D100)</f>
        <v>0.606283123848912</v>
      </c>
      <c r="G100" s="5" t="s">
        <v>181</v>
      </c>
      <c r="H100" s="3" t="s">
        <v>192</v>
      </c>
    </row>
    <row r="101" s="4" customFormat="true" ht="15" hidden="false" customHeight="false" outlineLevel="0" collapsed="false">
      <c r="A101" s="31" t="s">
        <v>193</v>
      </c>
      <c r="B101" s="3"/>
      <c r="C101" s="3"/>
      <c r="D101" s="3"/>
      <c r="E101" s="3"/>
      <c r="F101" s="5"/>
      <c r="G101" s="5"/>
      <c r="H101" s="3"/>
    </row>
    <row r="102" s="4" customFormat="true" ht="11.25" hidden="false" customHeight="false" outlineLevel="1" collapsed="false">
      <c r="A102" s="4" t="s">
        <v>194</v>
      </c>
      <c r="F102" s="30"/>
      <c r="G102" s="30"/>
    </row>
    <row r="103" s="4" customFormat="true" ht="12.75" hidden="false" customHeight="false" outlineLevel="1" collapsed="false">
      <c r="A103" s="5" t="s">
        <v>195</v>
      </c>
      <c r="B103" s="3" t="n">
        <v>100</v>
      </c>
      <c r="C103" s="3" t="s">
        <v>10</v>
      </c>
      <c r="D103" s="3"/>
      <c r="E103" s="3"/>
      <c r="F103" s="5" t="n">
        <f aca="false">ST_T(B104)</f>
        <v>0.0589118685876641</v>
      </c>
      <c r="G103" s="5" t="s">
        <v>196</v>
      </c>
      <c r="H103" s="3" t="s">
        <v>197</v>
      </c>
    </row>
    <row r="104" s="4" customFormat="true" ht="12.75" hidden="false" customHeight="false" outlineLevel="1" collapsed="false">
      <c r="A104" s="5" t="s">
        <v>198</v>
      </c>
      <c r="B104" s="3" t="n">
        <v>100</v>
      </c>
      <c r="C104" s="3" t="s">
        <v>12</v>
      </c>
      <c r="D104" s="3"/>
      <c r="E104" s="3"/>
      <c r="F104" s="5" t="n">
        <f aca="false">ST_P(B104)</f>
        <v>0.0589877841808599</v>
      </c>
      <c r="G104" s="5" t="s">
        <v>196</v>
      </c>
      <c r="H104" s="3" t="s">
        <v>197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4" customFormat="true" ht="12.75" hidden="false" customHeight="false" outlineLevel="1" collapsed="false">
      <c r="A106" s="5" t="s">
        <v>199</v>
      </c>
      <c r="B106" s="3" t="n">
        <v>100</v>
      </c>
      <c r="C106" s="3" t="s">
        <v>12</v>
      </c>
      <c r="D106" s="3" t="n">
        <v>1000</v>
      </c>
      <c r="E106" s="3" t="s">
        <v>17</v>
      </c>
      <c r="F106" s="5" t="n">
        <f aca="false">X_PH(B106,D106)</f>
        <v>0.258055423902795</v>
      </c>
      <c r="G106" s="5"/>
      <c r="H106" s="3" t="s">
        <v>200</v>
      </c>
    </row>
    <row r="107" s="4" customFormat="true" ht="12.75" hidden="false" customHeight="false" outlineLevel="1" collapsed="false">
      <c r="A107" s="5" t="s">
        <v>201</v>
      </c>
      <c r="B107" s="3" t="n">
        <v>100</v>
      </c>
      <c r="C107" s="3" t="s">
        <v>12</v>
      </c>
      <c r="D107" s="3" t="n">
        <v>4</v>
      </c>
      <c r="E107" s="3" t="s">
        <v>47</v>
      </c>
      <c r="F107" s="5" t="n">
        <f aca="false">X_PS(B107,D107)</f>
        <v>0.44539796073232</v>
      </c>
      <c r="G107" s="5"/>
      <c r="H107" s="3" t="s">
        <v>202</v>
      </c>
    </row>
    <row r="108" s="32" customFormat="true" ht="15" hidden="false" customHeight="false" outlineLevel="0" collapsed="false">
      <c r="A108" s="31" t="s">
        <v>203</v>
      </c>
      <c r="F108" s="33"/>
      <c r="G108" s="33"/>
    </row>
    <row r="109" s="4" customFormat="true" ht="11.25" hidden="false" customHeight="false" outlineLevel="1" collapsed="false">
      <c r="A109" s="4" t="s">
        <v>204</v>
      </c>
      <c r="F109" s="30"/>
      <c r="G109" s="30"/>
    </row>
    <row r="110" s="4" customFormat="true" ht="11.25" hidden="false" customHeight="false" outlineLevel="1" collapsed="false">
      <c r="A110" s="4" t="s">
        <v>205</v>
      </c>
      <c r="F110" s="30"/>
      <c r="G110" s="30"/>
    </row>
    <row r="111" s="4" customFormat="true" ht="12.75" hidden="false" customHeight="false" outlineLevel="1" collapsed="false">
      <c r="A111" s="5" t="s">
        <v>206</v>
      </c>
      <c r="B111" s="3" t="n">
        <v>100</v>
      </c>
      <c r="C111" s="3" t="s">
        <v>12</v>
      </c>
      <c r="D111" s="3" t="n">
        <v>418</v>
      </c>
      <c r="E111" s="3" t="s">
        <v>17</v>
      </c>
      <c r="F111" s="37" t="n">
        <f aca="false">VX_PH(B111,D111)</f>
        <v>0.288493093437067</v>
      </c>
      <c r="G111" s="5"/>
      <c r="H111" s="3" t="s">
        <v>207</v>
      </c>
    </row>
    <row r="112" s="4" customFormat="true" ht="12.75" hidden="false" customHeight="false" outlineLevel="1" collapsed="false">
      <c r="A112" s="5" t="s">
        <v>208</v>
      </c>
      <c r="B112" s="3" t="n">
        <v>100</v>
      </c>
      <c r="C112" s="3" t="s">
        <v>12</v>
      </c>
      <c r="D112" s="3" t="n">
        <v>4</v>
      </c>
      <c r="E112" s="3" t="s">
        <v>47</v>
      </c>
      <c r="F112" s="37" t="n">
        <f aca="false">VX_PS(B112,D112)</f>
        <v>0.99923382663888</v>
      </c>
      <c r="G112" s="5"/>
      <c r="H112" s="3" t="s">
        <v>209</v>
      </c>
    </row>
    <row r="113" s="4" customFormat="true" ht="11.25" hidden="false" customHeight="false" outlineLevel="0" collapsed="false">
      <c r="F113" s="30"/>
      <c r="G113" s="30"/>
    </row>
    <row r="114" customFormat="false" ht="15" hidden="false" customHeight="false" outlineLevel="0" collapsed="false">
      <c r="A114" s="31" t="s">
        <v>210</v>
      </c>
    </row>
    <row r="115" customFormat="false" ht="12.75" hidden="false" customHeight="false" outlineLevel="0" collapsed="false">
      <c r="A115" s="30" t="s">
        <v>211</v>
      </c>
    </row>
    <row r="116" customFormat="false" ht="12.75" hidden="false" customHeight="false" outlineLevel="0" collapsed="false">
      <c r="A116" s="4" t="s">
        <v>212</v>
      </c>
    </row>
    <row r="117" customFormat="false" ht="12.75" hidden="false" customHeight="false" outlineLevel="0" collapsed="false">
      <c r="A117" s="4" t="s">
        <v>213</v>
      </c>
    </row>
    <row r="118" customFormat="false" ht="12.75" hidden="false" customHeight="false" outlineLevel="0" collapsed="false">
      <c r="A118" s="4" t="s">
        <v>214</v>
      </c>
    </row>
    <row r="119" customFormat="false" ht="12.75" hidden="false" customHeight="false" outlineLevel="0" collapsed="false">
      <c r="A119" s="30" t="s">
        <v>215</v>
      </c>
    </row>
    <row r="120" customFormat="false" ht="12.75" hidden="false" customHeight="false" outlineLevel="0" collapsed="false">
      <c r="A120" s="4" t="s">
        <v>216</v>
      </c>
    </row>
    <row r="121" customFormat="false" ht="12.75" hidden="false" customHeight="false" outlineLevel="0" collapsed="false">
      <c r="A121" s="30" t="s">
        <v>217</v>
      </c>
    </row>
    <row r="122" customFormat="false" ht="12.75" hidden="false" customHeight="false" outlineLevel="0" collapsed="false">
      <c r="A122" s="4" t="s">
        <v>218</v>
      </c>
    </row>
    <row r="123" customFormat="false" ht="12.75" hidden="false" customHeight="false" outlineLevel="0" collapsed="false">
      <c r="A123" s="4" t="s">
        <v>219</v>
      </c>
    </row>
    <row r="124" customFormat="false" ht="10.9" hidden="false" customHeight="true" outlineLevel="0" collapsed="false">
      <c r="A124" s="4" t="s">
        <v>220</v>
      </c>
    </row>
    <row r="125" customFormat="false" ht="11.45" hidden="false" customHeight="true" outlineLevel="0" collapsed="false">
      <c r="A125" s="4" t="s">
        <v>221</v>
      </c>
    </row>
    <row r="126" customFormat="false" ht="11.45" hidden="false" customHeight="true" outlineLevel="0" collapsed="false">
      <c r="A126" s="30" t="s">
        <v>222</v>
      </c>
    </row>
    <row r="127" customFormat="false" ht="12.75" hidden="false" customHeight="false" outlineLevel="0" collapsed="false">
      <c r="A127" s="4" t="s">
        <v>223</v>
      </c>
    </row>
    <row r="128" customFormat="false" ht="12.75" hidden="false" customHeight="false" outlineLevel="0" collapsed="false">
      <c r="A128" s="4" t="s">
        <v>224</v>
      </c>
    </row>
    <row r="129" customFormat="false" ht="12.75" hidden="false" customHeight="false" outlineLevel="0" collapsed="false">
      <c r="A129" s="4" t="s">
        <v>225</v>
      </c>
    </row>
    <row r="130" customFormat="false" ht="12.75" hidden="false" customHeight="false" outlineLevel="0" collapsed="false">
      <c r="A130" s="4" t="s">
        <v>226</v>
      </c>
    </row>
    <row r="131" customFormat="false" ht="12.75" hidden="false" customHeight="false" outlineLevel="0" collapsed="false">
      <c r="A131" s="4" t="s">
        <v>227</v>
      </c>
    </row>
    <row r="132" customFormat="false" ht="12.75" hidden="false" customHeight="false" outlineLevel="0" collapsed="false">
      <c r="A132" s="30" t="s">
        <v>228</v>
      </c>
    </row>
    <row r="133" customFormat="false" ht="12.75" hidden="false" customHeight="false" outlineLevel="0" collapsed="false">
      <c r="A133" s="4" t="s">
        <v>224</v>
      </c>
    </row>
    <row r="134" customFormat="false" ht="12.75" hidden="false" customHeight="false" outlineLevel="0" collapsed="false">
      <c r="A134" s="4" t="s">
        <v>229</v>
      </c>
    </row>
    <row r="135" customFormat="false" ht="12.75" hidden="false" customHeight="false" outlineLevel="0" collapsed="false">
      <c r="A135" s="4" t="s">
        <v>230</v>
      </c>
    </row>
    <row r="136" customFormat="false" ht="12.75" hidden="false" customHeight="false" outlineLevel="0" collapsed="false">
      <c r="A136" s="4" t="s">
        <v>231</v>
      </c>
    </row>
    <row r="137" customFormat="false" ht="12.75" hidden="false" customHeight="false" outlineLevel="0" collapsed="false">
      <c r="A137" s="4" t="s">
        <v>232</v>
      </c>
    </row>
    <row r="138" customFormat="false" ht="12.75" hidden="false" customHeight="false" outlineLevel="0" collapsed="false">
      <c r="A138" s="30" t="s">
        <v>233</v>
      </c>
    </row>
    <row r="139" customFormat="false" ht="12.75" hidden="false" customHeight="false" outlineLevel="0" collapsed="false">
      <c r="A139" s="4" t="s">
        <v>234</v>
      </c>
    </row>
    <row r="140" customFormat="false" ht="12.75" hidden="false" customHeight="false" outlineLevel="0" collapsed="false">
      <c r="A140" s="4" t="s">
        <v>235</v>
      </c>
    </row>
    <row r="141" customFormat="false" ht="12.75" hidden="false" customHeight="false" outlineLevel="0" collapsed="false">
      <c r="A141" s="4" t="s">
        <v>236</v>
      </c>
    </row>
    <row r="142" customFormat="false" ht="12.75" hidden="false" customHeight="false" outlineLevel="0" collapsed="false">
      <c r="A142" s="30" t="s">
        <v>237</v>
      </c>
    </row>
    <row r="143" customFormat="false" ht="12.75" hidden="false" customHeight="false" outlineLevel="0" collapsed="false">
      <c r="A143" s="4" t="s">
        <v>238</v>
      </c>
    </row>
    <row r="144" customFormat="false" ht="12.75" hidden="false" customHeight="false" outlineLevel="0" collapsed="false">
      <c r="A144" s="4" t="s">
        <v>239</v>
      </c>
    </row>
    <row r="145" customFormat="false" ht="12.75" hidden="false" customHeight="false" outlineLevel="0" collapsed="false">
      <c r="A145" s="4" t="s">
        <v>240</v>
      </c>
    </row>
    <row r="146" customFormat="false" ht="12.75" hidden="false" customHeight="false" outlineLevel="0" collapsed="false">
      <c r="A146" s="4" t="s">
        <v>241</v>
      </c>
    </row>
    <row r="147" customFormat="false" ht="12.75" hidden="false" customHeight="false" outlineLevel="0" collapsed="false">
      <c r="A147" s="4" t="s">
        <v>242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9"/>
  <sheetViews>
    <sheetView showFormulas="false" showGridLines="true" showRowColHeaders="true" showZeros="true" rightToLeft="false" tabSelected="false" showOutlineSymbols="true" defaultGridColor="true" view="normal" topLeftCell="A615" colorId="64" zoomScale="100" zoomScaleNormal="100" zoomScalePageLayoutView="100" workbookViewId="0">
      <selection pane="topLeft" activeCell="A10" activeCellId="0" sqref="A10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s">
        <v>244</v>
      </c>
      <c r="B3" s="0" t="n">
        <v>-0.00015</v>
      </c>
      <c r="C3" s="0" t="n">
        <v>0</v>
      </c>
      <c r="D3" s="0" t="n">
        <v>0.001</v>
      </c>
      <c r="E3" s="0" t="n">
        <v>0.002</v>
      </c>
      <c r="F3" s="0" t="n">
        <v>0.003</v>
      </c>
      <c r="G3" s="0" t="n">
        <v>0.004</v>
      </c>
      <c r="H3" s="0" t="n">
        <v>0.005</v>
      </c>
      <c r="I3" s="0" t="n">
        <v>0.006</v>
      </c>
      <c r="J3" s="0" t="n">
        <v>0.007</v>
      </c>
      <c r="K3" s="0" t="n">
        <v>0.008</v>
      </c>
      <c r="L3" s="0" t="n">
        <v>0.009</v>
      </c>
      <c r="M3" s="0" t="n">
        <v>0.01</v>
      </c>
      <c r="N3" s="0" t="n">
        <v>0.02</v>
      </c>
      <c r="O3" s="0" t="n">
        <v>0.03</v>
      </c>
      <c r="P3" s="0" t="n">
        <v>0.04</v>
      </c>
      <c r="Q3" s="0" t="n">
        <v>0.05</v>
      </c>
      <c r="R3" s="0" t="n">
        <v>0.06</v>
      </c>
      <c r="S3" s="0" t="n">
        <v>0.07</v>
      </c>
      <c r="T3" s="0" t="n">
        <v>0.08</v>
      </c>
      <c r="U3" s="0" t="n">
        <v>0.09</v>
      </c>
      <c r="V3" s="0" t="n">
        <v>0.1</v>
      </c>
      <c r="W3" s="0" t="n">
        <v>0.2</v>
      </c>
      <c r="X3" s="0" t="n">
        <v>0.3</v>
      </c>
      <c r="Y3" s="0" t="n">
        <v>0.4</v>
      </c>
      <c r="Z3" s="0" t="n">
        <v>0.5</v>
      </c>
      <c r="AA3" s="0" t="n">
        <v>0.6</v>
      </c>
      <c r="AB3" s="0" t="n">
        <v>0.7</v>
      </c>
      <c r="AC3" s="0" t="n">
        <v>0.8</v>
      </c>
      <c r="AD3" s="0" t="n">
        <v>0.9</v>
      </c>
      <c r="AE3" s="0" t="n">
        <v>1</v>
      </c>
      <c r="AF3" s="0" t="n">
        <v>2</v>
      </c>
      <c r="AG3" s="0" t="n">
        <v>3</v>
      </c>
      <c r="AH3" s="0" t="n">
        <v>4</v>
      </c>
      <c r="AI3" s="0" t="n">
        <v>5</v>
      </c>
      <c r="AJ3" s="0" t="n">
        <v>6</v>
      </c>
      <c r="AK3" s="0" t="n">
        <v>7</v>
      </c>
      <c r="AL3" s="0" t="n">
        <v>8</v>
      </c>
      <c r="AM3" s="0" t="n">
        <v>9</v>
      </c>
      <c r="AN3" s="0" t="n">
        <v>9.15574</v>
      </c>
      <c r="AO3" s="0" t="n">
        <v>9.2</v>
      </c>
    </row>
    <row r="4" customFormat="false" ht="13.8" hidden="false" customHeight="false" outlineLevel="0" collapsed="false">
      <c r="A4" s="0" t="s">
        <v>245</v>
      </c>
      <c r="B4" s="0" t="n">
        <v>0</v>
      </c>
      <c r="C4" s="0" t="n">
        <v>0.1</v>
      </c>
      <c r="D4" s="0" t="n">
        <v>0.2</v>
      </c>
      <c r="E4" s="0" t="n">
        <v>0.3</v>
      </c>
      <c r="F4" s="0" t="n">
        <v>0.4</v>
      </c>
      <c r="G4" s="0" t="n">
        <v>0.5</v>
      </c>
      <c r="H4" s="0" t="n">
        <v>0.6</v>
      </c>
      <c r="I4" s="0" t="n">
        <v>0.7</v>
      </c>
      <c r="J4" s="0" t="n">
        <v>0.8</v>
      </c>
      <c r="K4" s="0" t="n">
        <v>0.9</v>
      </c>
      <c r="L4" s="0" t="n">
        <v>1</v>
      </c>
      <c r="M4" s="0" t="n">
        <v>2</v>
      </c>
      <c r="N4" s="0" t="n">
        <v>3</v>
      </c>
      <c r="O4" s="0" t="n">
        <v>4</v>
      </c>
      <c r="P4" s="0" t="n">
        <v>5</v>
      </c>
      <c r="Q4" s="0" t="n">
        <v>6</v>
      </c>
      <c r="R4" s="0" t="n">
        <v>7</v>
      </c>
      <c r="S4" s="0" t="n">
        <v>8</v>
      </c>
      <c r="T4" s="0" t="n">
        <v>9</v>
      </c>
      <c r="U4" s="0" t="n">
        <v>10</v>
      </c>
      <c r="V4" s="0" t="n">
        <v>20</v>
      </c>
      <c r="W4" s="0" t="n">
        <v>30</v>
      </c>
      <c r="X4" s="0" t="n">
        <v>40</v>
      </c>
      <c r="Y4" s="0" t="n">
        <v>50</v>
      </c>
      <c r="Z4" s="0" t="n">
        <v>60</v>
      </c>
      <c r="AA4" s="0" t="n">
        <v>70</v>
      </c>
      <c r="AB4" s="0" t="n">
        <v>80</v>
      </c>
      <c r="AC4" s="0" t="n">
        <v>90</v>
      </c>
      <c r="AD4" s="0" t="n">
        <v>100</v>
      </c>
      <c r="AE4" s="0" t="n">
        <v>200</v>
      </c>
      <c r="AF4" s="0" t="n">
        <v>300</v>
      </c>
      <c r="AG4" s="0" t="n">
        <v>400</v>
      </c>
    </row>
    <row r="5" customFormat="false" ht="13.8" hidden="false" customHeight="false" outlineLevel="0" collapsed="false">
      <c r="A5" s="0" t="s">
        <v>246</v>
      </c>
      <c r="B5" s="0" t="n">
        <f aca="false">B4</f>
        <v>0</v>
      </c>
      <c r="C5" s="0" t="n">
        <f aca="false">C4</f>
        <v>0.1</v>
      </c>
      <c r="D5" s="0" t="n">
        <f aca="false">D4</f>
        <v>0.2</v>
      </c>
      <c r="E5" s="0" t="n">
        <f aca="false">E4</f>
        <v>0.3</v>
      </c>
      <c r="F5" s="0" t="n">
        <f aca="false">F4</f>
        <v>0.4</v>
      </c>
      <c r="G5" s="0" t="n">
        <f aca="false">G4</f>
        <v>0.5</v>
      </c>
      <c r="H5" s="0" t="n">
        <f aca="false">H4</f>
        <v>0.6</v>
      </c>
      <c r="I5" s="0" t="n">
        <f aca="false">I4</f>
        <v>0.7</v>
      </c>
      <c r="J5" s="0" t="n">
        <f aca="false">J4</f>
        <v>0.8</v>
      </c>
      <c r="K5" s="0" t="n">
        <f aca="false">K4</f>
        <v>0.9</v>
      </c>
      <c r="L5" s="0" t="n">
        <f aca="false">L4</f>
        <v>1</v>
      </c>
      <c r="M5" s="0" t="n">
        <f aca="false">M4</f>
        <v>2</v>
      </c>
      <c r="N5" s="0" t="n">
        <f aca="false">N4</f>
        <v>3</v>
      </c>
      <c r="O5" s="0" t="n">
        <f aca="false">O4</f>
        <v>4</v>
      </c>
      <c r="P5" s="0" t="n">
        <f aca="false">P4</f>
        <v>5</v>
      </c>
      <c r="Q5" s="0" t="n">
        <f aca="false">Q4</f>
        <v>6</v>
      </c>
      <c r="R5" s="0" t="n">
        <f aca="false">R4</f>
        <v>7</v>
      </c>
      <c r="S5" s="0" t="n">
        <f aca="false">S4</f>
        <v>8</v>
      </c>
      <c r="T5" s="0" t="n">
        <f aca="false">T4</f>
        <v>9</v>
      </c>
      <c r="U5" s="0" t="n">
        <f aca="false">U4</f>
        <v>10</v>
      </c>
      <c r="V5" s="0" t="n">
        <f aca="false">V4</f>
        <v>20</v>
      </c>
      <c r="W5" s="0" t="n">
        <f aca="false">W4</f>
        <v>30</v>
      </c>
      <c r="X5" s="0" t="n">
        <f aca="false">X4</f>
        <v>40</v>
      </c>
      <c r="Y5" s="0" t="n">
        <f aca="false">Y4</f>
        <v>50</v>
      </c>
      <c r="Z5" s="0" t="n">
        <f aca="false">Z4</f>
        <v>60</v>
      </c>
      <c r="AA5" s="0" t="n">
        <f aca="false">AA4</f>
        <v>70</v>
      </c>
      <c r="AB5" s="0" t="n">
        <f aca="false">AB4</f>
        <v>80</v>
      </c>
      <c r="AC5" s="0" t="n">
        <f aca="false">AC4</f>
        <v>90</v>
      </c>
      <c r="AD5" s="0" t="n">
        <f aca="false">AD4</f>
        <v>100</v>
      </c>
      <c r="AE5" s="0" t="n">
        <f aca="false">AE4</f>
        <v>200</v>
      </c>
      <c r="AF5" s="0" t="n">
        <f aca="false">AF4</f>
        <v>300</v>
      </c>
      <c r="AG5" s="0" t="n">
        <f aca="false">AG4</f>
        <v>400</v>
      </c>
      <c r="AH5" s="0" t="n">
        <f aca="false">AG5+100</f>
        <v>500</v>
      </c>
      <c r="AI5" s="0" t="n">
        <f aca="false">AH5+100</f>
        <v>600</v>
      </c>
      <c r="AJ5" s="0" t="n">
        <f aca="false">AI5+100</f>
        <v>700</v>
      </c>
      <c r="AK5" s="0" t="n">
        <f aca="false">AJ5+100</f>
        <v>800</v>
      </c>
      <c r="AL5" s="0" t="n">
        <f aca="false">AK5+100</f>
        <v>900</v>
      </c>
      <c r="AM5" s="0" t="n">
        <f aca="false">AL5+100</f>
        <v>1000</v>
      </c>
    </row>
    <row r="9" customFormat="false" ht="12.8" hidden="false" customHeight="false" outlineLevel="0" collapsed="false">
      <c r="A9" s="0" t="s">
        <v>247</v>
      </c>
      <c r="B9" s="0" t="s">
        <v>248</v>
      </c>
      <c r="C9" s="0" t="s">
        <v>249</v>
      </c>
    </row>
    <row r="10" customFormat="false" ht="12.8" hidden="false" customHeight="false" outlineLevel="0" collapsed="false">
      <c r="A10" s="0" t="n">
        <v>0.1</v>
      </c>
      <c r="B10" s="0" t="n">
        <v>0.01</v>
      </c>
      <c r="C10" s="0" t="n">
        <v>0</v>
      </c>
    </row>
    <row r="11" customFormat="false" ht="13.8" hidden="false" customHeight="false" outlineLevel="0" collapsed="false">
      <c r="A11" s="0" t="n">
        <v>0.2</v>
      </c>
      <c r="B11" s="0" t="n">
        <f aca="false">B10+0.01</f>
        <v>0.02</v>
      </c>
      <c r="C11" s="0" t="n">
        <v>0.001</v>
      </c>
    </row>
    <row r="12" customFormat="false" ht="13.8" hidden="false" customHeight="false" outlineLevel="0" collapsed="false">
      <c r="A12" s="0" t="n">
        <v>0.3</v>
      </c>
      <c r="B12" s="0" t="n">
        <f aca="false">B11+0.01</f>
        <v>0.03</v>
      </c>
      <c r="C12" s="0" t="n">
        <f aca="false">C11+0.001</f>
        <v>0.002</v>
      </c>
    </row>
    <row r="13" customFormat="false" ht="13.8" hidden="false" customHeight="false" outlineLevel="0" collapsed="false">
      <c r="A13" s="0" t="n">
        <v>0.4</v>
      </c>
      <c r="B13" s="0" t="n">
        <f aca="false">B12+0.01</f>
        <v>0.04</v>
      </c>
      <c r="C13" s="0" t="n">
        <f aca="false">C12+0.001</f>
        <v>0.003</v>
      </c>
    </row>
    <row r="14" customFormat="false" ht="13.8" hidden="false" customHeight="false" outlineLevel="0" collapsed="false">
      <c r="A14" s="0" t="n">
        <v>0.5</v>
      </c>
      <c r="B14" s="0" t="n">
        <f aca="false">B13+0.01</f>
        <v>0.05</v>
      </c>
      <c r="C14" s="0" t="n">
        <f aca="false">C13+0.001</f>
        <v>0.004</v>
      </c>
    </row>
    <row r="15" customFormat="false" ht="13.8" hidden="false" customHeight="false" outlineLevel="0" collapsed="false">
      <c r="A15" s="0" t="n">
        <v>0.6</v>
      </c>
      <c r="B15" s="0" t="n">
        <f aca="false">B14+0.01</f>
        <v>0.06</v>
      </c>
      <c r="C15" s="0" t="n">
        <f aca="false">C14+0.001</f>
        <v>0.005</v>
      </c>
    </row>
    <row r="16" customFormat="false" ht="13.8" hidden="false" customHeight="false" outlineLevel="0" collapsed="false">
      <c r="A16" s="0" t="n">
        <v>0.7</v>
      </c>
      <c r="B16" s="0" t="n">
        <f aca="false">B15+0.01</f>
        <v>0.07</v>
      </c>
      <c r="C16" s="0" t="n">
        <f aca="false">C15+0.001</f>
        <v>0.006</v>
      </c>
    </row>
    <row r="17" customFormat="false" ht="13.8" hidden="false" customHeight="false" outlineLevel="0" collapsed="false">
      <c r="A17" s="0" t="n">
        <v>0.8</v>
      </c>
      <c r="B17" s="0" t="n">
        <f aca="false">B16+0.01</f>
        <v>0.08</v>
      </c>
      <c r="C17" s="0" t="n">
        <f aca="false">C16+0.001</f>
        <v>0.007</v>
      </c>
    </row>
    <row r="18" customFormat="false" ht="13.8" hidden="false" customHeight="false" outlineLevel="0" collapsed="false">
      <c r="A18" s="0" t="n">
        <v>0.9</v>
      </c>
      <c r="B18" s="0" t="n">
        <f aca="false">B17+0.01</f>
        <v>0.09</v>
      </c>
      <c r="C18" s="0" t="n">
        <f aca="false">C17+0.001</f>
        <v>0.008</v>
      </c>
    </row>
    <row r="19" customFormat="false" ht="13.8" hidden="false" customHeight="false" outlineLevel="0" collapsed="false">
      <c r="A19" s="0" t="n">
        <v>1</v>
      </c>
      <c r="B19" s="0" t="n">
        <f aca="false">B18+0.01</f>
        <v>0.1</v>
      </c>
      <c r="C19" s="0" t="n">
        <f aca="false">C18+0.001</f>
        <v>0.009</v>
      </c>
    </row>
    <row r="20" customFormat="false" ht="13.8" hidden="false" customHeight="false" outlineLevel="0" collapsed="false">
      <c r="A20" s="0" t="n">
        <v>2</v>
      </c>
      <c r="B20" s="0" t="n">
        <f aca="false">B19+0.1</f>
        <v>0.2</v>
      </c>
      <c r="C20" s="0" t="n">
        <f aca="false">C19+0.001</f>
        <v>0.01</v>
      </c>
    </row>
    <row r="21" customFormat="false" ht="13.8" hidden="false" customHeight="false" outlineLevel="0" collapsed="false">
      <c r="A21" s="0" t="n">
        <v>3</v>
      </c>
      <c r="B21" s="0" t="n">
        <f aca="false">B20+0.1</f>
        <v>0.3</v>
      </c>
      <c r="C21" s="0" t="n">
        <f aca="false">C20+0.01</f>
        <v>0.02</v>
      </c>
    </row>
    <row r="22" customFormat="false" ht="13.8" hidden="false" customHeight="false" outlineLevel="0" collapsed="false">
      <c r="A22" s="0" t="n">
        <v>4</v>
      </c>
      <c r="B22" s="0" t="n">
        <f aca="false">B21+0.1</f>
        <v>0.4</v>
      </c>
      <c r="C22" s="0" t="n">
        <f aca="false">C21+0.01</f>
        <v>0.03</v>
      </c>
    </row>
    <row r="23" customFormat="false" ht="13.8" hidden="false" customHeight="false" outlineLevel="0" collapsed="false">
      <c r="A23" s="0" t="n">
        <v>5</v>
      </c>
      <c r="B23" s="0" t="n">
        <f aca="false">B22+0.1</f>
        <v>0.5</v>
      </c>
      <c r="C23" s="0" t="n">
        <f aca="false">C22+0.01</f>
        <v>0.04</v>
      </c>
    </row>
    <row r="24" customFormat="false" ht="13.8" hidden="false" customHeight="false" outlineLevel="0" collapsed="false">
      <c r="A24" s="0" t="n">
        <v>6</v>
      </c>
      <c r="B24" s="0" t="n">
        <f aca="false">B23+0.1</f>
        <v>0.6</v>
      </c>
      <c r="C24" s="0" t="n">
        <f aca="false">C23+0.01</f>
        <v>0.05</v>
      </c>
    </row>
    <row r="25" customFormat="false" ht="13.8" hidden="false" customHeight="false" outlineLevel="0" collapsed="false">
      <c r="A25" s="0" t="n">
        <v>7</v>
      </c>
      <c r="B25" s="0" t="n">
        <f aca="false">B24+0.1</f>
        <v>0.7</v>
      </c>
      <c r="C25" s="0" t="n">
        <f aca="false">C24+0.01</f>
        <v>0.06</v>
      </c>
    </row>
    <row r="26" customFormat="false" ht="13.8" hidden="false" customHeight="false" outlineLevel="0" collapsed="false">
      <c r="A26" s="0" t="n">
        <v>8</v>
      </c>
      <c r="B26" s="0" t="n">
        <f aca="false">B25+0.1</f>
        <v>0.8</v>
      </c>
      <c r="C26" s="0" t="n">
        <f aca="false">C25+0.01</f>
        <v>0.07</v>
      </c>
    </row>
    <row r="27" customFormat="false" ht="13.8" hidden="false" customHeight="false" outlineLevel="0" collapsed="false">
      <c r="A27" s="0" t="n">
        <v>9</v>
      </c>
      <c r="B27" s="0" t="n">
        <f aca="false">B26+0.1</f>
        <v>0.9</v>
      </c>
      <c r="C27" s="0" t="n">
        <f aca="false">C26+0.01</f>
        <v>0.08</v>
      </c>
    </row>
    <row r="28" customFormat="false" ht="13.8" hidden="false" customHeight="false" outlineLevel="0" collapsed="false">
      <c r="A28" s="0" t="n">
        <v>10</v>
      </c>
      <c r="B28" s="0" t="n">
        <f aca="false">B27+0.1</f>
        <v>1</v>
      </c>
      <c r="C28" s="0" t="n">
        <f aca="false">C27+0.01</f>
        <v>0.09</v>
      </c>
    </row>
    <row r="29" customFormat="false" ht="13.8" hidden="false" customHeight="false" outlineLevel="0" collapsed="false">
      <c r="A29" s="0" t="n">
        <v>20</v>
      </c>
      <c r="B29" s="0" t="n">
        <f aca="false">B28+1</f>
        <v>2</v>
      </c>
      <c r="C29" s="0" t="n">
        <f aca="false">C28+0.01</f>
        <v>0.1</v>
      </c>
    </row>
    <row r="30" customFormat="false" ht="13.8" hidden="false" customHeight="false" outlineLevel="0" collapsed="false">
      <c r="A30" s="0" t="n">
        <v>30</v>
      </c>
      <c r="B30" s="0" t="n">
        <f aca="false">B29+1</f>
        <v>3</v>
      </c>
      <c r="C30" s="0" t="n">
        <f aca="false">C29+0.1</f>
        <v>0.2</v>
      </c>
    </row>
    <row r="31" customFormat="false" ht="13.8" hidden="false" customHeight="false" outlineLevel="0" collapsed="false">
      <c r="A31" s="0" t="n">
        <v>40</v>
      </c>
      <c r="B31" s="0" t="n">
        <f aca="false">B30+1</f>
        <v>4</v>
      </c>
      <c r="C31" s="0" t="n">
        <f aca="false">C30+0.1</f>
        <v>0.3</v>
      </c>
    </row>
    <row r="32" customFormat="false" ht="13.8" hidden="false" customHeight="false" outlineLevel="0" collapsed="false">
      <c r="A32" s="0" t="n">
        <v>50</v>
      </c>
      <c r="B32" s="0" t="n">
        <f aca="false">B31+1</f>
        <v>5</v>
      </c>
      <c r="C32" s="0" t="n">
        <f aca="false">C31+0.1</f>
        <v>0.4</v>
      </c>
    </row>
    <row r="33" customFormat="false" ht="13.8" hidden="false" customHeight="false" outlineLevel="0" collapsed="false">
      <c r="A33" s="0" t="n">
        <v>60</v>
      </c>
      <c r="B33" s="0" t="n">
        <f aca="false">B32+1</f>
        <v>6</v>
      </c>
      <c r="C33" s="0" t="n">
        <f aca="false">C32+0.1</f>
        <v>0.5</v>
      </c>
    </row>
    <row r="34" customFormat="false" ht="13.8" hidden="false" customHeight="false" outlineLevel="0" collapsed="false">
      <c r="A34" s="0" t="n">
        <v>70</v>
      </c>
      <c r="B34" s="0" t="n">
        <f aca="false">B33+1</f>
        <v>7</v>
      </c>
      <c r="C34" s="0" t="n">
        <f aca="false">C33+0.1</f>
        <v>0.6</v>
      </c>
    </row>
    <row r="35" customFormat="false" ht="13.8" hidden="false" customHeight="false" outlineLevel="0" collapsed="false">
      <c r="A35" s="0" t="n">
        <v>80</v>
      </c>
      <c r="B35" s="0" t="n">
        <f aca="false">B34+1</f>
        <v>8</v>
      </c>
      <c r="C35" s="0" t="n">
        <f aca="false">C34+0.1</f>
        <v>0.7</v>
      </c>
    </row>
    <row r="36" customFormat="false" ht="13.8" hidden="false" customHeight="false" outlineLevel="0" collapsed="false">
      <c r="A36" s="0" t="n">
        <v>90</v>
      </c>
      <c r="B36" s="0" t="n">
        <f aca="false">B35+1</f>
        <v>9</v>
      </c>
      <c r="C36" s="0" t="n">
        <f aca="false">C35+0.1</f>
        <v>0.8</v>
      </c>
    </row>
    <row r="37" customFormat="false" ht="13.8" hidden="false" customHeight="false" outlineLevel="0" collapsed="false">
      <c r="A37" s="0" t="n">
        <v>100</v>
      </c>
      <c r="B37" s="0" t="n">
        <f aca="false">B36+1</f>
        <v>10</v>
      </c>
      <c r="C37" s="0" t="n">
        <f aca="false">C36+0.1</f>
        <v>0.9</v>
      </c>
    </row>
    <row r="38" customFormat="false" ht="13.8" hidden="false" customHeight="false" outlineLevel="0" collapsed="false">
      <c r="A38" s="0" t="n">
        <v>200</v>
      </c>
      <c r="B38" s="0" t="n">
        <f aca="false">B37+10</f>
        <v>20</v>
      </c>
      <c r="C38" s="0" t="n">
        <f aca="false">C37+0.1</f>
        <v>1</v>
      </c>
    </row>
    <row r="39" customFormat="false" ht="13.8" hidden="false" customHeight="false" outlineLevel="0" collapsed="false">
      <c r="A39" s="0" t="n">
        <v>300</v>
      </c>
      <c r="B39" s="0" t="n">
        <f aca="false">B38+10</f>
        <v>30</v>
      </c>
    </row>
    <row r="40" customFormat="false" ht="13.8" hidden="false" customHeight="false" outlineLevel="0" collapsed="false">
      <c r="A40" s="0" t="n">
        <v>400</v>
      </c>
      <c r="B40" s="0" t="n">
        <f aca="false">B39+10</f>
        <v>40</v>
      </c>
    </row>
    <row r="41" customFormat="false" ht="13.8" hidden="false" customHeight="false" outlineLevel="0" collapsed="false">
      <c r="A41" s="0" t="n">
        <v>500</v>
      </c>
      <c r="B41" s="0" t="n">
        <f aca="false">B40+10</f>
        <v>50</v>
      </c>
    </row>
    <row r="42" customFormat="false" ht="13.8" hidden="false" customHeight="false" outlineLevel="0" collapsed="false">
      <c r="A42" s="0" t="n">
        <v>600</v>
      </c>
      <c r="B42" s="0" t="n">
        <f aca="false">B41+10</f>
        <v>60</v>
      </c>
    </row>
    <row r="43" customFormat="false" ht="13.8" hidden="false" customHeight="false" outlineLevel="0" collapsed="false">
      <c r="A43" s="0" t="n">
        <v>700</v>
      </c>
      <c r="B43" s="0" t="n">
        <f aca="false">B42+10</f>
        <v>70</v>
      </c>
    </row>
    <row r="44" customFormat="false" ht="13.8" hidden="false" customHeight="false" outlineLevel="0" collapsed="false">
      <c r="A44" s="0" t="n">
        <v>800</v>
      </c>
      <c r="B44" s="0" t="n">
        <f aca="false">B43+10</f>
        <v>80</v>
      </c>
    </row>
    <row r="45" customFormat="false" ht="13.8" hidden="false" customHeight="false" outlineLevel="0" collapsed="false">
      <c r="A45" s="0" t="n">
        <v>900</v>
      </c>
      <c r="B45" s="0" t="n">
        <f aca="false">B44+10</f>
        <v>90</v>
      </c>
    </row>
    <row r="46" customFormat="false" ht="13.8" hidden="false" customHeight="false" outlineLevel="0" collapsed="false">
      <c r="A46" s="0" t="n">
        <v>1000</v>
      </c>
      <c r="B46" s="0" t="n">
        <f aca="false">B45+10</f>
        <v>100</v>
      </c>
    </row>
    <row r="47" customFormat="false" ht="13.8" hidden="false" customHeight="false" outlineLevel="0" collapsed="false">
      <c r="A47" s="0" t="n">
        <v>2000</v>
      </c>
      <c r="B47" s="0" t="n">
        <f aca="false">B46+100</f>
        <v>200</v>
      </c>
    </row>
    <row r="48" customFormat="false" ht="13.8" hidden="false" customHeight="false" outlineLevel="0" collapsed="false">
      <c r="A48" s="0" t="n">
        <v>2010</v>
      </c>
      <c r="B48" s="0" t="n">
        <f aca="false">B47+100</f>
        <v>300</v>
      </c>
    </row>
    <row r="49" customFormat="false" ht="13.8" hidden="false" customHeight="false" outlineLevel="0" collapsed="false">
      <c r="A49" s="0" t="n">
        <v>2020</v>
      </c>
      <c r="B49" s="0" t="n">
        <f aca="false">B48+100</f>
        <v>400</v>
      </c>
    </row>
    <row r="50" customFormat="false" ht="13.8" hidden="false" customHeight="false" outlineLevel="0" collapsed="false">
      <c r="A50" s="0" t="n">
        <v>2030</v>
      </c>
      <c r="B50" s="0" t="n">
        <f aca="false">B49+100</f>
        <v>500</v>
      </c>
    </row>
    <row r="51" customFormat="false" ht="13.8" hidden="false" customHeight="false" outlineLevel="0" collapsed="false">
      <c r="A51" s="0" t="n">
        <v>2040</v>
      </c>
      <c r="B51" s="0" t="n">
        <f aca="false">B50+100</f>
        <v>600</v>
      </c>
    </row>
    <row r="52" customFormat="false" ht="13.8" hidden="false" customHeight="false" outlineLevel="0" collapsed="false">
      <c r="A52" s="0" t="n">
        <v>2050</v>
      </c>
      <c r="B52" s="0" t="n">
        <f aca="false">B51+100</f>
        <v>700</v>
      </c>
    </row>
    <row r="53" customFormat="false" ht="13.8" hidden="false" customHeight="false" outlineLevel="0" collapsed="false">
      <c r="A53" s="0" t="n">
        <v>2060</v>
      </c>
      <c r="B53" s="0" t="n">
        <f aca="false">B52+100</f>
        <v>800</v>
      </c>
    </row>
    <row r="54" customFormat="false" ht="13.8" hidden="false" customHeight="false" outlineLevel="0" collapsed="false">
      <c r="A54" s="0" t="n">
        <v>2070</v>
      </c>
      <c r="B54" s="0" t="n">
        <f aca="false">B53+100</f>
        <v>900</v>
      </c>
    </row>
    <row r="55" customFormat="false" ht="13.8" hidden="false" customHeight="false" outlineLevel="0" collapsed="false">
      <c r="A55" s="0" t="n">
        <v>2080</v>
      </c>
      <c r="B55" s="0" t="n">
        <f aca="false">B54+100</f>
        <v>1000</v>
      </c>
    </row>
    <row r="56" customFormat="false" ht="13.8" hidden="false" customHeight="false" outlineLevel="0" collapsed="false">
      <c r="A56" s="0" t="n">
        <v>2090</v>
      </c>
    </row>
    <row r="57" customFormat="false" ht="13.8" hidden="false" customHeight="false" outlineLevel="0" collapsed="false">
      <c r="A57" s="0" t="n">
        <v>2100</v>
      </c>
    </row>
    <row r="58" customFormat="false" ht="12.8" hidden="false" customHeight="false" outlineLevel="0" collapsed="false">
      <c r="A58" s="0" t="n">
        <v>2110</v>
      </c>
    </row>
    <row r="59" customFormat="false" ht="12.8" hidden="false" customHeight="false" outlineLevel="0" collapsed="false">
      <c r="A59" s="0" t="n">
        <v>2120</v>
      </c>
    </row>
    <row r="60" customFormat="false" ht="12.8" hidden="false" customHeight="false" outlineLevel="0" collapsed="false">
      <c r="A60" s="0" t="n">
        <v>2130</v>
      </c>
    </row>
    <row r="61" customFormat="false" ht="12.8" hidden="false" customHeight="false" outlineLevel="0" collapsed="false">
      <c r="A61" s="0" t="n">
        <v>2140</v>
      </c>
    </row>
    <row r="62" customFormat="false" ht="12.8" hidden="false" customHeight="false" outlineLevel="0" collapsed="false">
      <c r="A62" s="0" t="n">
        <v>2150</v>
      </c>
    </row>
    <row r="63" customFormat="false" ht="12.8" hidden="false" customHeight="false" outlineLevel="0" collapsed="false">
      <c r="A63" s="0" t="n">
        <v>2160</v>
      </c>
    </row>
    <row r="64" customFormat="false" ht="12.8" hidden="false" customHeight="false" outlineLevel="0" collapsed="false">
      <c r="A64" s="0" t="n">
        <v>2170</v>
      </c>
    </row>
    <row r="65" customFormat="false" ht="12.8" hidden="false" customHeight="false" outlineLevel="0" collapsed="false">
      <c r="A65" s="0" t="n">
        <v>2180</v>
      </c>
    </row>
    <row r="66" customFormat="false" ht="12.8" hidden="false" customHeight="false" outlineLevel="0" collapsed="false">
      <c r="A66" s="0" t="n">
        <v>2190</v>
      </c>
    </row>
    <row r="67" customFormat="false" ht="12.8" hidden="false" customHeight="false" outlineLevel="0" collapsed="false">
      <c r="A67" s="0" t="n">
        <v>2200</v>
      </c>
    </row>
    <row r="68" customFormat="false" ht="12.8" hidden="false" customHeight="false" outlineLevel="0" collapsed="false">
      <c r="A68" s="0" t="n">
        <v>2210</v>
      </c>
    </row>
    <row r="69" customFormat="false" ht="12.8" hidden="false" customHeight="false" outlineLevel="0" collapsed="false">
      <c r="A69" s="0" t="n">
        <v>2220</v>
      </c>
    </row>
    <row r="70" customFormat="false" ht="12.8" hidden="false" customHeight="false" outlineLevel="0" collapsed="false">
      <c r="A70" s="0" t="n">
        <v>2230</v>
      </c>
    </row>
    <row r="71" customFormat="false" ht="12.8" hidden="false" customHeight="false" outlineLevel="0" collapsed="false">
      <c r="A71" s="0" t="n">
        <v>2240</v>
      </c>
    </row>
    <row r="72" customFormat="false" ht="12.8" hidden="false" customHeight="false" outlineLevel="0" collapsed="false">
      <c r="A72" s="0" t="n">
        <v>2250</v>
      </c>
    </row>
    <row r="73" customFormat="false" ht="12.8" hidden="false" customHeight="false" outlineLevel="0" collapsed="false">
      <c r="A73" s="0" t="n">
        <v>2260</v>
      </c>
    </row>
    <row r="74" customFormat="false" ht="12.8" hidden="false" customHeight="false" outlineLevel="0" collapsed="false">
      <c r="A74" s="0" t="n">
        <v>2270</v>
      </c>
    </row>
    <row r="75" customFormat="false" ht="12.8" hidden="false" customHeight="false" outlineLevel="0" collapsed="false">
      <c r="A75" s="0" t="n">
        <v>2280</v>
      </c>
    </row>
    <row r="76" customFormat="false" ht="12.8" hidden="false" customHeight="false" outlineLevel="0" collapsed="false">
      <c r="A76" s="0" t="n">
        <v>2290</v>
      </c>
    </row>
    <row r="77" customFormat="false" ht="12.8" hidden="false" customHeight="false" outlineLevel="0" collapsed="false">
      <c r="A77" s="0" t="n">
        <v>2300</v>
      </c>
    </row>
    <row r="78" customFormat="false" ht="12.8" hidden="false" customHeight="false" outlineLevel="0" collapsed="false">
      <c r="A78" s="0" t="n">
        <v>2310</v>
      </c>
    </row>
    <row r="79" customFormat="false" ht="12.8" hidden="false" customHeight="false" outlineLevel="0" collapsed="false">
      <c r="A79" s="0" t="n">
        <v>2320</v>
      </c>
    </row>
    <row r="80" customFormat="false" ht="12.8" hidden="false" customHeight="false" outlineLevel="0" collapsed="false">
      <c r="A80" s="0" t="n">
        <v>2330</v>
      </c>
    </row>
    <row r="81" customFormat="false" ht="12.8" hidden="false" customHeight="false" outlineLevel="0" collapsed="false">
      <c r="A81" s="0" t="n">
        <v>2340</v>
      </c>
    </row>
    <row r="82" customFormat="false" ht="12.8" hidden="false" customHeight="false" outlineLevel="0" collapsed="false">
      <c r="A82" s="0" t="n">
        <v>2350</v>
      </c>
    </row>
    <row r="83" customFormat="false" ht="12.8" hidden="false" customHeight="false" outlineLevel="0" collapsed="false">
      <c r="A83" s="0" t="n">
        <v>2360</v>
      </c>
    </row>
    <row r="84" customFormat="false" ht="12.8" hidden="false" customHeight="false" outlineLevel="0" collapsed="false">
      <c r="A84" s="0" t="n">
        <v>2370</v>
      </c>
    </row>
    <row r="85" customFormat="false" ht="12.8" hidden="false" customHeight="false" outlineLevel="0" collapsed="false">
      <c r="A85" s="0" t="n">
        <v>2380</v>
      </c>
    </row>
    <row r="86" customFormat="false" ht="12.8" hidden="false" customHeight="false" outlineLevel="0" collapsed="false">
      <c r="A86" s="0" t="n">
        <v>2390</v>
      </c>
    </row>
    <row r="87" customFormat="false" ht="12.8" hidden="false" customHeight="false" outlineLevel="0" collapsed="false">
      <c r="A87" s="0" t="n">
        <v>2400</v>
      </c>
    </row>
    <row r="88" customFormat="false" ht="12.8" hidden="false" customHeight="false" outlineLevel="0" collapsed="false">
      <c r="A88" s="0" t="n">
        <v>2410</v>
      </c>
    </row>
    <row r="89" customFormat="false" ht="12.8" hidden="false" customHeight="false" outlineLevel="0" collapsed="false">
      <c r="A89" s="0" t="n">
        <v>2420</v>
      </c>
    </row>
    <row r="90" customFormat="false" ht="12.8" hidden="false" customHeight="false" outlineLevel="0" collapsed="false">
      <c r="A90" s="0" t="n">
        <v>2430</v>
      </c>
    </row>
    <row r="91" customFormat="false" ht="12.8" hidden="false" customHeight="false" outlineLevel="0" collapsed="false">
      <c r="A91" s="0" t="n">
        <v>2440</v>
      </c>
    </row>
    <row r="92" customFormat="false" ht="12.8" hidden="false" customHeight="false" outlineLevel="0" collapsed="false">
      <c r="A92" s="0" t="n">
        <v>2450</v>
      </c>
    </row>
    <row r="93" customFormat="false" ht="12.8" hidden="false" customHeight="false" outlineLevel="0" collapsed="false">
      <c r="A93" s="0" t="n">
        <v>2460</v>
      </c>
    </row>
    <row r="94" customFormat="false" ht="12.8" hidden="false" customHeight="false" outlineLevel="0" collapsed="false">
      <c r="A94" s="0" t="n">
        <v>2470</v>
      </c>
    </row>
    <row r="95" customFormat="false" ht="12.8" hidden="false" customHeight="false" outlineLevel="0" collapsed="false">
      <c r="A95" s="0" t="n">
        <v>2480</v>
      </c>
    </row>
    <row r="96" customFormat="false" ht="12.8" hidden="false" customHeight="false" outlineLevel="0" collapsed="false">
      <c r="A96" s="0" t="n">
        <v>2490</v>
      </c>
    </row>
    <row r="97" customFormat="false" ht="12.8" hidden="false" customHeight="false" outlineLevel="0" collapsed="false">
      <c r="A97" s="0" t="n">
        <v>2500</v>
      </c>
    </row>
    <row r="98" customFormat="false" ht="12.8" hidden="false" customHeight="false" outlineLevel="0" collapsed="false">
      <c r="A98" s="0" t="n">
        <v>2510</v>
      </c>
    </row>
    <row r="99" customFormat="false" ht="12.8" hidden="false" customHeight="false" outlineLevel="0" collapsed="false">
      <c r="A99" s="0" t="n">
        <v>2520</v>
      </c>
    </row>
    <row r="100" customFormat="false" ht="12.8" hidden="false" customHeight="false" outlineLevel="0" collapsed="false">
      <c r="A100" s="0" t="n">
        <v>2530</v>
      </c>
    </row>
    <row r="101" customFormat="false" ht="12.8" hidden="false" customHeight="false" outlineLevel="0" collapsed="false">
      <c r="A101" s="0" t="n">
        <v>2540</v>
      </c>
    </row>
    <row r="102" customFormat="false" ht="12.8" hidden="false" customHeight="false" outlineLevel="0" collapsed="false">
      <c r="A102" s="0" t="n">
        <v>2550</v>
      </c>
    </row>
    <row r="103" customFormat="false" ht="12.8" hidden="false" customHeight="false" outlineLevel="0" collapsed="false">
      <c r="A103" s="0" t="n">
        <v>2560</v>
      </c>
    </row>
    <row r="104" customFormat="false" ht="12.8" hidden="false" customHeight="false" outlineLevel="0" collapsed="false">
      <c r="A104" s="0" t="n">
        <v>2570</v>
      </c>
    </row>
    <row r="105" customFormat="false" ht="12.8" hidden="false" customHeight="false" outlineLevel="0" collapsed="false">
      <c r="A105" s="0" t="n">
        <v>2580</v>
      </c>
    </row>
    <row r="106" customFormat="false" ht="12.8" hidden="false" customHeight="false" outlineLevel="0" collapsed="false">
      <c r="A106" s="0" t="n">
        <v>2590</v>
      </c>
    </row>
    <row r="107" customFormat="false" ht="12.8" hidden="false" customHeight="false" outlineLevel="0" collapsed="false">
      <c r="A107" s="0" t="n">
        <v>2600</v>
      </c>
    </row>
    <row r="108" customFormat="false" ht="12.8" hidden="false" customHeight="false" outlineLevel="0" collapsed="false">
      <c r="A108" s="0" t="n">
        <v>2610</v>
      </c>
    </row>
    <row r="109" customFormat="false" ht="12.8" hidden="false" customHeight="false" outlineLevel="0" collapsed="false">
      <c r="A109" s="0" t="n">
        <v>2620</v>
      </c>
    </row>
    <row r="110" customFormat="false" ht="12.8" hidden="false" customHeight="false" outlineLevel="0" collapsed="false">
      <c r="A110" s="0" t="n">
        <v>2630</v>
      </c>
    </row>
    <row r="111" customFormat="false" ht="12.8" hidden="false" customHeight="false" outlineLevel="0" collapsed="false">
      <c r="A111" s="0" t="n">
        <v>2640</v>
      </c>
    </row>
    <row r="112" customFormat="false" ht="12.8" hidden="false" customHeight="false" outlineLevel="0" collapsed="false">
      <c r="A112" s="0" t="n">
        <v>2650</v>
      </c>
    </row>
    <row r="113" customFormat="false" ht="12.8" hidden="false" customHeight="false" outlineLevel="0" collapsed="false">
      <c r="A113" s="0" t="n">
        <v>2660</v>
      </c>
    </row>
    <row r="114" customFormat="false" ht="12.8" hidden="false" customHeight="false" outlineLevel="0" collapsed="false">
      <c r="A114" s="0" t="n">
        <v>2670</v>
      </c>
    </row>
    <row r="115" customFormat="false" ht="12.8" hidden="false" customHeight="false" outlineLevel="0" collapsed="false">
      <c r="A115" s="0" t="n">
        <v>2680</v>
      </c>
    </row>
    <row r="116" customFormat="false" ht="12.8" hidden="false" customHeight="false" outlineLevel="0" collapsed="false">
      <c r="A116" s="0" t="n">
        <v>2690</v>
      </c>
    </row>
    <row r="117" customFormat="false" ht="12.8" hidden="false" customHeight="false" outlineLevel="0" collapsed="false">
      <c r="A117" s="0" t="n">
        <v>2700</v>
      </c>
    </row>
    <row r="118" customFormat="false" ht="12.8" hidden="false" customHeight="false" outlineLevel="0" collapsed="false">
      <c r="A118" s="0" t="n">
        <v>2710</v>
      </c>
    </row>
    <row r="119" customFormat="false" ht="12.8" hidden="false" customHeight="false" outlineLevel="0" collapsed="false">
      <c r="A119" s="0" t="n">
        <v>2720</v>
      </c>
    </row>
    <row r="120" customFormat="false" ht="12.8" hidden="false" customHeight="false" outlineLevel="0" collapsed="false">
      <c r="A120" s="0" t="n">
        <v>2730</v>
      </c>
    </row>
    <row r="121" customFormat="false" ht="12.8" hidden="false" customHeight="false" outlineLevel="0" collapsed="false">
      <c r="A121" s="0" t="n">
        <v>2740</v>
      </c>
    </row>
    <row r="122" customFormat="false" ht="12.8" hidden="false" customHeight="false" outlineLevel="0" collapsed="false">
      <c r="A122" s="0" t="n">
        <v>2750</v>
      </c>
    </row>
    <row r="123" customFormat="false" ht="12.8" hidden="false" customHeight="false" outlineLevel="0" collapsed="false">
      <c r="A123" s="0" t="n">
        <v>2760</v>
      </c>
    </row>
    <row r="124" customFormat="false" ht="12.8" hidden="false" customHeight="false" outlineLevel="0" collapsed="false">
      <c r="A124" s="0" t="n">
        <v>2770</v>
      </c>
    </row>
    <row r="125" customFormat="false" ht="12.8" hidden="false" customHeight="false" outlineLevel="0" collapsed="false">
      <c r="A125" s="0" t="n">
        <v>2780</v>
      </c>
    </row>
    <row r="126" customFormat="false" ht="12.8" hidden="false" customHeight="false" outlineLevel="0" collapsed="false">
      <c r="A126" s="0" t="n">
        <v>2790</v>
      </c>
    </row>
    <row r="127" customFormat="false" ht="12.8" hidden="false" customHeight="false" outlineLevel="0" collapsed="false">
      <c r="A127" s="0" t="n">
        <v>2800</v>
      </c>
    </row>
    <row r="128" customFormat="false" ht="12.8" hidden="false" customHeight="false" outlineLevel="0" collapsed="false">
      <c r="A128" s="0" t="n">
        <v>2810</v>
      </c>
    </row>
    <row r="129" customFormat="false" ht="12.8" hidden="false" customHeight="false" outlineLevel="0" collapsed="false">
      <c r="A129" s="0" t="n">
        <v>2820</v>
      </c>
    </row>
    <row r="130" customFormat="false" ht="12.8" hidden="false" customHeight="false" outlineLevel="0" collapsed="false">
      <c r="A130" s="0" t="n">
        <v>2830</v>
      </c>
    </row>
    <row r="131" customFormat="false" ht="12.8" hidden="false" customHeight="false" outlineLevel="0" collapsed="false">
      <c r="A131" s="0" t="n">
        <v>2840</v>
      </c>
    </row>
    <row r="132" customFormat="false" ht="12.8" hidden="false" customHeight="false" outlineLevel="0" collapsed="false">
      <c r="A132" s="0" t="n">
        <v>2850</v>
      </c>
    </row>
    <row r="133" customFormat="false" ht="12.8" hidden="false" customHeight="false" outlineLevel="0" collapsed="false">
      <c r="A133" s="0" t="n">
        <v>2860</v>
      </c>
    </row>
    <row r="134" customFormat="false" ht="12.8" hidden="false" customHeight="false" outlineLevel="0" collapsed="false">
      <c r="A134" s="0" t="n">
        <v>2870</v>
      </c>
    </row>
    <row r="135" customFormat="false" ht="12.8" hidden="false" customHeight="false" outlineLevel="0" collapsed="false">
      <c r="A135" s="0" t="n">
        <v>2880</v>
      </c>
    </row>
    <row r="136" customFormat="false" ht="12.8" hidden="false" customHeight="false" outlineLevel="0" collapsed="false">
      <c r="A136" s="0" t="n">
        <v>2890</v>
      </c>
    </row>
    <row r="137" customFormat="false" ht="12.8" hidden="false" customHeight="false" outlineLevel="0" collapsed="false">
      <c r="A137" s="0" t="n">
        <v>2900</v>
      </c>
    </row>
    <row r="138" customFormat="false" ht="12.8" hidden="false" customHeight="false" outlineLevel="0" collapsed="false">
      <c r="A138" s="0" t="n">
        <v>2910</v>
      </c>
    </row>
    <row r="139" customFormat="false" ht="12.8" hidden="false" customHeight="false" outlineLevel="0" collapsed="false">
      <c r="A139" s="0" t="n">
        <v>2920</v>
      </c>
    </row>
    <row r="140" customFormat="false" ht="12.8" hidden="false" customHeight="false" outlineLevel="0" collapsed="false">
      <c r="A140" s="0" t="n">
        <v>2930</v>
      </c>
    </row>
    <row r="141" customFormat="false" ht="12.8" hidden="false" customHeight="false" outlineLevel="0" collapsed="false">
      <c r="A141" s="0" t="n">
        <v>2940</v>
      </c>
    </row>
    <row r="142" customFormat="false" ht="12.8" hidden="false" customHeight="false" outlineLevel="0" collapsed="false">
      <c r="A142" s="0" t="n">
        <v>2950</v>
      </c>
    </row>
    <row r="143" customFormat="false" ht="12.8" hidden="false" customHeight="false" outlineLevel="0" collapsed="false">
      <c r="A143" s="0" t="n">
        <v>2960</v>
      </c>
    </row>
    <row r="144" customFormat="false" ht="12.8" hidden="false" customHeight="false" outlineLevel="0" collapsed="false">
      <c r="A144" s="0" t="n">
        <v>2970</v>
      </c>
    </row>
    <row r="145" customFormat="false" ht="12.8" hidden="false" customHeight="false" outlineLevel="0" collapsed="false">
      <c r="A145" s="0" t="n">
        <v>2980</v>
      </c>
    </row>
    <row r="146" customFormat="false" ht="12.8" hidden="false" customHeight="false" outlineLevel="0" collapsed="false">
      <c r="A146" s="0" t="n">
        <v>2990</v>
      </c>
    </row>
    <row r="147" customFormat="false" ht="12.8" hidden="false" customHeight="false" outlineLevel="0" collapsed="false">
      <c r="A147" s="0" t="n">
        <v>3000</v>
      </c>
    </row>
    <row r="148" customFormat="false" ht="12.8" hidden="false" customHeight="false" outlineLevel="0" collapsed="false">
      <c r="A148" s="0" t="n">
        <v>3010</v>
      </c>
    </row>
    <row r="149" customFormat="false" ht="12.8" hidden="false" customHeight="false" outlineLevel="0" collapsed="false">
      <c r="A149" s="0" t="n">
        <v>3020</v>
      </c>
    </row>
    <row r="150" customFormat="false" ht="12.8" hidden="false" customHeight="false" outlineLevel="0" collapsed="false">
      <c r="A150" s="0" t="n">
        <v>3030</v>
      </c>
    </row>
    <row r="151" customFormat="false" ht="12.8" hidden="false" customHeight="false" outlineLevel="0" collapsed="false">
      <c r="A151" s="0" t="n">
        <v>3040</v>
      </c>
    </row>
    <row r="152" customFormat="false" ht="12.8" hidden="false" customHeight="false" outlineLevel="0" collapsed="false">
      <c r="A152" s="0" t="n">
        <v>3050</v>
      </c>
    </row>
    <row r="153" customFormat="false" ht="12.8" hidden="false" customHeight="false" outlineLevel="0" collapsed="false">
      <c r="A153" s="0" t="n">
        <v>3060</v>
      </c>
    </row>
    <row r="154" customFormat="false" ht="12.8" hidden="false" customHeight="false" outlineLevel="0" collapsed="false">
      <c r="A154" s="0" t="n">
        <v>3070</v>
      </c>
    </row>
    <row r="155" customFormat="false" ht="12.8" hidden="false" customHeight="false" outlineLevel="0" collapsed="false">
      <c r="A155" s="0" t="n">
        <v>3080</v>
      </c>
    </row>
    <row r="156" customFormat="false" ht="12.8" hidden="false" customHeight="false" outlineLevel="0" collapsed="false">
      <c r="A156" s="0" t="n">
        <v>3090</v>
      </c>
    </row>
    <row r="157" customFormat="false" ht="12.8" hidden="false" customHeight="false" outlineLevel="0" collapsed="false">
      <c r="A157" s="0" t="n">
        <v>3100</v>
      </c>
    </row>
    <row r="158" customFormat="false" ht="12.8" hidden="false" customHeight="false" outlineLevel="0" collapsed="false">
      <c r="A158" s="0" t="n">
        <v>3110</v>
      </c>
    </row>
    <row r="159" customFormat="false" ht="12.8" hidden="false" customHeight="false" outlineLevel="0" collapsed="false">
      <c r="A159" s="0" t="n">
        <v>3120</v>
      </c>
    </row>
    <row r="160" customFormat="false" ht="12.8" hidden="false" customHeight="false" outlineLevel="0" collapsed="false">
      <c r="A160" s="0" t="n">
        <v>3130</v>
      </c>
    </row>
    <row r="161" customFormat="false" ht="12.8" hidden="false" customHeight="false" outlineLevel="0" collapsed="false">
      <c r="A161" s="0" t="n">
        <v>3140</v>
      </c>
    </row>
    <row r="162" customFormat="false" ht="12.8" hidden="false" customHeight="false" outlineLevel="0" collapsed="false">
      <c r="A162" s="0" t="n">
        <v>3150</v>
      </c>
    </row>
    <row r="163" customFormat="false" ht="12.8" hidden="false" customHeight="false" outlineLevel="0" collapsed="false">
      <c r="A163" s="0" t="n">
        <v>3160</v>
      </c>
    </row>
    <row r="164" customFormat="false" ht="12.8" hidden="false" customHeight="false" outlineLevel="0" collapsed="false">
      <c r="A164" s="0" t="n">
        <v>3170</v>
      </c>
    </row>
    <row r="165" customFormat="false" ht="12.8" hidden="false" customHeight="false" outlineLevel="0" collapsed="false">
      <c r="A165" s="0" t="n">
        <v>3180</v>
      </c>
    </row>
    <row r="166" customFormat="false" ht="12.8" hidden="false" customHeight="false" outlineLevel="0" collapsed="false">
      <c r="A166" s="0" t="n">
        <v>3190</v>
      </c>
    </row>
    <row r="167" customFormat="false" ht="12.8" hidden="false" customHeight="false" outlineLevel="0" collapsed="false">
      <c r="A167" s="0" t="n">
        <v>3200</v>
      </c>
    </row>
    <row r="168" customFormat="false" ht="12.8" hidden="false" customHeight="false" outlineLevel="0" collapsed="false">
      <c r="A168" s="0" t="n">
        <v>3210</v>
      </c>
    </row>
    <row r="169" customFormat="false" ht="12.8" hidden="false" customHeight="false" outlineLevel="0" collapsed="false">
      <c r="A169" s="0" t="n">
        <v>3220</v>
      </c>
    </row>
    <row r="170" customFormat="false" ht="12.8" hidden="false" customHeight="false" outlineLevel="0" collapsed="false">
      <c r="A170" s="0" t="n">
        <v>3230</v>
      </c>
    </row>
    <row r="171" customFormat="false" ht="12.8" hidden="false" customHeight="false" outlineLevel="0" collapsed="false">
      <c r="A171" s="0" t="n">
        <v>3240</v>
      </c>
    </row>
    <row r="172" customFormat="false" ht="12.8" hidden="false" customHeight="false" outlineLevel="0" collapsed="false">
      <c r="A172" s="0" t="n">
        <v>3250</v>
      </c>
    </row>
    <row r="173" customFormat="false" ht="12.8" hidden="false" customHeight="false" outlineLevel="0" collapsed="false">
      <c r="A173" s="0" t="n">
        <v>3260</v>
      </c>
    </row>
    <row r="174" customFormat="false" ht="12.8" hidden="false" customHeight="false" outlineLevel="0" collapsed="false">
      <c r="A174" s="0" t="n">
        <v>3270</v>
      </c>
    </row>
    <row r="175" customFormat="false" ht="12.8" hidden="false" customHeight="false" outlineLevel="0" collapsed="false">
      <c r="A175" s="0" t="n">
        <v>3280</v>
      </c>
    </row>
    <row r="176" customFormat="false" ht="12.8" hidden="false" customHeight="false" outlineLevel="0" collapsed="false">
      <c r="A176" s="0" t="n">
        <v>3290</v>
      </c>
    </row>
    <row r="177" customFormat="false" ht="12.8" hidden="false" customHeight="false" outlineLevel="0" collapsed="false">
      <c r="A177" s="0" t="n">
        <v>3300</v>
      </c>
    </row>
    <row r="178" customFormat="false" ht="12.8" hidden="false" customHeight="false" outlineLevel="0" collapsed="false">
      <c r="A178" s="0" t="n">
        <v>3310</v>
      </c>
    </row>
    <row r="179" customFormat="false" ht="12.8" hidden="false" customHeight="false" outlineLevel="0" collapsed="false">
      <c r="A179" s="0" t="n">
        <v>3320</v>
      </c>
    </row>
    <row r="180" customFormat="false" ht="12.8" hidden="false" customHeight="false" outlineLevel="0" collapsed="false">
      <c r="A180" s="0" t="n">
        <v>3330</v>
      </c>
    </row>
    <row r="181" customFormat="false" ht="12.8" hidden="false" customHeight="false" outlineLevel="0" collapsed="false">
      <c r="A181" s="0" t="n">
        <v>3340</v>
      </c>
    </row>
    <row r="182" customFormat="false" ht="12.8" hidden="false" customHeight="false" outlineLevel="0" collapsed="false">
      <c r="A182" s="0" t="n">
        <v>3350</v>
      </c>
    </row>
    <row r="183" customFormat="false" ht="12.8" hidden="false" customHeight="false" outlineLevel="0" collapsed="false">
      <c r="A183" s="0" t="n">
        <v>3360</v>
      </c>
    </row>
    <row r="184" customFormat="false" ht="12.8" hidden="false" customHeight="false" outlineLevel="0" collapsed="false">
      <c r="A184" s="0" t="n">
        <v>3370</v>
      </c>
    </row>
    <row r="185" customFormat="false" ht="12.8" hidden="false" customHeight="false" outlineLevel="0" collapsed="false">
      <c r="A185" s="0" t="n">
        <v>3380</v>
      </c>
    </row>
    <row r="186" customFormat="false" ht="12.8" hidden="false" customHeight="false" outlineLevel="0" collapsed="false">
      <c r="A186" s="0" t="n">
        <v>3390</v>
      </c>
    </row>
    <row r="187" customFormat="false" ht="12.8" hidden="false" customHeight="false" outlineLevel="0" collapsed="false">
      <c r="A187" s="0" t="n">
        <v>3400</v>
      </c>
    </row>
    <row r="188" customFormat="false" ht="12.8" hidden="false" customHeight="false" outlineLevel="0" collapsed="false">
      <c r="A188" s="0" t="n">
        <v>3410</v>
      </c>
    </row>
    <row r="189" customFormat="false" ht="12.8" hidden="false" customHeight="false" outlineLevel="0" collapsed="false">
      <c r="A189" s="0" t="n">
        <v>3420</v>
      </c>
    </row>
    <row r="190" customFormat="false" ht="12.8" hidden="false" customHeight="false" outlineLevel="0" collapsed="false">
      <c r="A190" s="0" t="n">
        <v>3430</v>
      </c>
    </row>
    <row r="191" customFormat="false" ht="12.8" hidden="false" customHeight="false" outlineLevel="0" collapsed="false">
      <c r="A191" s="0" t="n">
        <v>3440</v>
      </c>
    </row>
    <row r="192" customFormat="false" ht="12.8" hidden="false" customHeight="false" outlineLevel="0" collapsed="false">
      <c r="A192" s="0" t="n">
        <v>3450</v>
      </c>
    </row>
    <row r="193" customFormat="false" ht="12.8" hidden="false" customHeight="false" outlineLevel="0" collapsed="false">
      <c r="A193" s="0" t="n">
        <v>3460</v>
      </c>
    </row>
    <row r="194" customFormat="false" ht="12.8" hidden="false" customHeight="false" outlineLevel="0" collapsed="false">
      <c r="A194" s="0" t="n">
        <v>3470</v>
      </c>
    </row>
    <row r="195" customFormat="false" ht="12.8" hidden="false" customHeight="false" outlineLevel="0" collapsed="false">
      <c r="A195" s="0" t="n">
        <v>3480</v>
      </c>
    </row>
    <row r="196" customFormat="false" ht="12.8" hidden="false" customHeight="false" outlineLevel="0" collapsed="false">
      <c r="A196" s="0" t="n">
        <v>3490</v>
      </c>
    </row>
    <row r="197" customFormat="false" ht="12.8" hidden="false" customHeight="false" outlineLevel="0" collapsed="false">
      <c r="A197" s="0" t="n">
        <v>3500</v>
      </c>
    </row>
    <row r="198" customFormat="false" ht="12.8" hidden="false" customHeight="false" outlineLevel="0" collapsed="false">
      <c r="A198" s="0" t="n">
        <v>3510</v>
      </c>
    </row>
    <row r="199" customFormat="false" ht="12.8" hidden="false" customHeight="false" outlineLevel="0" collapsed="false">
      <c r="A199" s="0" t="n">
        <v>3520</v>
      </c>
    </row>
    <row r="200" customFormat="false" ht="12.8" hidden="false" customHeight="false" outlineLevel="0" collapsed="false">
      <c r="A200" s="0" t="n">
        <v>3530</v>
      </c>
    </row>
    <row r="201" customFormat="false" ht="12.8" hidden="false" customHeight="false" outlineLevel="0" collapsed="false">
      <c r="A201" s="0" t="n">
        <v>3540</v>
      </c>
    </row>
    <row r="202" customFormat="false" ht="12.8" hidden="false" customHeight="false" outlineLevel="0" collapsed="false">
      <c r="A202" s="0" t="n">
        <v>3550</v>
      </c>
    </row>
    <row r="203" customFormat="false" ht="12.8" hidden="false" customHeight="false" outlineLevel="0" collapsed="false">
      <c r="A203" s="0" t="n">
        <v>3560</v>
      </c>
    </row>
    <row r="204" customFormat="false" ht="12.8" hidden="false" customHeight="false" outlineLevel="0" collapsed="false">
      <c r="A204" s="0" t="n">
        <v>3570</v>
      </c>
    </row>
    <row r="205" customFormat="false" ht="12.8" hidden="false" customHeight="false" outlineLevel="0" collapsed="false">
      <c r="A205" s="0" t="n">
        <v>3580</v>
      </c>
    </row>
    <row r="206" customFormat="false" ht="12.8" hidden="false" customHeight="false" outlineLevel="0" collapsed="false">
      <c r="A206" s="0" t="n">
        <v>3590</v>
      </c>
    </row>
    <row r="207" customFormat="false" ht="12.8" hidden="false" customHeight="false" outlineLevel="0" collapsed="false">
      <c r="A207" s="0" t="n">
        <v>3600</v>
      </c>
    </row>
    <row r="208" customFormat="false" ht="12.8" hidden="false" customHeight="false" outlineLevel="0" collapsed="false">
      <c r="A208" s="0" t="n">
        <v>3610</v>
      </c>
    </row>
    <row r="209" customFormat="false" ht="12.8" hidden="false" customHeight="false" outlineLevel="0" collapsed="false">
      <c r="A209" s="0" t="n">
        <v>3620</v>
      </c>
    </row>
    <row r="210" customFormat="false" ht="12.8" hidden="false" customHeight="false" outlineLevel="0" collapsed="false">
      <c r="A210" s="0" t="n">
        <v>3630</v>
      </c>
    </row>
    <row r="211" customFormat="false" ht="12.8" hidden="false" customHeight="false" outlineLevel="0" collapsed="false">
      <c r="A211" s="0" t="n">
        <v>3640</v>
      </c>
    </row>
    <row r="212" customFormat="false" ht="12.8" hidden="false" customHeight="false" outlineLevel="0" collapsed="false">
      <c r="A212" s="0" t="n">
        <v>3650</v>
      </c>
    </row>
    <row r="213" customFormat="false" ht="12.8" hidden="false" customHeight="false" outlineLevel="0" collapsed="false">
      <c r="A213" s="0" t="n">
        <v>3660</v>
      </c>
    </row>
    <row r="214" customFormat="false" ht="12.8" hidden="false" customHeight="false" outlineLevel="0" collapsed="false">
      <c r="A214" s="0" t="n">
        <v>3670</v>
      </c>
    </row>
    <row r="215" customFormat="false" ht="12.8" hidden="false" customHeight="false" outlineLevel="0" collapsed="false">
      <c r="A215" s="0" t="n">
        <v>3680</v>
      </c>
    </row>
    <row r="216" customFormat="false" ht="12.8" hidden="false" customHeight="false" outlineLevel="0" collapsed="false">
      <c r="A216" s="0" t="n">
        <v>3690</v>
      </c>
    </row>
    <row r="217" customFormat="false" ht="12.8" hidden="false" customHeight="false" outlineLevel="0" collapsed="false">
      <c r="A217" s="0" t="n">
        <v>3700</v>
      </c>
    </row>
    <row r="218" customFormat="false" ht="12.8" hidden="false" customHeight="false" outlineLevel="0" collapsed="false">
      <c r="A218" s="0" t="n">
        <v>3710</v>
      </c>
    </row>
    <row r="219" customFormat="false" ht="12.8" hidden="false" customHeight="false" outlineLevel="0" collapsed="false">
      <c r="A219" s="0" t="n">
        <v>3720</v>
      </c>
    </row>
    <row r="220" customFormat="false" ht="12.8" hidden="false" customHeight="false" outlineLevel="0" collapsed="false">
      <c r="A220" s="0" t="n">
        <v>3730</v>
      </c>
    </row>
    <row r="221" customFormat="false" ht="12.8" hidden="false" customHeight="false" outlineLevel="0" collapsed="false">
      <c r="A221" s="0" t="n">
        <v>3740</v>
      </c>
    </row>
    <row r="222" customFormat="false" ht="12.8" hidden="false" customHeight="false" outlineLevel="0" collapsed="false">
      <c r="A222" s="0" t="n">
        <v>3750</v>
      </c>
    </row>
    <row r="223" customFormat="false" ht="12.8" hidden="false" customHeight="false" outlineLevel="0" collapsed="false">
      <c r="A223" s="0" t="n">
        <v>3760</v>
      </c>
    </row>
    <row r="224" customFormat="false" ht="12.8" hidden="false" customHeight="false" outlineLevel="0" collapsed="false">
      <c r="A224" s="0" t="n">
        <v>3770</v>
      </c>
    </row>
    <row r="225" customFormat="false" ht="12.8" hidden="false" customHeight="false" outlineLevel="0" collapsed="false">
      <c r="A225" s="0" t="n">
        <v>3780</v>
      </c>
    </row>
    <row r="226" customFormat="false" ht="12.8" hidden="false" customHeight="false" outlineLevel="0" collapsed="false">
      <c r="A226" s="0" t="n">
        <v>3790</v>
      </c>
    </row>
    <row r="227" customFormat="false" ht="12.8" hidden="false" customHeight="false" outlineLevel="0" collapsed="false">
      <c r="A227" s="0" t="n">
        <v>3800</v>
      </c>
    </row>
    <row r="228" customFormat="false" ht="12.8" hidden="false" customHeight="false" outlineLevel="0" collapsed="false">
      <c r="A228" s="0" t="n">
        <v>3810</v>
      </c>
    </row>
    <row r="229" customFormat="false" ht="12.8" hidden="false" customHeight="false" outlineLevel="0" collapsed="false">
      <c r="A229" s="0" t="n">
        <v>3820</v>
      </c>
    </row>
    <row r="230" customFormat="false" ht="12.8" hidden="false" customHeight="false" outlineLevel="0" collapsed="false">
      <c r="A230" s="0" t="n">
        <v>3830</v>
      </c>
    </row>
    <row r="231" customFormat="false" ht="12.8" hidden="false" customHeight="false" outlineLevel="0" collapsed="false">
      <c r="A231" s="0" t="n">
        <v>3840</v>
      </c>
    </row>
    <row r="232" customFormat="false" ht="12.8" hidden="false" customHeight="false" outlineLevel="0" collapsed="false">
      <c r="A232" s="0" t="n">
        <v>3850</v>
      </c>
    </row>
    <row r="233" customFormat="false" ht="12.8" hidden="false" customHeight="false" outlineLevel="0" collapsed="false">
      <c r="A233" s="0" t="n">
        <v>3860</v>
      </c>
    </row>
    <row r="234" customFormat="false" ht="12.8" hidden="false" customHeight="false" outlineLevel="0" collapsed="false">
      <c r="A234" s="0" t="n">
        <v>3870</v>
      </c>
    </row>
    <row r="235" customFormat="false" ht="12.8" hidden="false" customHeight="false" outlineLevel="0" collapsed="false">
      <c r="A235" s="0" t="n">
        <v>3880</v>
      </c>
    </row>
    <row r="236" customFormat="false" ht="12.8" hidden="false" customHeight="false" outlineLevel="0" collapsed="false">
      <c r="A236" s="0" t="n">
        <v>3890</v>
      </c>
    </row>
    <row r="237" customFormat="false" ht="12.8" hidden="false" customHeight="false" outlineLevel="0" collapsed="false">
      <c r="A237" s="0" t="n">
        <v>3900</v>
      </c>
    </row>
    <row r="238" customFormat="false" ht="12.8" hidden="false" customHeight="false" outlineLevel="0" collapsed="false">
      <c r="A238" s="0" t="n">
        <v>3910</v>
      </c>
    </row>
    <row r="239" customFormat="false" ht="12.8" hidden="false" customHeight="false" outlineLevel="0" collapsed="false">
      <c r="A239" s="0" t="n">
        <v>3920</v>
      </c>
    </row>
    <row r="240" customFormat="false" ht="12.8" hidden="false" customHeight="false" outlineLevel="0" collapsed="false">
      <c r="A240" s="0" t="n">
        <v>3930</v>
      </c>
    </row>
    <row r="241" customFormat="false" ht="12.8" hidden="false" customHeight="false" outlineLevel="0" collapsed="false">
      <c r="A241" s="0" t="n">
        <v>3940</v>
      </c>
    </row>
    <row r="242" customFormat="false" ht="12.8" hidden="false" customHeight="false" outlineLevel="0" collapsed="false">
      <c r="A242" s="0" t="n">
        <v>3950</v>
      </c>
    </row>
    <row r="243" customFormat="false" ht="12.8" hidden="false" customHeight="false" outlineLevel="0" collapsed="false">
      <c r="A243" s="0" t="n">
        <v>3960</v>
      </c>
    </row>
    <row r="244" customFormat="false" ht="12.8" hidden="false" customHeight="false" outlineLevel="0" collapsed="false">
      <c r="A244" s="0" t="n">
        <v>3970</v>
      </c>
    </row>
    <row r="245" customFormat="false" ht="12.8" hidden="false" customHeight="false" outlineLevel="0" collapsed="false">
      <c r="A245" s="0" t="n">
        <v>3980</v>
      </c>
    </row>
    <row r="246" customFormat="false" ht="12.8" hidden="false" customHeight="false" outlineLevel="0" collapsed="false">
      <c r="A246" s="0" t="n">
        <v>3990</v>
      </c>
    </row>
    <row r="247" customFormat="false" ht="12.8" hidden="false" customHeight="false" outlineLevel="0" collapsed="false">
      <c r="A247" s="0" t="n">
        <v>4000</v>
      </c>
    </row>
    <row r="248" customFormat="false" ht="12.8" hidden="false" customHeight="false" outlineLevel="0" collapsed="false">
      <c r="A248" s="0" t="n">
        <v>4010</v>
      </c>
    </row>
    <row r="249" customFormat="false" ht="12.8" hidden="false" customHeight="false" outlineLevel="0" collapsed="false">
      <c r="A249" s="0" t="n">
        <v>4020</v>
      </c>
    </row>
    <row r="250" customFormat="false" ht="12.8" hidden="false" customHeight="false" outlineLevel="0" collapsed="false">
      <c r="A250" s="0" t="n">
        <v>4030</v>
      </c>
    </row>
    <row r="251" customFormat="false" ht="12.8" hidden="false" customHeight="false" outlineLevel="0" collapsed="false">
      <c r="A251" s="0" t="n">
        <v>4040</v>
      </c>
    </row>
    <row r="252" customFormat="false" ht="12.8" hidden="false" customHeight="false" outlineLevel="0" collapsed="false">
      <c r="A252" s="0" t="n">
        <v>4050</v>
      </c>
    </row>
    <row r="253" customFormat="false" ht="12.8" hidden="false" customHeight="false" outlineLevel="0" collapsed="false">
      <c r="A253" s="0" t="n">
        <v>4060</v>
      </c>
    </row>
    <row r="254" customFormat="false" ht="12.8" hidden="false" customHeight="false" outlineLevel="0" collapsed="false">
      <c r="A254" s="0" t="n">
        <v>4070</v>
      </c>
    </row>
    <row r="255" customFormat="false" ht="12.8" hidden="false" customHeight="false" outlineLevel="0" collapsed="false">
      <c r="A255" s="0" t="n">
        <v>4080</v>
      </c>
    </row>
    <row r="256" customFormat="false" ht="12.8" hidden="false" customHeight="false" outlineLevel="0" collapsed="false">
      <c r="A256" s="0" t="n">
        <v>4090</v>
      </c>
    </row>
    <row r="257" customFormat="false" ht="12.8" hidden="false" customHeight="false" outlineLevel="0" collapsed="false">
      <c r="A257" s="0" t="n">
        <v>4100</v>
      </c>
    </row>
    <row r="258" customFormat="false" ht="12.8" hidden="false" customHeight="false" outlineLevel="0" collapsed="false">
      <c r="A258" s="0" t="n">
        <v>4110</v>
      </c>
    </row>
    <row r="259" customFormat="false" ht="12.8" hidden="false" customHeight="false" outlineLevel="0" collapsed="false">
      <c r="A259" s="0" t="n">
        <v>4120</v>
      </c>
    </row>
    <row r="260" customFormat="false" ht="12.8" hidden="false" customHeight="false" outlineLevel="0" collapsed="false">
      <c r="A260" s="0" t="n">
        <v>4130</v>
      </c>
    </row>
    <row r="261" customFormat="false" ht="12.8" hidden="false" customHeight="false" outlineLevel="0" collapsed="false">
      <c r="A261" s="0" t="n">
        <v>4140</v>
      </c>
    </row>
    <row r="262" customFormat="false" ht="12.8" hidden="false" customHeight="false" outlineLevel="0" collapsed="false">
      <c r="A262" s="0" t="n">
        <v>4150</v>
      </c>
    </row>
    <row r="263" customFormat="false" ht="12.8" hidden="false" customHeight="false" outlineLevel="0" collapsed="false">
      <c r="A263" s="0" t="n">
        <v>4160</v>
      </c>
    </row>
    <row r="264" customFormat="false" ht="12.8" hidden="false" customHeight="false" outlineLevel="0" collapsed="false">
      <c r="A264" s="0" t="n">
        <v>4170</v>
      </c>
    </row>
    <row r="265" customFormat="false" ht="12.8" hidden="false" customHeight="false" outlineLevel="0" collapsed="false">
      <c r="A265" s="0" t="n">
        <v>4180</v>
      </c>
    </row>
    <row r="266" customFormat="false" ht="12.8" hidden="false" customHeight="false" outlineLevel="0" collapsed="false">
      <c r="A266" s="0" t="n">
        <v>4190</v>
      </c>
    </row>
    <row r="267" customFormat="false" ht="12.8" hidden="false" customHeight="false" outlineLevel="0" collapsed="false">
      <c r="A267" s="0" t="n">
        <v>4200</v>
      </c>
    </row>
    <row r="268" customFormat="false" ht="12.8" hidden="false" customHeight="false" outlineLevel="0" collapsed="false">
      <c r="A268" s="0" t="n">
        <v>4210</v>
      </c>
    </row>
    <row r="269" customFormat="false" ht="12.8" hidden="false" customHeight="false" outlineLevel="0" collapsed="false">
      <c r="A269" s="0" t="n">
        <v>4220</v>
      </c>
    </row>
    <row r="270" customFormat="false" ht="12.8" hidden="false" customHeight="false" outlineLevel="0" collapsed="false">
      <c r="A270" s="0" t="n">
        <v>4230</v>
      </c>
    </row>
    <row r="271" customFormat="false" ht="12.8" hidden="false" customHeight="false" outlineLevel="0" collapsed="false">
      <c r="A271" s="0" t="n">
        <v>4240</v>
      </c>
    </row>
    <row r="272" customFormat="false" ht="12.8" hidden="false" customHeight="false" outlineLevel="0" collapsed="false">
      <c r="A272" s="0" t="n">
        <v>4250</v>
      </c>
    </row>
    <row r="273" customFormat="false" ht="12.8" hidden="false" customHeight="false" outlineLevel="0" collapsed="false">
      <c r="A273" s="0" t="n">
        <v>4260</v>
      </c>
    </row>
    <row r="274" customFormat="false" ht="12.8" hidden="false" customHeight="false" outlineLevel="0" collapsed="false">
      <c r="A274" s="0" t="n">
        <v>4270</v>
      </c>
    </row>
    <row r="275" customFormat="false" ht="12.8" hidden="false" customHeight="false" outlineLevel="0" collapsed="false">
      <c r="A275" s="0" t="n">
        <v>4280</v>
      </c>
    </row>
    <row r="276" customFormat="false" ht="12.8" hidden="false" customHeight="false" outlineLevel="0" collapsed="false">
      <c r="A276" s="0" t="n">
        <v>4290</v>
      </c>
    </row>
    <row r="277" customFormat="false" ht="12.8" hidden="false" customHeight="false" outlineLevel="0" collapsed="false">
      <c r="A277" s="0" t="n">
        <v>4300</v>
      </c>
    </row>
    <row r="278" customFormat="false" ht="12.8" hidden="false" customHeight="false" outlineLevel="0" collapsed="false">
      <c r="A278" s="0" t="n">
        <v>4310</v>
      </c>
    </row>
    <row r="279" customFormat="false" ht="12.8" hidden="false" customHeight="false" outlineLevel="0" collapsed="false">
      <c r="A279" s="0" t="n">
        <v>4320</v>
      </c>
    </row>
    <row r="280" customFormat="false" ht="12.8" hidden="false" customHeight="false" outlineLevel="0" collapsed="false">
      <c r="A280" s="0" t="n">
        <v>4330</v>
      </c>
    </row>
    <row r="281" customFormat="false" ht="12.8" hidden="false" customHeight="false" outlineLevel="0" collapsed="false">
      <c r="A281" s="0" t="n">
        <v>4340</v>
      </c>
    </row>
    <row r="282" customFormat="false" ht="12.8" hidden="false" customHeight="false" outlineLevel="0" collapsed="false">
      <c r="A282" s="0" t="n">
        <v>4350</v>
      </c>
    </row>
    <row r="283" customFormat="false" ht="12.8" hidden="false" customHeight="false" outlineLevel="0" collapsed="false">
      <c r="A283" s="0" t="n">
        <v>4360</v>
      </c>
    </row>
    <row r="284" customFormat="false" ht="12.8" hidden="false" customHeight="false" outlineLevel="0" collapsed="false">
      <c r="A284" s="0" t="n">
        <v>4370</v>
      </c>
    </row>
    <row r="285" customFormat="false" ht="12.8" hidden="false" customHeight="false" outlineLevel="0" collapsed="false">
      <c r="A285" s="0" t="n">
        <v>4380</v>
      </c>
    </row>
    <row r="286" customFormat="false" ht="12.8" hidden="false" customHeight="false" outlineLevel="0" collapsed="false">
      <c r="A286" s="0" t="n">
        <v>4390</v>
      </c>
    </row>
    <row r="287" customFormat="false" ht="12.8" hidden="false" customHeight="false" outlineLevel="0" collapsed="false">
      <c r="A287" s="0" t="n">
        <v>4400</v>
      </c>
    </row>
    <row r="288" customFormat="false" ht="12.8" hidden="false" customHeight="false" outlineLevel="0" collapsed="false">
      <c r="A288" s="0" t="n">
        <v>4410</v>
      </c>
    </row>
    <row r="289" customFormat="false" ht="12.8" hidden="false" customHeight="false" outlineLevel="0" collapsed="false">
      <c r="A289" s="0" t="n">
        <v>4420</v>
      </c>
    </row>
    <row r="290" customFormat="false" ht="12.8" hidden="false" customHeight="false" outlineLevel="0" collapsed="false">
      <c r="A290" s="0" t="n">
        <v>4430</v>
      </c>
    </row>
    <row r="291" customFormat="false" ht="12.8" hidden="false" customHeight="false" outlineLevel="0" collapsed="false">
      <c r="A291" s="0" t="n">
        <v>4440</v>
      </c>
    </row>
    <row r="292" customFormat="false" ht="12.8" hidden="false" customHeight="false" outlineLevel="0" collapsed="false">
      <c r="A292" s="0" t="n">
        <v>4450</v>
      </c>
    </row>
    <row r="293" customFormat="false" ht="12.8" hidden="false" customHeight="false" outlineLevel="0" collapsed="false">
      <c r="A293" s="0" t="n">
        <v>4460</v>
      </c>
    </row>
    <row r="294" customFormat="false" ht="12.8" hidden="false" customHeight="false" outlineLevel="0" collapsed="false">
      <c r="A294" s="0" t="n">
        <v>4470</v>
      </c>
    </row>
    <row r="295" customFormat="false" ht="12.8" hidden="false" customHeight="false" outlineLevel="0" collapsed="false">
      <c r="A295" s="0" t="n">
        <v>4480</v>
      </c>
    </row>
    <row r="296" customFormat="false" ht="12.8" hidden="false" customHeight="false" outlineLevel="0" collapsed="false">
      <c r="A296" s="0" t="n">
        <v>4490</v>
      </c>
    </row>
    <row r="297" customFormat="false" ht="12.8" hidden="false" customHeight="false" outlineLevel="0" collapsed="false">
      <c r="A297" s="0" t="n">
        <v>4500</v>
      </c>
    </row>
    <row r="298" customFormat="false" ht="12.8" hidden="false" customHeight="false" outlineLevel="0" collapsed="false">
      <c r="A298" s="0" t="n">
        <v>4510</v>
      </c>
    </row>
    <row r="299" customFormat="false" ht="12.8" hidden="false" customHeight="false" outlineLevel="0" collapsed="false">
      <c r="A299" s="0" t="n">
        <v>4520</v>
      </c>
    </row>
    <row r="300" customFormat="false" ht="12.8" hidden="false" customHeight="false" outlineLevel="0" collapsed="false">
      <c r="A300" s="0" t="n">
        <v>4530</v>
      </c>
    </row>
    <row r="301" customFormat="false" ht="12.8" hidden="false" customHeight="false" outlineLevel="0" collapsed="false">
      <c r="A301" s="0" t="n">
        <v>4540</v>
      </c>
    </row>
    <row r="302" customFormat="false" ht="12.8" hidden="false" customHeight="false" outlineLevel="0" collapsed="false">
      <c r="A302" s="0" t="n">
        <v>4550</v>
      </c>
    </row>
    <row r="303" customFormat="false" ht="12.8" hidden="false" customHeight="false" outlineLevel="0" collapsed="false">
      <c r="A303" s="0" t="n">
        <v>4560</v>
      </c>
    </row>
    <row r="304" customFormat="false" ht="12.8" hidden="false" customHeight="false" outlineLevel="0" collapsed="false">
      <c r="A304" s="0" t="n">
        <v>4570</v>
      </c>
    </row>
    <row r="305" customFormat="false" ht="12.8" hidden="false" customHeight="false" outlineLevel="0" collapsed="false">
      <c r="A305" s="0" t="n">
        <v>4580</v>
      </c>
    </row>
    <row r="306" customFormat="false" ht="12.8" hidden="false" customHeight="false" outlineLevel="0" collapsed="false">
      <c r="A306" s="0" t="n">
        <v>4590</v>
      </c>
    </row>
    <row r="307" customFormat="false" ht="12.8" hidden="false" customHeight="false" outlineLevel="0" collapsed="false">
      <c r="A307" s="0" t="n">
        <v>4600</v>
      </c>
    </row>
    <row r="308" customFormat="false" ht="12.8" hidden="false" customHeight="false" outlineLevel="0" collapsed="false">
      <c r="A308" s="0" t="n">
        <v>4610</v>
      </c>
    </row>
    <row r="309" customFormat="false" ht="12.8" hidden="false" customHeight="false" outlineLevel="0" collapsed="false">
      <c r="A309" s="0" t="n">
        <v>4620</v>
      </c>
    </row>
    <row r="310" customFormat="false" ht="12.8" hidden="false" customHeight="false" outlineLevel="0" collapsed="false">
      <c r="A310" s="0" t="n">
        <v>4630</v>
      </c>
    </row>
    <row r="311" customFormat="false" ht="12.8" hidden="false" customHeight="false" outlineLevel="0" collapsed="false">
      <c r="A311" s="0" t="n">
        <v>4640</v>
      </c>
    </row>
    <row r="312" customFormat="false" ht="12.8" hidden="false" customHeight="false" outlineLevel="0" collapsed="false">
      <c r="A312" s="0" t="n">
        <v>4650</v>
      </c>
    </row>
    <row r="313" customFormat="false" ht="12.8" hidden="false" customHeight="false" outlineLevel="0" collapsed="false">
      <c r="A313" s="0" t="n">
        <v>4660</v>
      </c>
    </row>
    <row r="314" customFormat="false" ht="12.8" hidden="false" customHeight="false" outlineLevel="0" collapsed="false">
      <c r="A314" s="0" t="n">
        <v>4670</v>
      </c>
    </row>
    <row r="315" customFormat="false" ht="12.8" hidden="false" customHeight="false" outlineLevel="0" collapsed="false">
      <c r="A315" s="0" t="n">
        <v>4680</v>
      </c>
    </row>
    <row r="316" customFormat="false" ht="12.8" hidden="false" customHeight="false" outlineLevel="0" collapsed="false">
      <c r="A316" s="0" t="n">
        <v>4690</v>
      </c>
    </row>
    <row r="317" customFormat="false" ht="12.8" hidden="false" customHeight="false" outlineLevel="0" collapsed="false">
      <c r="A317" s="0" t="n">
        <v>4700</v>
      </c>
    </row>
    <row r="318" customFormat="false" ht="12.8" hidden="false" customHeight="false" outlineLevel="0" collapsed="false">
      <c r="A318" s="0" t="n">
        <v>4710</v>
      </c>
    </row>
    <row r="319" customFormat="false" ht="12.8" hidden="false" customHeight="false" outlineLevel="0" collapsed="false">
      <c r="A319" s="0" t="n">
        <v>4720</v>
      </c>
    </row>
    <row r="320" customFormat="false" ht="12.8" hidden="false" customHeight="false" outlineLevel="0" collapsed="false">
      <c r="A320" s="0" t="n">
        <v>4730</v>
      </c>
    </row>
    <row r="321" customFormat="false" ht="12.8" hidden="false" customHeight="false" outlineLevel="0" collapsed="false">
      <c r="A321" s="0" t="n">
        <v>4740</v>
      </c>
    </row>
    <row r="322" customFormat="false" ht="12.8" hidden="false" customHeight="false" outlineLevel="0" collapsed="false">
      <c r="A322" s="0" t="n">
        <v>4750</v>
      </c>
    </row>
    <row r="323" customFormat="false" ht="12.8" hidden="false" customHeight="false" outlineLevel="0" collapsed="false">
      <c r="A323" s="0" t="n">
        <v>4760</v>
      </c>
    </row>
    <row r="324" customFormat="false" ht="12.8" hidden="false" customHeight="false" outlineLevel="0" collapsed="false">
      <c r="A324" s="0" t="n">
        <v>4770</v>
      </c>
    </row>
    <row r="325" customFormat="false" ht="12.8" hidden="false" customHeight="false" outlineLevel="0" collapsed="false">
      <c r="A325" s="0" t="n">
        <v>4780</v>
      </c>
    </row>
    <row r="326" customFormat="false" ht="12.8" hidden="false" customHeight="false" outlineLevel="0" collapsed="false">
      <c r="A326" s="0" t="n">
        <v>4790</v>
      </c>
    </row>
    <row r="327" customFormat="false" ht="12.8" hidden="false" customHeight="false" outlineLevel="0" collapsed="false">
      <c r="A327" s="0" t="n">
        <v>4800</v>
      </c>
    </row>
    <row r="328" customFormat="false" ht="12.8" hidden="false" customHeight="false" outlineLevel="0" collapsed="false">
      <c r="A328" s="0" t="n">
        <v>4810</v>
      </c>
    </row>
    <row r="329" customFormat="false" ht="12.8" hidden="false" customHeight="false" outlineLevel="0" collapsed="false">
      <c r="A329" s="0" t="n">
        <v>4820</v>
      </c>
    </row>
    <row r="330" customFormat="false" ht="12.8" hidden="false" customHeight="false" outlineLevel="0" collapsed="false">
      <c r="A330" s="0" t="n">
        <v>4830</v>
      </c>
    </row>
    <row r="331" customFormat="false" ht="12.8" hidden="false" customHeight="false" outlineLevel="0" collapsed="false">
      <c r="A331" s="0" t="n">
        <v>4840</v>
      </c>
    </row>
    <row r="332" customFormat="false" ht="12.8" hidden="false" customHeight="false" outlineLevel="0" collapsed="false">
      <c r="A332" s="0" t="n">
        <v>4850</v>
      </c>
    </row>
    <row r="333" customFormat="false" ht="12.8" hidden="false" customHeight="false" outlineLevel="0" collapsed="false">
      <c r="A333" s="0" t="n">
        <v>4860</v>
      </c>
    </row>
    <row r="334" customFormat="false" ht="12.8" hidden="false" customHeight="false" outlineLevel="0" collapsed="false">
      <c r="A334" s="0" t="n">
        <v>4870</v>
      </c>
    </row>
    <row r="335" customFormat="false" ht="12.8" hidden="false" customHeight="false" outlineLevel="0" collapsed="false">
      <c r="A335" s="0" t="n">
        <v>4880</v>
      </c>
    </row>
    <row r="336" customFormat="false" ht="12.8" hidden="false" customHeight="false" outlineLevel="0" collapsed="false">
      <c r="A336" s="0" t="n">
        <v>4890</v>
      </c>
    </row>
    <row r="337" customFormat="false" ht="12.8" hidden="false" customHeight="false" outlineLevel="0" collapsed="false">
      <c r="A337" s="0" t="n">
        <v>4900</v>
      </c>
    </row>
    <row r="338" customFormat="false" ht="12.8" hidden="false" customHeight="false" outlineLevel="0" collapsed="false">
      <c r="A338" s="0" t="n">
        <v>4910</v>
      </c>
    </row>
    <row r="339" customFormat="false" ht="12.8" hidden="false" customHeight="false" outlineLevel="0" collapsed="false">
      <c r="A339" s="0" t="n">
        <v>4920</v>
      </c>
    </row>
    <row r="340" customFormat="false" ht="12.8" hidden="false" customHeight="false" outlineLevel="0" collapsed="false">
      <c r="A340" s="0" t="n">
        <v>4930</v>
      </c>
    </row>
    <row r="341" customFormat="false" ht="12.8" hidden="false" customHeight="false" outlineLevel="0" collapsed="false">
      <c r="A341" s="0" t="n">
        <v>4940</v>
      </c>
    </row>
    <row r="342" customFormat="false" ht="12.8" hidden="false" customHeight="false" outlineLevel="0" collapsed="false">
      <c r="A342" s="0" t="n">
        <v>4950</v>
      </c>
    </row>
    <row r="343" customFormat="false" ht="12.8" hidden="false" customHeight="false" outlineLevel="0" collapsed="false">
      <c r="A343" s="0" t="n">
        <v>4960</v>
      </c>
    </row>
    <row r="344" customFormat="false" ht="12.8" hidden="false" customHeight="false" outlineLevel="0" collapsed="false">
      <c r="A344" s="0" t="n">
        <v>4970</v>
      </c>
    </row>
    <row r="345" customFormat="false" ht="12.8" hidden="false" customHeight="false" outlineLevel="0" collapsed="false">
      <c r="A345" s="0" t="n">
        <v>4980</v>
      </c>
    </row>
    <row r="346" customFormat="false" ht="12.8" hidden="false" customHeight="false" outlineLevel="0" collapsed="false">
      <c r="A346" s="0" t="n">
        <v>4990</v>
      </c>
    </row>
    <row r="347" customFormat="false" ht="12.8" hidden="false" customHeight="false" outlineLevel="0" collapsed="false">
      <c r="A347" s="0" t="n">
        <v>5000</v>
      </c>
    </row>
    <row r="348" customFormat="false" ht="12.8" hidden="false" customHeight="false" outlineLevel="0" collapsed="false">
      <c r="A348" s="0" t="n">
        <v>5010</v>
      </c>
    </row>
    <row r="349" customFormat="false" ht="12.8" hidden="false" customHeight="false" outlineLevel="0" collapsed="false">
      <c r="A349" s="0" t="n">
        <v>5020</v>
      </c>
    </row>
    <row r="350" customFormat="false" ht="12.8" hidden="false" customHeight="false" outlineLevel="0" collapsed="false">
      <c r="A350" s="0" t="n">
        <v>5030</v>
      </c>
    </row>
    <row r="351" customFormat="false" ht="12.8" hidden="false" customHeight="false" outlineLevel="0" collapsed="false">
      <c r="A351" s="0" t="n">
        <v>5040</v>
      </c>
    </row>
    <row r="352" customFormat="false" ht="12.8" hidden="false" customHeight="false" outlineLevel="0" collapsed="false">
      <c r="A352" s="0" t="n">
        <v>5050</v>
      </c>
    </row>
    <row r="353" customFormat="false" ht="12.8" hidden="false" customHeight="false" outlineLevel="0" collapsed="false">
      <c r="A353" s="0" t="n">
        <v>5060</v>
      </c>
    </row>
    <row r="354" customFormat="false" ht="12.8" hidden="false" customHeight="false" outlineLevel="0" collapsed="false">
      <c r="A354" s="0" t="n">
        <v>5070</v>
      </c>
    </row>
    <row r="355" customFormat="false" ht="12.8" hidden="false" customHeight="false" outlineLevel="0" collapsed="false">
      <c r="A355" s="0" t="n">
        <v>5080</v>
      </c>
    </row>
    <row r="356" customFormat="false" ht="12.8" hidden="false" customHeight="false" outlineLevel="0" collapsed="false">
      <c r="A356" s="0" t="n">
        <v>5090</v>
      </c>
    </row>
    <row r="357" customFormat="false" ht="12.8" hidden="false" customHeight="false" outlineLevel="0" collapsed="false">
      <c r="A357" s="0" t="n">
        <v>5100</v>
      </c>
    </row>
    <row r="358" customFormat="false" ht="12.8" hidden="false" customHeight="false" outlineLevel="0" collapsed="false">
      <c r="A358" s="0" t="n">
        <v>5110</v>
      </c>
    </row>
    <row r="359" customFormat="false" ht="12.8" hidden="false" customHeight="false" outlineLevel="0" collapsed="false">
      <c r="A359" s="0" t="n">
        <v>5120</v>
      </c>
    </row>
    <row r="360" customFormat="false" ht="12.8" hidden="false" customHeight="false" outlineLevel="0" collapsed="false">
      <c r="A360" s="0" t="n">
        <v>5130</v>
      </c>
    </row>
    <row r="361" customFormat="false" ht="12.8" hidden="false" customHeight="false" outlineLevel="0" collapsed="false">
      <c r="A361" s="0" t="n">
        <v>5140</v>
      </c>
    </row>
    <row r="362" customFormat="false" ht="12.8" hidden="false" customHeight="false" outlineLevel="0" collapsed="false">
      <c r="A362" s="0" t="n">
        <v>5150</v>
      </c>
    </row>
    <row r="363" customFormat="false" ht="12.8" hidden="false" customHeight="false" outlineLevel="0" collapsed="false">
      <c r="A363" s="0" t="n">
        <v>5160</v>
      </c>
    </row>
    <row r="364" customFormat="false" ht="12.8" hidden="false" customHeight="false" outlineLevel="0" collapsed="false">
      <c r="A364" s="0" t="n">
        <v>5170</v>
      </c>
    </row>
    <row r="365" customFormat="false" ht="12.8" hidden="false" customHeight="false" outlineLevel="0" collapsed="false">
      <c r="A365" s="0" t="n">
        <v>5180</v>
      </c>
    </row>
    <row r="366" customFormat="false" ht="12.8" hidden="false" customHeight="false" outlineLevel="0" collapsed="false">
      <c r="A366" s="0" t="n">
        <v>5190</v>
      </c>
    </row>
    <row r="367" customFormat="false" ht="12.8" hidden="false" customHeight="false" outlineLevel="0" collapsed="false">
      <c r="A367" s="0" t="n">
        <v>5200</v>
      </c>
    </row>
    <row r="368" customFormat="false" ht="12.8" hidden="false" customHeight="false" outlineLevel="0" collapsed="false">
      <c r="A368" s="0" t="n">
        <v>5210</v>
      </c>
    </row>
    <row r="369" customFormat="false" ht="12.8" hidden="false" customHeight="false" outlineLevel="0" collapsed="false">
      <c r="A369" s="0" t="n">
        <v>5220</v>
      </c>
    </row>
    <row r="370" customFormat="false" ht="12.8" hidden="false" customHeight="false" outlineLevel="0" collapsed="false">
      <c r="A370" s="0" t="n">
        <v>5230</v>
      </c>
    </row>
    <row r="371" customFormat="false" ht="12.8" hidden="false" customHeight="false" outlineLevel="0" collapsed="false">
      <c r="A371" s="0" t="n">
        <v>5240</v>
      </c>
    </row>
    <row r="372" customFormat="false" ht="12.8" hidden="false" customHeight="false" outlineLevel="0" collapsed="false">
      <c r="A372" s="0" t="n">
        <v>5250</v>
      </c>
    </row>
    <row r="373" customFormat="false" ht="12.8" hidden="false" customHeight="false" outlineLevel="0" collapsed="false">
      <c r="A373" s="0" t="n">
        <v>5260</v>
      </c>
    </row>
    <row r="374" customFormat="false" ht="12.8" hidden="false" customHeight="false" outlineLevel="0" collapsed="false">
      <c r="A374" s="0" t="n">
        <v>5270</v>
      </c>
    </row>
    <row r="375" customFormat="false" ht="12.8" hidden="false" customHeight="false" outlineLevel="0" collapsed="false">
      <c r="A375" s="0" t="n">
        <v>5280</v>
      </c>
    </row>
    <row r="376" customFormat="false" ht="12.8" hidden="false" customHeight="false" outlineLevel="0" collapsed="false">
      <c r="A376" s="0" t="n">
        <v>5290</v>
      </c>
    </row>
    <row r="377" customFormat="false" ht="12.8" hidden="false" customHeight="false" outlineLevel="0" collapsed="false">
      <c r="A377" s="0" t="n">
        <v>5300</v>
      </c>
    </row>
    <row r="378" customFormat="false" ht="12.8" hidden="false" customHeight="false" outlineLevel="0" collapsed="false">
      <c r="A378" s="0" t="n">
        <v>5310</v>
      </c>
    </row>
    <row r="379" customFormat="false" ht="12.8" hidden="false" customHeight="false" outlineLevel="0" collapsed="false">
      <c r="A379" s="0" t="n">
        <v>5320</v>
      </c>
    </row>
    <row r="380" customFormat="false" ht="12.8" hidden="false" customHeight="false" outlineLevel="0" collapsed="false">
      <c r="A380" s="0" t="n">
        <v>5330</v>
      </c>
    </row>
    <row r="381" customFormat="false" ht="12.8" hidden="false" customHeight="false" outlineLevel="0" collapsed="false">
      <c r="A381" s="0" t="n">
        <v>5340</v>
      </c>
    </row>
    <row r="382" customFormat="false" ht="12.8" hidden="false" customHeight="false" outlineLevel="0" collapsed="false">
      <c r="A382" s="0" t="n">
        <v>5350</v>
      </c>
    </row>
    <row r="383" customFormat="false" ht="12.8" hidden="false" customHeight="false" outlineLevel="0" collapsed="false">
      <c r="A383" s="0" t="n">
        <v>5360</v>
      </c>
    </row>
    <row r="384" customFormat="false" ht="12.8" hidden="false" customHeight="false" outlineLevel="0" collapsed="false">
      <c r="A384" s="0" t="n">
        <v>5370</v>
      </c>
    </row>
    <row r="385" customFormat="false" ht="12.8" hidden="false" customHeight="false" outlineLevel="0" collapsed="false">
      <c r="A385" s="0" t="n">
        <v>5380</v>
      </c>
    </row>
    <row r="386" customFormat="false" ht="12.8" hidden="false" customHeight="false" outlineLevel="0" collapsed="false">
      <c r="A386" s="0" t="n">
        <v>5390</v>
      </c>
    </row>
    <row r="387" customFormat="false" ht="12.8" hidden="false" customHeight="false" outlineLevel="0" collapsed="false">
      <c r="A387" s="0" t="n">
        <v>5400</v>
      </c>
    </row>
    <row r="388" customFormat="false" ht="12.8" hidden="false" customHeight="false" outlineLevel="0" collapsed="false">
      <c r="A388" s="0" t="n">
        <v>5410</v>
      </c>
    </row>
    <row r="389" customFormat="false" ht="12.8" hidden="false" customHeight="false" outlineLevel="0" collapsed="false">
      <c r="A389" s="0" t="n">
        <v>5420</v>
      </c>
    </row>
    <row r="390" customFormat="false" ht="12.8" hidden="false" customHeight="false" outlineLevel="0" collapsed="false">
      <c r="A390" s="0" t="n">
        <v>5430</v>
      </c>
    </row>
    <row r="391" customFormat="false" ht="12.8" hidden="false" customHeight="false" outlineLevel="0" collapsed="false">
      <c r="A391" s="0" t="n">
        <v>5440</v>
      </c>
    </row>
    <row r="392" customFormat="false" ht="12.8" hidden="false" customHeight="false" outlineLevel="0" collapsed="false">
      <c r="A392" s="0" t="n">
        <v>5450</v>
      </c>
    </row>
    <row r="393" customFormat="false" ht="12.8" hidden="false" customHeight="false" outlineLevel="0" collapsed="false">
      <c r="A393" s="0" t="n">
        <v>5460</v>
      </c>
    </row>
    <row r="394" customFormat="false" ht="12.8" hidden="false" customHeight="false" outlineLevel="0" collapsed="false">
      <c r="A394" s="0" t="n">
        <v>5470</v>
      </c>
    </row>
    <row r="395" customFormat="false" ht="12.8" hidden="false" customHeight="false" outlineLevel="0" collapsed="false">
      <c r="A395" s="0" t="n">
        <v>5480</v>
      </c>
    </row>
    <row r="396" customFormat="false" ht="12.8" hidden="false" customHeight="false" outlineLevel="0" collapsed="false">
      <c r="A396" s="0" t="n">
        <v>5490</v>
      </c>
    </row>
    <row r="397" customFormat="false" ht="12.8" hidden="false" customHeight="false" outlineLevel="0" collapsed="false">
      <c r="A397" s="0" t="n">
        <v>5500</v>
      </c>
    </row>
    <row r="398" customFormat="false" ht="12.8" hidden="false" customHeight="false" outlineLevel="0" collapsed="false">
      <c r="A398" s="0" t="n">
        <v>5510</v>
      </c>
    </row>
    <row r="399" customFormat="false" ht="12.8" hidden="false" customHeight="false" outlineLevel="0" collapsed="false">
      <c r="A399" s="0" t="n">
        <v>5520</v>
      </c>
    </row>
    <row r="400" customFormat="false" ht="12.8" hidden="false" customHeight="false" outlineLevel="0" collapsed="false">
      <c r="A400" s="0" t="n">
        <v>5530</v>
      </c>
    </row>
    <row r="401" customFormat="false" ht="12.8" hidden="false" customHeight="false" outlineLevel="0" collapsed="false">
      <c r="A401" s="0" t="n">
        <v>5540</v>
      </c>
    </row>
    <row r="402" customFormat="false" ht="12.8" hidden="false" customHeight="false" outlineLevel="0" collapsed="false">
      <c r="A402" s="0" t="n">
        <v>5550</v>
      </c>
    </row>
    <row r="403" customFormat="false" ht="12.8" hidden="false" customHeight="false" outlineLevel="0" collapsed="false">
      <c r="A403" s="0" t="n">
        <v>5560</v>
      </c>
    </row>
    <row r="404" customFormat="false" ht="12.8" hidden="false" customHeight="false" outlineLevel="0" collapsed="false">
      <c r="A404" s="0" t="n">
        <v>5570</v>
      </c>
    </row>
    <row r="405" customFormat="false" ht="12.8" hidden="false" customHeight="false" outlineLevel="0" collapsed="false">
      <c r="A405" s="0" t="n">
        <v>5580</v>
      </c>
    </row>
    <row r="406" customFormat="false" ht="12.8" hidden="false" customHeight="false" outlineLevel="0" collapsed="false">
      <c r="A406" s="0" t="n">
        <v>5590</v>
      </c>
    </row>
    <row r="407" customFormat="false" ht="12.8" hidden="false" customHeight="false" outlineLevel="0" collapsed="false">
      <c r="A407" s="0" t="n">
        <v>5600</v>
      </c>
    </row>
    <row r="408" customFormat="false" ht="12.8" hidden="false" customHeight="false" outlineLevel="0" collapsed="false">
      <c r="A408" s="0" t="n">
        <v>5610</v>
      </c>
    </row>
    <row r="409" customFormat="false" ht="12.8" hidden="false" customHeight="false" outlineLevel="0" collapsed="false">
      <c r="A409" s="0" t="n">
        <v>5620</v>
      </c>
    </row>
    <row r="410" customFormat="false" ht="12.8" hidden="false" customHeight="false" outlineLevel="0" collapsed="false">
      <c r="A410" s="0" t="n">
        <v>5630</v>
      </c>
    </row>
    <row r="411" customFormat="false" ht="12.8" hidden="false" customHeight="false" outlineLevel="0" collapsed="false">
      <c r="A411" s="0" t="n">
        <v>5640</v>
      </c>
    </row>
    <row r="412" customFormat="false" ht="12.8" hidden="false" customHeight="false" outlineLevel="0" collapsed="false">
      <c r="A412" s="0" t="n">
        <v>5650</v>
      </c>
    </row>
    <row r="413" customFormat="false" ht="12.8" hidden="false" customHeight="false" outlineLevel="0" collapsed="false">
      <c r="A413" s="0" t="n">
        <v>5660</v>
      </c>
    </row>
    <row r="414" customFormat="false" ht="12.8" hidden="false" customHeight="false" outlineLevel="0" collapsed="false">
      <c r="A414" s="0" t="n">
        <v>5670</v>
      </c>
    </row>
    <row r="415" customFormat="false" ht="12.8" hidden="false" customHeight="false" outlineLevel="0" collapsed="false">
      <c r="A415" s="0" t="n">
        <v>5680</v>
      </c>
    </row>
    <row r="416" customFormat="false" ht="12.8" hidden="false" customHeight="false" outlineLevel="0" collapsed="false">
      <c r="A416" s="0" t="n">
        <v>5690</v>
      </c>
    </row>
    <row r="417" customFormat="false" ht="12.8" hidden="false" customHeight="false" outlineLevel="0" collapsed="false">
      <c r="A417" s="0" t="n">
        <v>5700</v>
      </c>
    </row>
    <row r="418" customFormat="false" ht="12.8" hidden="false" customHeight="false" outlineLevel="0" collapsed="false">
      <c r="A418" s="0" t="n">
        <v>5710</v>
      </c>
    </row>
    <row r="419" customFormat="false" ht="12.8" hidden="false" customHeight="false" outlineLevel="0" collapsed="false">
      <c r="A419" s="0" t="n">
        <v>5720</v>
      </c>
    </row>
    <row r="420" customFormat="false" ht="12.8" hidden="false" customHeight="false" outlineLevel="0" collapsed="false">
      <c r="A420" s="0" t="n">
        <v>5730</v>
      </c>
    </row>
    <row r="421" customFormat="false" ht="12.8" hidden="false" customHeight="false" outlineLevel="0" collapsed="false">
      <c r="A421" s="0" t="n">
        <v>5740</v>
      </c>
    </row>
    <row r="422" customFormat="false" ht="12.8" hidden="false" customHeight="false" outlineLevel="0" collapsed="false">
      <c r="A422" s="0" t="n">
        <v>5750</v>
      </c>
    </row>
    <row r="423" customFormat="false" ht="12.8" hidden="false" customHeight="false" outlineLevel="0" collapsed="false">
      <c r="A423" s="0" t="n">
        <v>5760</v>
      </c>
    </row>
    <row r="424" customFormat="false" ht="12.8" hidden="false" customHeight="false" outlineLevel="0" collapsed="false">
      <c r="A424" s="0" t="n">
        <v>5770</v>
      </c>
    </row>
    <row r="425" customFormat="false" ht="12.8" hidden="false" customHeight="false" outlineLevel="0" collapsed="false">
      <c r="A425" s="0" t="n">
        <v>5780</v>
      </c>
    </row>
    <row r="426" customFormat="false" ht="12.8" hidden="false" customHeight="false" outlineLevel="0" collapsed="false">
      <c r="A426" s="0" t="n">
        <v>5790</v>
      </c>
    </row>
    <row r="427" customFormat="false" ht="12.8" hidden="false" customHeight="false" outlineLevel="0" collapsed="false">
      <c r="A427" s="0" t="n">
        <v>5800</v>
      </c>
    </row>
    <row r="428" customFormat="false" ht="12.8" hidden="false" customHeight="false" outlineLevel="0" collapsed="false">
      <c r="A428" s="0" t="n">
        <v>5810</v>
      </c>
    </row>
    <row r="429" customFormat="false" ht="12.8" hidden="false" customHeight="false" outlineLevel="0" collapsed="false">
      <c r="A429" s="0" t="n">
        <v>5820</v>
      </c>
    </row>
    <row r="430" customFormat="false" ht="12.8" hidden="false" customHeight="false" outlineLevel="0" collapsed="false">
      <c r="A430" s="0" t="n">
        <v>5830</v>
      </c>
    </row>
    <row r="431" customFormat="false" ht="12.8" hidden="false" customHeight="false" outlineLevel="0" collapsed="false">
      <c r="A431" s="0" t="n">
        <v>5840</v>
      </c>
    </row>
    <row r="432" customFormat="false" ht="12.8" hidden="false" customHeight="false" outlineLevel="0" collapsed="false">
      <c r="A432" s="0" t="n">
        <v>5850</v>
      </c>
    </row>
    <row r="433" customFormat="false" ht="12.8" hidden="false" customHeight="false" outlineLevel="0" collapsed="false">
      <c r="A433" s="0" t="n">
        <v>5860</v>
      </c>
    </row>
    <row r="434" customFormat="false" ht="12.8" hidden="false" customHeight="false" outlineLevel="0" collapsed="false">
      <c r="A434" s="0" t="n">
        <v>5870</v>
      </c>
    </row>
    <row r="435" customFormat="false" ht="12.8" hidden="false" customHeight="false" outlineLevel="0" collapsed="false">
      <c r="A435" s="0" t="n">
        <v>5880</v>
      </c>
    </row>
    <row r="436" customFormat="false" ht="12.8" hidden="false" customHeight="false" outlineLevel="0" collapsed="false">
      <c r="A436" s="0" t="n">
        <v>5890</v>
      </c>
    </row>
    <row r="437" customFormat="false" ht="12.8" hidden="false" customHeight="false" outlineLevel="0" collapsed="false">
      <c r="A437" s="0" t="n">
        <v>5900</v>
      </c>
    </row>
    <row r="438" customFormat="false" ht="12.8" hidden="false" customHeight="false" outlineLevel="0" collapsed="false">
      <c r="A438" s="0" t="n">
        <v>5910</v>
      </c>
    </row>
    <row r="439" customFormat="false" ht="12.8" hidden="false" customHeight="false" outlineLevel="0" collapsed="false">
      <c r="A439" s="0" t="n">
        <v>5920</v>
      </c>
    </row>
    <row r="440" customFormat="false" ht="12.8" hidden="false" customHeight="false" outlineLevel="0" collapsed="false">
      <c r="A440" s="0" t="n">
        <v>5930</v>
      </c>
    </row>
    <row r="441" customFormat="false" ht="12.8" hidden="false" customHeight="false" outlineLevel="0" collapsed="false">
      <c r="A441" s="0" t="n">
        <v>5940</v>
      </c>
    </row>
    <row r="442" customFormat="false" ht="12.8" hidden="false" customHeight="false" outlineLevel="0" collapsed="false">
      <c r="A442" s="0" t="n">
        <v>5950</v>
      </c>
    </row>
    <row r="443" customFormat="false" ht="12.8" hidden="false" customHeight="false" outlineLevel="0" collapsed="false">
      <c r="A443" s="0" t="n">
        <v>5960</v>
      </c>
    </row>
    <row r="444" customFormat="false" ht="12.8" hidden="false" customHeight="false" outlineLevel="0" collapsed="false">
      <c r="A444" s="0" t="n">
        <v>5970</v>
      </c>
    </row>
    <row r="445" customFormat="false" ht="12.8" hidden="false" customHeight="false" outlineLevel="0" collapsed="false">
      <c r="A445" s="0" t="n">
        <v>5980</v>
      </c>
    </row>
    <row r="446" customFormat="false" ht="12.8" hidden="false" customHeight="false" outlineLevel="0" collapsed="false">
      <c r="A446" s="0" t="n">
        <v>5990</v>
      </c>
    </row>
    <row r="447" customFormat="false" ht="12.8" hidden="false" customHeight="false" outlineLevel="0" collapsed="false">
      <c r="A447" s="0" t="n">
        <v>6000</v>
      </c>
    </row>
    <row r="448" customFormat="false" ht="12.8" hidden="false" customHeight="false" outlineLevel="0" collapsed="false">
      <c r="A448" s="0" t="n">
        <v>6010</v>
      </c>
    </row>
    <row r="449" customFormat="false" ht="12.8" hidden="false" customHeight="false" outlineLevel="0" collapsed="false">
      <c r="A449" s="0" t="n">
        <v>6020</v>
      </c>
    </row>
    <row r="450" customFormat="false" ht="12.8" hidden="false" customHeight="false" outlineLevel="0" collapsed="false">
      <c r="A450" s="0" t="n">
        <v>6030</v>
      </c>
    </row>
    <row r="451" customFormat="false" ht="12.8" hidden="false" customHeight="false" outlineLevel="0" collapsed="false">
      <c r="A451" s="0" t="n">
        <v>6040</v>
      </c>
    </row>
    <row r="452" customFormat="false" ht="12.8" hidden="false" customHeight="false" outlineLevel="0" collapsed="false">
      <c r="A452" s="0" t="n">
        <v>6050</v>
      </c>
    </row>
    <row r="453" customFormat="false" ht="12.8" hidden="false" customHeight="false" outlineLevel="0" collapsed="false">
      <c r="A453" s="0" t="n">
        <v>6060</v>
      </c>
    </row>
    <row r="454" customFormat="false" ht="12.8" hidden="false" customHeight="false" outlineLevel="0" collapsed="false">
      <c r="A454" s="0" t="n">
        <v>6070</v>
      </c>
    </row>
    <row r="455" customFormat="false" ht="12.8" hidden="false" customHeight="false" outlineLevel="0" collapsed="false">
      <c r="A455" s="0" t="n">
        <v>6080</v>
      </c>
    </row>
    <row r="456" customFormat="false" ht="12.8" hidden="false" customHeight="false" outlineLevel="0" collapsed="false">
      <c r="A456" s="0" t="n">
        <v>6090</v>
      </c>
    </row>
    <row r="457" customFormat="false" ht="12.8" hidden="false" customHeight="false" outlineLevel="0" collapsed="false">
      <c r="A457" s="0" t="n">
        <v>6100</v>
      </c>
    </row>
    <row r="458" customFormat="false" ht="12.8" hidden="false" customHeight="false" outlineLevel="0" collapsed="false">
      <c r="A458" s="0" t="n">
        <v>6110</v>
      </c>
    </row>
    <row r="459" customFormat="false" ht="12.8" hidden="false" customHeight="false" outlineLevel="0" collapsed="false">
      <c r="A459" s="0" t="n">
        <v>6120</v>
      </c>
    </row>
    <row r="460" customFormat="false" ht="12.8" hidden="false" customHeight="false" outlineLevel="0" collapsed="false">
      <c r="A460" s="0" t="n">
        <v>6130</v>
      </c>
    </row>
    <row r="461" customFormat="false" ht="12.8" hidden="false" customHeight="false" outlineLevel="0" collapsed="false">
      <c r="A461" s="0" t="n">
        <v>6140</v>
      </c>
    </row>
    <row r="462" customFormat="false" ht="12.8" hidden="false" customHeight="false" outlineLevel="0" collapsed="false">
      <c r="A462" s="0" t="n">
        <v>6150</v>
      </c>
    </row>
    <row r="463" customFormat="false" ht="12.8" hidden="false" customHeight="false" outlineLevel="0" collapsed="false">
      <c r="A463" s="0" t="n">
        <v>6160</v>
      </c>
    </row>
    <row r="464" customFormat="false" ht="12.8" hidden="false" customHeight="false" outlineLevel="0" collapsed="false">
      <c r="A464" s="0" t="n">
        <v>6170</v>
      </c>
    </row>
    <row r="465" customFormat="false" ht="12.8" hidden="false" customHeight="false" outlineLevel="0" collapsed="false">
      <c r="A465" s="0" t="n">
        <v>6180</v>
      </c>
    </row>
    <row r="466" customFormat="false" ht="12.8" hidden="false" customHeight="false" outlineLevel="0" collapsed="false">
      <c r="A466" s="0" t="n">
        <v>6190</v>
      </c>
    </row>
    <row r="467" customFormat="false" ht="12.8" hidden="false" customHeight="false" outlineLevel="0" collapsed="false">
      <c r="A467" s="0" t="n">
        <v>6200</v>
      </c>
    </row>
    <row r="468" customFormat="false" ht="12.8" hidden="false" customHeight="false" outlineLevel="0" collapsed="false">
      <c r="A468" s="0" t="n">
        <v>6210</v>
      </c>
    </row>
    <row r="469" customFormat="false" ht="12.8" hidden="false" customHeight="false" outlineLevel="0" collapsed="false">
      <c r="A469" s="0" t="n">
        <v>6220</v>
      </c>
    </row>
    <row r="470" customFormat="false" ht="12.8" hidden="false" customHeight="false" outlineLevel="0" collapsed="false">
      <c r="A470" s="0" t="n">
        <v>6230</v>
      </c>
    </row>
    <row r="471" customFormat="false" ht="12.8" hidden="false" customHeight="false" outlineLevel="0" collapsed="false">
      <c r="A471" s="0" t="n">
        <v>6240</v>
      </c>
    </row>
    <row r="472" customFormat="false" ht="12.8" hidden="false" customHeight="false" outlineLevel="0" collapsed="false">
      <c r="A472" s="0" t="n">
        <v>6250</v>
      </c>
    </row>
    <row r="473" customFormat="false" ht="12.8" hidden="false" customHeight="false" outlineLevel="0" collapsed="false">
      <c r="A473" s="0" t="n">
        <v>6260</v>
      </c>
    </row>
    <row r="474" customFormat="false" ht="12.8" hidden="false" customHeight="false" outlineLevel="0" collapsed="false">
      <c r="A474" s="0" t="n">
        <v>6270</v>
      </c>
    </row>
    <row r="475" customFormat="false" ht="12.8" hidden="false" customHeight="false" outlineLevel="0" collapsed="false">
      <c r="A475" s="0" t="n">
        <v>6280</v>
      </c>
    </row>
    <row r="476" customFormat="false" ht="12.8" hidden="false" customHeight="false" outlineLevel="0" collapsed="false">
      <c r="A476" s="0" t="n">
        <v>6290</v>
      </c>
    </row>
    <row r="477" customFormat="false" ht="12.8" hidden="false" customHeight="false" outlineLevel="0" collapsed="false">
      <c r="A477" s="0" t="n">
        <v>6300</v>
      </c>
    </row>
    <row r="478" customFormat="false" ht="12.8" hidden="false" customHeight="false" outlineLevel="0" collapsed="false">
      <c r="A478" s="0" t="n">
        <v>6310</v>
      </c>
    </row>
    <row r="479" customFormat="false" ht="12.8" hidden="false" customHeight="false" outlineLevel="0" collapsed="false">
      <c r="A479" s="0" t="n">
        <v>6320</v>
      </c>
    </row>
    <row r="480" customFormat="false" ht="12.8" hidden="false" customHeight="false" outlineLevel="0" collapsed="false">
      <c r="A480" s="0" t="n">
        <v>6330</v>
      </c>
    </row>
    <row r="481" customFormat="false" ht="12.8" hidden="false" customHeight="false" outlineLevel="0" collapsed="false">
      <c r="A481" s="0" t="n">
        <v>6340</v>
      </c>
    </row>
    <row r="482" customFormat="false" ht="12.8" hidden="false" customHeight="false" outlineLevel="0" collapsed="false">
      <c r="A482" s="0" t="n">
        <v>6350</v>
      </c>
    </row>
    <row r="483" customFormat="false" ht="12.8" hidden="false" customHeight="false" outlineLevel="0" collapsed="false">
      <c r="A483" s="0" t="n">
        <v>6360</v>
      </c>
    </row>
    <row r="484" customFormat="false" ht="12.8" hidden="false" customHeight="false" outlineLevel="0" collapsed="false">
      <c r="A484" s="0" t="n">
        <v>6370</v>
      </c>
    </row>
    <row r="485" customFormat="false" ht="12.8" hidden="false" customHeight="false" outlineLevel="0" collapsed="false">
      <c r="A485" s="0" t="n">
        <v>6380</v>
      </c>
    </row>
    <row r="486" customFormat="false" ht="12.8" hidden="false" customHeight="false" outlineLevel="0" collapsed="false">
      <c r="A486" s="0" t="n">
        <v>6390</v>
      </c>
    </row>
    <row r="487" customFormat="false" ht="12.8" hidden="false" customHeight="false" outlineLevel="0" collapsed="false">
      <c r="A487" s="0" t="n">
        <v>6400</v>
      </c>
    </row>
    <row r="488" customFormat="false" ht="12.8" hidden="false" customHeight="false" outlineLevel="0" collapsed="false">
      <c r="A488" s="0" t="n">
        <v>6410</v>
      </c>
    </row>
    <row r="489" customFormat="false" ht="12.8" hidden="false" customHeight="false" outlineLevel="0" collapsed="false">
      <c r="A489" s="0" t="n">
        <v>6420</v>
      </c>
    </row>
    <row r="490" customFormat="false" ht="12.8" hidden="false" customHeight="false" outlineLevel="0" collapsed="false">
      <c r="A490" s="0" t="n">
        <v>6430</v>
      </c>
    </row>
    <row r="491" customFormat="false" ht="12.8" hidden="false" customHeight="false" outlineLevel="0" collapsed="false">
      <c r="A491" s="0" t="n">
        <v>6440</v>
      </c>
    </row>
    <row r="492" customFormat="false" ht="12.8" hidden="false" customHeight="false" outlineLevel="0" collapsed="false">
      <c r="A492" s="0" t="n">
        <v>6450</v>
      </c>
    </row>
    <row r="493" customFormat="false" ht="12.8" hidden="false" customHeight="false" outlineLevel="0" collapsed="false">
      <c r="A493" s="0" t="n">
        <v>6460</v>
      </c>
    </row>
    <row r="494" customFormat="false" ht="12.8" hidden="false" customHeight="false" outlineLevel="0" collapsed="false">
      <c r="A494" s="0" t="n">
        <v>6470</v>
      </c>
    </row>
    <row r="495" customFormat="false" ht="12.8" hidden="false" customHeight="false" outlineLevel="0" collapsed="false">
      <c r="A495" s="0" t="n">
        <v>6480</v>
      </c>
    </row>
    <row r="496" customFormat="false" ht="12.8" hidden="false" customHeight="false" outlineLevel="0" collapsed="false">
      <c r="A496" s="0" t="n">
        <v>6490</v>
      </c>
    </row>
    <row r="497" customFormat="false" ht="12.8" hidden="false" customHeight="false" outlineLevel="0" collapsed="false">
      <c r="A497" s="0" t="n">
        <v>6500</v>
      </c>
    </row>
    <row r="498" customFormat="false" ht="12.8" hidden="false" customHeight="false" outlineLevel="0" collapsed="false">
      <c r="A498" s="0" t="n">
        <v>6510</v>
      </c>
    </row>
    <row r="499" customFormat="false" ht="12.8" hidden="false" customHeight="false" outlineLevel="0" collapsed="false">
      <c r="A499" s="0" t="n">
        <v>6520</v>
      </c>
    </row>
    <row r="500" customFormat="false" ht="12.8" hidden="false" customHeight="false" outlineLevel="0" collapsed="false">
      <c r="A500" s="0" t="n">
        <v>6530</v>
      </c>
    </row>
    <row r="501" customFormat="false" ht="12.8" hidden="false" customHeight="false" outlineLevel="0" collapsed="false">
      <c r="A501" s="0" t="n">
        <v>6540</v>
      </c>
    </row>
    <row r="502" customFormat="false" ht="12.8" hidden="false" customHeight="false" outlineLevel="0" collapsed="false">
      <c r="A502" s="0" t="n">
        <v>6550</v>
      </c>
    </row>
    <row r="503" customFormat="false" ht="12.8" hidden="false" customHeight="false" outlineLevel="0" collapsed="false">
      <c r="A503" s="0" t="n">
        <v>6560</v>
      </c>
    </row>
    <row r="504" customFormat="false" ht="12.8" hidden="false" customHeight="false" outlineLevel="0" collapsed="false">
      <c r="A504" s="0" t="n">
        <v>6570</v>
      </c>
    </row>
    <row r="505" customFormat="false" ht="12.8" hidden="false" customHeight="false" outlineLevel="0" collapsed="false">
      <c r="A505" s="0" t="n">
        <v>6580</v>
      </c>
    </row>
    <row r="506" customFormat="false" ht="12.8" hidden="false" customHeight="false" outlineLevel="0" collapsed="false">
      <c r="A506" s="0" t="n">
        <v>6590</v>
      </c>
    </row>
    <row r="507" customFormat="false" ht="12.8" hidden="false" customHeight="false" outlineLevel="0" collapsed="false">
      <c r="A507" s="0" t="n">
        <v>6600</v>
      </c>
    </row>
    <row r="508" customFormat="false" ht="12.8" hidden="false" customHeight="false" outlineLevel="0" collapsed="false">
      <c r="A508" s="0" t="n">
        <v>6610</v>
      </c>
    </row>
    <row r="509" customFormat="false" ht="12.8" hidden="false" customHeight="false" outlineLevel="0" collapsed="false">
      <c r="A509" s="0" t="n">
        <v>6620</v>
      </c>
    </row>
    <row r="510" customFormat="false" ht="12.8" hidden="false" customHeight="false" outlineLevel="0" collapsed="false">
      <c r="A510" s="0" t="n">
        <v>6630</v>
      </c>
    </row>
    <row r="511" customFormat="false" ht="12.8" hidden="false" customHeight="false" outlineLevel="0" collapsed="false">
      <c r="A511" s="0" t="n">
        <v>6640</v>
      </c>
    </row>
    <row r="512" customFormat="false" ht="12.8" hidden="false" customHeight="false" outlineLevel="0" collapsed="false">
      <c r="A512" s="0" t="n">
        <v>6650</v>
      </c>
    </row>
    <row r="513" customFormat="false" ht="12.8" hidden="false" customHeight="false" outlineLevel="0" collapsed="false">
      <c r="A513" s="0" t="n">
        <v>6660</v>
      </c>
    </row>
    <row r="514" customFormat="false" ht="12.8" hidden="false" customHeight="false" outlineLevel="0" collapsed="false">
      <c r="A514" s="0" t="n">
        <v>6670</v>
      </c>
    </row>
    <row r="515" customFormat="false" ht="12.8" hidden="false" customHeight="false" outlineLevel="0" collapsed="false">
      <c r="A515" s="0" t="n">
        <v>6680</v>
      </c>
    </row>
    <row r="516" customFormat="false" ht="12.8" hidden="false" customHeight="false" outlineLevel="0" collapsed="false">
      <c r="A516" s="0" t="n">
        <v>6690</v>
      </c>
    </row>
    <row r="517" customFormat="false" ht="12.8" hidden="false" customHeight="false" outlineLevel="0" collapsed="false">
      <c r="A517" s="0" t="n">
        <v>6700</v>
      </c>
    </row>
    <row r="518" customFormat="false" ht="12.8" hidden="false" customHeight="false" outlineLevel="0" collapsed="false">
      <c r="A518" s="0" t="n">
        <v>6710</v>
      </c>
    </row>
    <row r="519" customFormat="false" ht="12.8" hidden="false" customHeight="false" outlineLevel="0" collapsed="false">
      <c r="A519" s="0" t="n">
        <v>6720</v>
      </c>
    </row>
    <row r="520" customFormat="false" ht="12.8" hidden="false" customHeight="false" outlineLevel="0" collapsed="false">
      <c r="A520" s="0" t="n">
        <v>6730</v>
      </c>
    </row>
    <row r="521" customFormat="false" ht="12.8" hidden="false" customHeight="false" outlineLevel="0" collapsed="false">
      <c r="A521" s="0" t="n">
        <v>6740</v>
      </c>
    </row>
    <row r="522" customFormat="false" ht="12.8" hidden="false" customHeight="false" outlineLevel="0" collapsed="false">
      <c r="A522" s="0" t="n">
        <v>6750</v>
      </c>
    </row>
    <row r="523" customFormat="false" ht="12.8" hidden="false" customHeight="false" outlineLevel="0" collapsed="false">
      <c r="A523" s="0" t="n">
        <v>6760</v>
      </c>
    </row>
    <row r="524" customFormat="false" ht="12.8" hidden="false" customHeight="false" outlineLevel="0" collapsed="false">
      <c r="A524" s="0" t="n">
        <v>6770</v>
      </c>
    </row>
    <row r="525" customFormat="false" ht="12.8" hidden="false" customHeight="false" outlineLevel="0" collapsed="false">
      <c r="A525" s="0" t="n">
        <v>6780</v>
      </c>
    </row>
    <row r="526" customFormat="false" ht="12.8" hidden="false" customHeight="false" outlineLevel="0" collapsed="false">
      <c r="A526" s="0" t="n">
        <v>6790</v>
      </c>
    </row>
    <row r="527" customFormat="false" ht="12.8" hidden="false" customHeight="false" outlineLevel="0" collapsed="false">
      <c r="A527" s="0" t="n">
        <v>6800</v>
      </c>
    </row>
    <row r="528" customFormat="false" ht="12.8" hidden="false" customHeight="false" outlineLevel="0" collapsed="false">
      <c r="A528" s="0" t="n">
        <v>6810</v>
      </c>
    </row>
    <row r="529" customFormat="false" ht="12.8" hidden="false" customHeight="false" outlineLevel="0" collapsed="false">
      <c r="A529" s="0" t="n">
        <v>6820</v>
      </c>
    </row>
    <row r="530" customFormat="false" ht="12.8" hidden="false" customHeight="false" outlineLevel="0" collapsed="false">
      <c r="A530" s="0" t="n">
        <v>6830</v>
      </c>
    </row>
    <row r="531" customFormat="false" ht="12.8" hidden="false" customHeight="false" outlineLevel="0" collapsed="false">
      <c r="A531" s="0" t="n">
        <v>6840</v>
      </c>
    </row>
    <row r="532" customFormat="false" ht="12.8" hidden="false" customHeight="false" outlineLevel="0" collapsed="false">
      <c r="A532" s="0" t="n">
        <v>6850</v>
      </c>
    </row>
    <row r="533" customFormat="false" ht="12.8" hidden="false" customHeight="false" outlineLevel="0" collapsed="false">
      <c r="A533" s="0" t="n">
        <v>6860</v>
      </c>
    </row>
    <row r="534" customFormat="false" ht="12.8" hidden="false" customHeight="false" outlineLevel="0" collapsed="false">
      <c r="A534" s="0" t="n">
        <v>6870</v>
      </c>
    </row>
    <row r="535" customFormat="false" ht="12.8" hidden="false" customHeight="false" outlineLevel="0" collapsed="false">
      <c r="A535" s="0" t="n">
        <v>6880</v>
      </c>
    </row>
    <row r="536" customFormat="false" ht="12.8" hidden="false" customHeight="false" outlineLevel="0" collapsed="false">
      <c r="A536" s="0" t="n">
        <v>6890</v>
      </c>
    </row>
    <row r="537" customFormat="false" ht="12.8" hidden="false" customHeight="false" outlineLevel="0" collapsed="false">
      <c r="A537" s="0" t="n">
        <v>6900</v>
      </c>
    </row>
    <row r="538" customFormat="false" ht="12.8" hidden="false" customHeight="false" outlineLevel="0" collapsed="false">
      <c r="A538" s="0" t="n">
        <v>6910</v>
      </c>
    </row>
    <row r="539" customFormat="false" ht="12.8" hidden="false" customHeight="false" outlineLevel="0" collapsed="false">
      <c r="A539" s="0" t="n">
        <v>6920</v>
      </c>
    </row>
    <row r="540" customFormat="false" ht="12.8" hidden="false" customHeight="false" outlineLevel="0" collapsed="false">
      <c r="A540" s="0" t="n">
        <v>6930</v>
      </c>
    </row>
    <row r="541" customFormat="false" ht="12.8" hidden="false" customHeight="false" outlineLevel="0" collapsed="false">
      <c r="A541" s="0" t="n">
        <v>6940</v>
      </c>
    </row>
    <row r="542" customFormat="false" ht="12.8" hidden="false" customHeight="false" outlineLevel="0" collapsed="false">
      <c r="A542" s="0" t="n">
        <v>6950</v>
      </c>
    </row>
    <row r="543" customFormat="false" ht="12.8" hidden="false" customHeight="false" outlineLevel="0" collapsed="false">
      <c r="A543" s="0" t="n">
        <v>6960</v>
      </c>
    </row>
    <row r="544" customFormat="false" ht="12.8" hidden="false" customHeight="false" outlineLevel="0" collapsed="false">
      <c r="A544" s="0" t="n">
        <v>6970</v>
      </c>
    </row>
    <row r="545" customFormat="false" ht="12.8" hidden="false" customHeight="false" outlineLevel="0" collapsed="false">
      <c r="A545" s="0" t="n">
        <v>6980</v>
      </c>
    </row>
    <row r="546" customFormat="false" ht="12.8" hidden="false" customHeight="false" outlineLevel="0" collapsed="false">
      <c r="A546" s="0" t="n">
        <v>6990</v>
      </c>
    </row>
    <row r="547" customFormat="false" ht="12.8" hidden="false" customHeight="false" outlineLevel="0" collapsed="false">
      <c r="A547" s="0" t="n">
        <v>7000</v>
      </c>
    </row>
    <row r="548" customFormat="false" ht="12.8" hidden="false" customHeight="false" outlineLevel="0" collapsed="false">
      <c r="A548" s="0" t="n">
        <v>7010</v>
      </c>
    </row>
    <row r="549" customFormat="false" ht="12.8" hidden="false" customHeight="false" outlineLevel="0" collapsed="false">
      <c r="A549" s="0" t="n">
        <v>7020</v>
      </c>
    </row>
    <row r="550" customFormat="false" ht="12.8" hidden="false" customHeight="false" outlineLevel="0" collapsed="false">
      <c r="A550" s="0" t="n">
        <v>7030</v>
      </c>
    </row>
    <row r="551" customFormat="false" ht="12.8" hidden="false" customHeight="false" outlineLevel="0" collapsed="false">
      <c r="A551" s="0" t="n">
        <v>7040</v>
      </c>
    </row>
    <row r="552" customFormat="false" ht="12.8" hidden="false" customHeight="false" outlineLevel="0" collapsed="false">
      <c r="A552" s="0" t="n">
        <v>7050</v>
      </c>
    </row>
    <row r="553" customFormat="false" ht="12.8" hidden="false" customHeight="false" outlineLevel="0" collapsed="false">
      <c r="A553" s="0" t="n">
        <v>7060</v>
      </c>
    </row>
    <row r="554" customFormat="false" ht="12.8" hidden="false" customHeight="false" outlineLevel="0" collapsed="false">
      <c r="A554" s="0" t="n">
        <v>7070</v>
      </c>
    </row>
    <row r="555" customFormat="false" ht="12.8" hidden="false" customHeight="false" outlineLevel="0" collapsed="false">
      <c r="A555" s="0" t="n">
        <v>7080</v>
      </c>
    </row>
    <row r="556" customFormat="false" ht="12.8" hidden="false" customHeight="false" outlineLevel="0" collapsed="false">
      <c r="A556" s="0" t="n">
        <v>7090</v>
      </c>
    </row>
    <row r="557" customFormat="false" ht="12.8" hidden="false" customHeight="false" outlineLevel="0" collapsed="false">
      <c r="A557" s="0" t="n">
        <v>7100</v>
      </c>
    </row>
    <row r="558" customFormat="false" ht="12.8" hidden="false" customHeight="false" outlineLevel="0" collapsed="false">
      <c r="A558" s="0" t="n">
        <v>7110</v>
      </c>
    </row>
    <row r="559" customFormat="false" ht="12.8" hidden="false" customHeight="false" outlineLevel="0" collapsed="false">
      <c r="A559" s="0" t="n">
        <v>7120</v>
      </c>
    </row>
    <row r="560" customFormat="false" ht="12.8" hidden="false" customHeight="false" outlineLevel="0" collapsed="false">
      <c r="A560" s="0" t="n">
        <v>7130</v>
      </c>
    </row>
    <row r="561" customFormat="false" ht="12.8" hidden="false" customHeight="false" outlineLevel="0" collapsed="false">
      <c r="A561" s="0" t="n">
        <v>7140</v>
      </c>
    </row>
    <row r="562" customFormat="false" ht="12.8" hidden="false" customHeight="false" outlineLevel="0" collapsed="false">
      <c r="A562" s="0" t="n">
        <v>7150</v>
      </c>
    </row>
    <row r="563" customFormat="false" ht="12.8" hidden="false" customHeight="false" outlineLevel="0" collapsed="false">
      <c r="A563" s="0" t="n">
        <v>7160</v>
      </c>
    </row>
    <row r="564" customFormat="false" ht="12.8" hidden="false" customHeight="false" outlineLevel="0" collapsed="false">
      <c r="A564" s="0" t="n">
        <v>7170</v>
      </c>
    </row>
    <row r="565" customFormat="false" ht="12.8" hidden="false" customHeight="false" outlineLevel="0" collapsed="false">
      <c r="A565" s="0" t="n">
        <v>7180</v>
      </c>
    </row>
    <row r="566" customFormat="false" ht="12.8" hidden="false" customHeight="false" outlineLevel="0" collapsed="false">
      <c r="A566" s="0" t="n">
        <v>7190</v>
      </c>
    </row>
    <row r="567" customFormat="false" ht="12.8" hidden="false" customHeight="false" outlineLevel="0" collapsed="false">
      <c r="A567" s="0" t="n">
        <v>7200</v>
      </c>
    </row>
    <row r="568" customFormat="false" ht="12.8" hidden="false" customHeight="false" outlineLevel="0" collapsed="false">
      <c r="A568" s="0" t="n">
        <v>7210</v>
      </c>
    </row>
    <row r="569" customFormat="false" ht="12.8" hidden="false" customHeight="false" outlineLevel="0" collapsed="false">
      <c r="A569" s="0" t="n">
        <v>7220</v>
      </c>
    </row>
    <row r="570" customFormat="false" ht="12.8" hidden="false" customHeight="false" outlineLevel="0" collapsed="false">
      <c r="A570" s="0" t="n">
        <v>7230</v>
      </c>
    </row>
    <row r="571" customFormat="false" ht="12.8" hidden="false" customHeight="false" outlineLevel="0" collapsed="false">
      <c r="A571" s="0" t="n">
        <v>7240</v>
      </c>
    </row>
    <row r="572" customFormat="false" ht="12.8" hidden="false" customHeight="false" outlineLevel="0" collapsed="false">
      <c r="A572" s="0" t="n">
        <v>7250</v>
      </c>
    </row>
    <row r="573" customFormat="false" ht="12.8" hidden="false" customHeight="false" outlineLevel="0" collapsed="false">
      <c r="A573" s="0" t="n">
        <v>7260</v>
      </c>
    </row>
    <row r="574" customFormat="false" ht="12.8" hidden="false" customHeight="false" outlineLevel="0" collapsed="false">
      <c r="A574" s="0" t="n">
        <v>7270</v>
      </c>
    </row>
    <row r="575" customFormat="false" ht="12.8" hidden="false" customHeight="false" outlineLevel="0" collapsed="false">
      <c r="A575" s="0" t="n">
        <v>7280</v>
      </c>
    </row>
    <row r="576" customFormat="false" ht="12.8" hidden="false" customHeight="false" outlineLevel="0" collapsed="false">
      <c r="A576" s="0" t="n">
        <v>7290</v>
      </c>
    </row>
    <row r="577" customFormat="false" ht="12.8" hidden="false" customHeight="false" outlineLevel="0" collapsed="false">
      <c r="A577" s="0" t="n">
        <v>7300</v>
      </c>
    </row>
    <row r="578" customFormat="false" ht="12.8" hidden="false" customHeight="false" outlineLevel="0" collapsed="false">
      <c r="A578" s="0" t="n">
        <v>7310</v>
      </c>
    </row>
    <row r="579" customFormat="false" ht="12.8" hidden="false" customHeight="false" outlineLevel="0" collapsed="false">
      <c r="A579" s="0" t="n">
        <v>7320</v>
      </c>
    </row>
    <row r="580" customFormat="false" ht="12.8" hidden="false" customHeight="false" outlineLevel="0" collapsed="false">
      <c r="A580" s="0" t="n">
        <v>7330</v>
      </c>
    </row>
    <row r="581" customFormat="false" ht="12.8" hidden="false" customHeight="false" outlineLevel="0" collapsed="false">
      <c r="A581" s="0" t="n">
        <v>7340</v>
      </c>
    </row>
    <row r="582" customFormat="false" ht="12.8" hidden="false" customHeight="false" outlineLevel="0" collapsed="false">
      <c r="A582" s="0" t="n">
        <v>7350</v>
      </c>
    </row>
    <row r="583" customFormat="false" ht="12.8" hidden="false" customHeight="false" outlineLevel="0" collapsed="false">
      <c r="A583" s="0" t="n">
        <v>7360</v>
      </c>
    </row>
    <row r="584" customFormat="false" ht="12.8" hidden="false" customHeight="false" outlineLevel="0" collapsed="false">
      <c r="A584" s="0" t="n">
        <v>7370</v>
      </c>
    </row>
    <row r="585" customFormat="false" ht="12.8" hidden="false" customHeight="false" outlineLevel="0" collapsed="false">
      <c r="A585" s="0" t="n">
        <v>7380</v>
      </c>
    </row>
    <row r="586" customFormat="false" ht="12.8" hidden="false" customHeight="false" outlineLevel="0" collapsed="false">
      <c r="A586" s="0" t="n">
        <v>7390</v>
      </c>
    </row>
    <row r="587" customFormat="false" ht="12.8" hidden="false" customHeight="false" outlineLevel="0" collapsed="false">
      <c r="A587" s="0" t="n">
        <v>7400</v>
      </c>
    </row>
    <row r="588" customFormat="false" ht="12.8" hidden="false" customHeight="false" outlineLevel="0" collapsed="false">
      <c r="A588" s="0" t="n">
        <v>7410</v>
      </c>
    </row>
    <row r="589" customFormat="false" ht="12.8" hidden="false" customHeight="false" outlineLevel="0" collapsed="false">
      <c r="A589" s="0" t="n">
        <v>7420</v>
      </c>
    </row>
    <row r="590" customFormat="false" ht="12.8" hidden="false" customHeight="false" outlineLevel="0" collapsed="false">
      <c r="A590" s="0" t="n">
        <v>7430</v>
      </c>
    </row>
    <row r="591" customFormat="false" ht="12.8" hidden="false" customHeight="false" outlineLevel="0" collapsed="false">
      <c r="A591" s="0" t="n">
        <v>7440</v>
      </c>
    </row>
    <row r="592" customFormat="false" ht="12.8" hidden="false" customHeight="false" outlineLevel="0" collapsed="false">
      <c r="A592" s="0" t="n">
        <v>7450</v>
      </c>
    </row>
    <row r="593" customFormat="false" ht="12.8" hidden="false" customHeight="false" outlineLevel="0" collapsed="false">
      <c r="A593" s="0" t="n">
        <v>7460</v>
      </c>
    </row>
    <row r="594" customFormat="false" ht="12.8" hidden="false" customHeight="false" outlineLevel="0" collapsed="false">
      <c r="A594" s="0" t="n">
        <v>7470</v>
      </c>
    </row>
    <row r="595" customFormat="false" ht="12.8" hidden="false" customHeight="false" outlineLevel="0" collapsed="false">
      <c r="A595" s="0" t="n">
        <v>7480</v>
      </c>
    </row>
    <row r="596" customFormat="false" ht="12.8" hidden="false" customHeight="false" outlineLevel="0" collapsed="false">
      <c r="A596" s="0" t="n">
        <v>7490</v>
      </c>
    </row>
    <row r="597" customFormat="false" ht="12.8" hidden="false" customHeight="false" outlineLevel="0" collapsed="false">
      <c r="A597" s="0" t="n">
        <v>7500</v>
      </c>
    </row>
    <row r="598" customFormat="false" ht="12.8" hidden="false" customHeight="false" outlineLevel="0" collapsed="false">
      <c r="A598" s="0" t="n">
        <v>7510</v>
      </c>
    </row>
    <row r="599" customFormat="false" ht="12.8" hidden="false" customHeight="false" outlineLevel="0" collapsed="false">
      <c r="A599" s="0" t="n">
        <v>7520</v>
      </c>
    </row>
    <row r="600" customFormat="false" ht="12.8" hidden="false" customHeight="false" outlineLevel="0" collapsed="false">
      <c r="A600" s="0" t="n">
        <v>7530</v>
      </c>
    </row>
    <row r="601" customFormat="false" ht="12.8" hidden="false" customHeight="false" outlineLevel="0" collapsed="false">
      <c r="A601" s="0" t="n">
        <v>7540</v>
      </c>
    </row>
    <row r="602" customFormat="false" ht="12.8" hidden="false" customHeight="false" outlineLevel="0" collapsed="false">
      <c r="A602" s="0" t="n">
        <v>7550</v>
      </c>
    </row>
    <row r="603" customFormat="false" ht="12.8" hidden="false" customHeight="false" outlineLevel="0" collapsed="false">
      <c r="A603" s="0" t="n">
        <v>7560</v>
      </c>
    </row>
    <row r="604" customFormat="false" ht="12.8" hidden="false" customHeight="false" outlineLevel="0" collapsed="false">
      <c r="A604" s="0" t="n">
        <v>7570</v>
      </c>
    </row>
    <row r="605" customFormat="false" ht="12.8" hidden="false" customHeight="false" outlineLevel="0" collapsed="false">
      <c r="A605" s="0" t="n">
        <v>7580</v>
      </c>
    </row>
    <row r="606" customFormat="false" ht="12.8" hidden="false" customHeight="false" outlineLevel="0" collapsed="false">
      <c r="A606" s="0" t="n">
        <v>7590</v>
      </c>
    </row>
    <row r="607" customFormat="false" ht="12.8" hidden="false" customHeight="false" outlineLevel="0" collapsed="false">
      <c r="A607" s="0" t="n">
        <v>7600</v>
      </c>
    </row>
    <row r="608" customFormat="false" ht="12.8" hidden="false" customHeight="false" outlineLevel="0" collapsed="false">
      <c r="A608" s="0" t="n">
        <v>7610</v>
      </c>
    </row>
    <row r="609" customFormat="false" ht="12.8" hidden="false" customHeight="false" outlineLevel="0" collapsed="false">
      <c r="A609" s="0" t="n">
        <v>7620</v>
      </c>
    </row>
    <row r="610" customFormat="false" ht="12.8" hidden="false" customHeight="false" outlineLevel="0" collapsed="false">
      <c r="A610" s="0" t="n">
        <v>7630</v>
      </c>
    </row>
    <row r="611" customFormat="false" ht="12.8" hidden="false" customHeight="false" outlineLevel="0" collapsed="false">
      <c r="A611" s="0" t="n">
        <v>7640</v>
      </c>
    </row>
    <row r="612" customFormat="false" ht="12.8" hidden="false" customHeight="false" outlineLevel="0" collapsed="false">
      <c r="A612" s="0" t="n">
        <v>7650</v>
      </c>
    </row>
    <row r="613" customFormat="false" ht="12.8" hidden="false" customHeight="false" outlineLevel="0" collapsed="false">
      <c r="A613" s="0" t="n">
        <v>7660</v>
      </c>
    </row>
    <row r="614" customFormat="false" ht="12.8" hidden="false" customHeight="false" outlineLevel="0" collapsed="false">
      <c r="A614" s="0" t="n">
        <v>7670</v>
      </c>
    </row>
    <row r="615" customFormat="false" ht="12.8" hidden="false" customHeight="false" outlineLevel="0" collapsed="false">
      <c r="A615" s="0" t="n">
        <v>7680</v>
      </c>
    </row>
    <row r="616" customFormat="false" ht="12.8" hidden="false" customHeight="false" outlineLevel="0" collapsed="false">
      <c r="A616" s="0" t="n">
        <v>7690</v>
      </c>
    </row>
    <row r="617" customFormat="false" ht="12.8" hidden="false" customHeight="false" outlineLevel="0" collapsed="false">
      <c r="A617" s="0" t="n">
        <v>7700</v>
      </c>
    </row>
    <row r="618" customFormat="false" ht="12.8" hidden="false" customHeight="false" outlineLevel="0" collapsed="false">
      <c r="A618" s="0" t="n">
        <v>7710</v>
      </c>
    </row>
    <row r="619" customFormat="false" ht="12.8" hidden="false" customHeight="false" outlineLevel="0" collapsed="false">
      <c r="A619" s="0" t="n">
        <v>7720</v>
      </c>
    </row>
    <row r="620" customFormat="false" ht="12.8" hidden="false" customHeight="false" outlineLevel="0" collapsed="false">
      <c r="A620" s="0" t="n">
        <v>7730</v>
      </c>
    </row>
    <row r="621" customFormat="false" ht="12.8" hidden="false" customHeight="false" outlineLevel="0" collapsed="false">
      <c r="A621" s="0" t="n">
        <v>7740</v>
      </c>
    </row>
    <row r="622" customFormat="false" ht="12.8" hidden="false" customHeight="false" outlineLevel="0" collapsed="false">
      <c r="A622" s="0" t="n">
        <v>7750</v>
      </c>
    </row>
    <row r="623" customFormat="false" ht="12.8" hidden="false" customHeight="false" outlineLevel="0" collapsed="false">
      <c r="A623" s="0" t="n">
        <v>7760</v>
      </c>
    </row>
    <row r="624" customFormat="false" ht="12.8" hidden="false" customHeight="false" outlineLevel="0" collapsed="false">
      <c r="A624" s="0" t="n">
        <v>7770</v>
      </c>
    </row>
    <row r="625" customFormat="false" ht="12.8" hidden="false" customHeight="false" outlineLevel="0" collapsed="false">
      <c r="A625" s="0" t="n">
        <v>7780</v>
      </c>
    </row>
    <row r="626" customFormat="false" ht="12.8" hidden="false" customHeight="false" outlineLevel="0" collapsed="false">
      <c r="A626" s="0" t="n">
        <v>7790</v>
      </c>
    </row>
    <row r="627" customFormat="false" ht="12.8" hidden="false" customHeight="false" outlineLevel="0" collapsed="false">
      <c r="A627" s="0" t="n">
        <v>7800</v>
      </c>
    </row>
    <row r="628" customFormat="false" ht="12.8" hidden="false" customHeight="false" outlineLevel="0" collapsed="false">
      <c r="A628" s="0" t="n">
        <v>7810</v>
      </c>
    </row>
    <row r="629" customFormat="false" ht="12.8" hidden="false" customHeight="false" outlineLevel="0" collapsed="false">
      <c r="A629" s="0" t="n">
        <v>7820</v>
      </c>
    </row>
    <row r="630" customFormat="false" ht="12.8" hidden="false" customHeight="false" outlineLevel="0" collapsed="false">
      <c r="A630" s="0" t="n">
        <v>7830</v>
      </c>
    </row>
    <row r="631" customFormat="false" ht="12.8" hidden="false" customHeight="false" outlineLevel="0" collapsed="false">
      <c r="A631" s="0" t="n">
        <v>7840</v>
      </c>
    </row>
    <row r="632" customFormat="false" ht="12.8" hidden="false" customHeight="false" outlineLevel="0" collapsed="false">
      <c r="A632" s="0" t="n">
        <v>7850</v>
      </c>
    </row>
    <row r="633" customFormat="false" ht="12.8" hidden="false" customHeight="false" outlineLevel="0" collapsed="false">
      <c r="A633" s="0" t="n">
        <v>7860</v>
      </c>
    </row>
    <row r="634" customFormat="false" ht="12.8" hidden="false" customHeight="false" outlineLevel="0" collapsed="false">
      <c r="A634" s="0" t="n">
        <v>7870</v>
      </c>
    </row>
    <row r="635" customFormat="false" ht="12.8" hidden="false" customHeight="false" outlineLevel="0" collapsed="false">
      <c r="A635" s="0" t="n">
        <v>7880</v>
      </c>
    </row>
    <row r="636" customFormat="false" ht="12.8" hidden="false" customHeight="false" outlineLevel="0" collapsed="false">
      <c r="A636" s="0" t="n">
        <v>7890</v>
      </c>
    </row>
    <row r="637" customFormat="false" ht="12.8" hidden="false" customHeight="false" outlineLevel="0" collapsed="false">
      <c r="A637" s="0" t="n">
        <v>7900</v>
      </c>
    </row>
    <row r="638" customFormat="false" ht="12.8" hidden="false" customHeight="false" outlineLevel="0" collapsed="false">
      <c r="A638" s="0" t="n">
        <v>7910</v>
      </c>
    </row>
    <row r="639" customFormat="false" ht="12.8" hidden="false" customHeight="false" outlineLevel="0" collapsed="false">
      <c r="A639" s="0" t="n">
        <v>7920</v>
      </c>
    </row>
    <row r="640" customFormat="false" ht="12.8" hidden="false" customHeight="false" outlineLevel="0" collapsed="false">
      <c r="A640" s="0" t="n">
        <v>7930</v>
      </c>
    </row>
    <row r="641" customFormat="false" ht="12.8" hidden="false" customHeight="false" outlineLevel="0" collapsed="false">
      <c r="A641" s="0" t="n">
        <v>7940</v>
      </c>
    </row>
    <row r="642" customFormat="false" ht="12.8" hidden="false" customHeight="false" outlineLevel="0" collapsed="false">
      <c r="A642" s="0" t="n">
        <v>7950</v>
      </c>
    </row>
    <row r="643" customFormat="false" ht="12.8" hidden="false" customHeight="false" outlineLevel="0" collapsed="false">
      <c r="A643" s="0" t="n">
        <v>7960</v>
      </c>
    </row>
    <row r="644" customFormat="false" ht="12.8" hidden="false" customHeight="false" outlineLevel="0" collapsed="false">
      <c r="A644" s="0" t="n">
        <v>7970</v>
      </c>
    </row>
    <row r="645" customFormat="false" ht="12.8" hidden="false" customHeight="false" outlineLevel="0" collapsed="false">
      <c r="A645" s="0" t="n">
        <v>7980</v>
      </c>
    </row>
    <row r="646" customFormat="false" ht="12.8" hidden="false" customHeight="false" outlineLevel="0" collapsed="false">
      <c r="A646" s="0" t="n">
        <v>7990</v>
      </c>
    </row>
    <row r="647" customFormat="false" ht="12.8" hidden="false" customHeight="false" outlineLevel="0" collapsed="false">
      <c r="A647" s="0" t="n">
        <v>8000</v>
      </c>
    </row>
    <row r="648" customFormat="false" ht="12.8" hidden="false" customHeight="false" outlineLevel="0" collapsed="false">
      <c r="A648" s="0" t="n">
        <v>9000</v>
      </c>
    </row>
    <row r="649" customFormat="false" ht="12.8" hidden="false" customHeight="false" outlineLevel="0" collapsed="false">
      <c r="A649" s="0" t="n">
        <v>10000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2"/>
  <sheetViews>
    <sheetView showFormulas="false" showGridLines="true" showRowColHeaders="true" showZeros="true" rightToLeft="false" tabSelected="true" showOutlineSymbols="true" defaultGridColor="true" view="normal" topLeftCell="AB610" colorId="64" zoomScale="100" zoomScaleNormal="100" zoomScalePageLayoutView="100" workbookViewId="0">
      <selection pane="topLeft" activeCell="AQ631" activeCellId="0" sqref="AQ631"/>
    </sheetView>
  </sheetViews>
  <sheetFormatPr defaultRowHeight="13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250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n">
        <v>0.1</v>
      </c>
      <c r="B3" s="0" t="n">
        <f aca="false">W_PH(B$2,$A3)</f>
        <v>2015</v>
      </c>
      <c r="C3" s="0" t="n">
        <f aca="false">W_PH(C$2,$A3)</f>
        <v>1402.34342637035</v>
      </c>
      <c r="D3" s="0" t="n">
        <f aca="false">W_PH(D$2,$A3)</f>
        <v>1402.34346198178</v>
      </c>
      <c r="E3" s="0" t="n">
        <f aca="false">W_PH(E$2,$A3)</f>
        <v>1402.34349759319</v>
      </c>
      <c r="F3" s="0" t="n">
        <f aca="false">W_PH(F$2,$A3)</f>
        <v>1402.34353320457</v>
      </c>
      <c r="G3" s="0" t="n">
        <f aca="false">W_PH(G$2,$A3)</f>
        <v>1402.34388931714</v>
      </c>
      <c r="H3" s="0" t="n">
        <f aca="false">W_PH(H$2,$A3)</f>
        <v>1402.34424542742</v>
      </c>
      <c r="I3" s="0" t="n">
        <f aca="false">W_PH(I$2,$A3)</f>
        <v>1402.34460153541</v>
      </c>
      <c r="J3" s="0" t="n">
        <f aca="false">W_PH(J$2,$A3)</f>
        <v>1402.3449576411</v>
      </c>
      <c r="K3" s="0" t="n">
        <f aca="false">W_PH(K$2,$A3)</f>
        <v>1402.3453137445</v>
      </c>
      <c r="L3" s="0" t="n">
        <f aca="false">W_PH(L$2,$A3)</f>
        <v>1402.34566984561</v>
      </c>
      <c r="M3" s="0" t="n">
        <f aca="false">W_PH(M$2,$A3)</f>
        <v>1402.34602594442</v>
      </c>
      <c r="N3" s="0" t="n">
        <f aca="false">W_PH(N$2,$A3)</f>
        <v>1402.34638204094</v>
      </c>
      <c r="O3" s="0" t="n">
        <f aca="false">W_PH(O$2,$A3)</f>
        <v>1402.34673813517</v>
      </c>
      <c r="P3" s="0" t="n">
        <f aca="false">W_PH(P$2,$A3)</f>
        <v>1402.35029895138</v>
      </c>
      <c r="Q3" s="0" t="n">
        <f aca="false">W_PH(Q$2,$A3)</f>
        <v>1402.35385953836</v>
      </c>
      <c r="R3" s="0" t="n">
        <f aca="false">W_PH(R$2,$A3)</f>
        <v>1402.35741989614</v>
      </c>
      <c r="S3" s="0" t="n">
        <f aca="false">W_PH(S$2,$A3)</f>
        <v>1402.36098002476</v>
      </c>
      <c r="T3" s="0" t="n">
        <f aca="false">W_PH(T$2,$A3)</f>
        <v>1402.36453992423</v>
      </c>
      <c r="U3" s="0" t="n">
        <f aca="false">W_PH(U$2,$A3)</f>
        <v>1402.36809959459</v>
      </c>
      <c r="V3" s="0" t="n">
        <f aca="false">W_PH(V$2,$A3)</f>
        <v>1402.37165903587</v>
      </c>
      <c r="W3" s="0" t="n">
        <f aca="false">W_PH(W$2,$A3)</f>
        <v>1402.3752182481</v>
      </c>
      <c r="X3" s="0" t="n">
        <f aca="false">W_PH(X$2,$A3)</f>
        <v>1402.37877723129</v>
      </c>
      <c r="Y3" s="0" t="n">
        <f aca="false">W_PH(Y$2,$A3)</f>
        <v>2015</v>
      </c>
      <c r="Z3" s="0" t="n">
        <f aca="false">W_PH(Z$2,$A3)</f>
        <v>2015</v>
      </c>
      <c r="AA3" s="0" t="n">
        <f aca="false">W_PH(AA$2,$A3)</f>
        <v>2015</v>
      </c>
      <c r="AB3" s="0" t="n">
        <f aca="false">W_PH(AB$2,$A3)</f>
        <v>2015</v>
      </c>
      <c r="AC3" s="0" t="n">
        <f aca="false">W_PH(AC$2,$A3)</f>
        <v>2015</v>
      </c>
      <c r="AD3" s="0" t="n">
        <f aca="false">W_PH(AD$2,$A3)</f>
        <v>2015</v>
      </c>
      <c r="AE3" s="0" t="n">
        <f aca="false">W_PH(AE$2,$A3)</f>
        <v>2015</v>
      </c>
      <c r="AF3" s="0" t="n">
        <f aca="false">W_PH(AF$2,$A3)</f>
        <v>2015</v>
      </c>
      <c r="AG3" s="0" t="n">
        <f aca="false">W_PH(AG$2,$A3)</f>
        <v>2015</v>
      </c>
      <c r="AH3" s="0" t="n">
        <f aca="false">W_PH(AH$2,$A3)</f>
        <v>2015</v>
      </c>
      <c r="AI3" s="0" t="n">
        <f aca="false">W_PH(AI$2,$A3)</f>
        <v>2015</v>
      </c>
      <c r="AJ3" s="0" t="n">
        <f aca="false">W_PH(AJ$2,$A3)</f>
        <v>2015</v>
      </c>
      <c r="AK3" s="0" t="n">
        <f aca="false">W_PH(AK$2,$A3)</f>
        <v>2015</v>
      </c>
      <c r="AL3" s="0" t="n">
        <f aca="false">W_PH(AL$2,$A3)</f>
        <v>2015</v>
      </c>
      <c r="AM3" s="0" t="n">
        <f aca="false">W_PH(AM$2,$A3)</f>
        <v>2015</v>
      </c>
      <c r="AN3" s="0" t="n">
        <f aca="false">W_PH(AN$2,$A3)</f>
        <v>2015</v>
      </c>
      <c r="AO3" s="0" t="n">
        <f aca="false">W_PH(AO$2,$A3)</f>
        <v>2015</v>
      </c>
      <c r="AP3" s="0" t="n">
        <f aca="false">W_PH(AP$2,$A3)</f>
        <v>2015</v>
      </c>
      <c r="AQ3" s="0" t="n">
        <f aca="false">W_PH(AQ$2,$A3)</f>
        <v>2015</v>
      </c>
      <c r="AR3" s="0" t="n">
        <f aca="false">W_PH(AR$2,$A3)</f>
        <v>2015</v>
      </c>
      <c r="AS3" s="0" t="n">
        <f aca="false">W_PH(AS$2,$A3)</f>
        <v>2015</v>
      </c>
    </row>
    <row r="4" customFormat="false" ht="13.8" hidden="false" customHeight="false" outlineLevel="0" collapsed="false">
      <c r="A4" s="0" t="n">
        <v>0.2</v>
      </c>
      <c r="B4" s="0" t="n">
        <f aca="false">W_PH(B$2,$A4)</f>
        <v>2015</v>
      </c>
      <c r="C4" s="0" t="n">
        <f aca="false">W_PH(C$2,$A4)</f>
        <v>1402.46238135764</v>
      </c>
      <c r="D4" s="0" t="n">
        <f aca="false">W_PH(D$2,$A4)</f>
        <v>1402.46241704182</v>
      </c>
      <c r="E4" s="0" t="n">
        <f aca="false">W_PH(E$2,$A4)</f>
        <v>1402.46245272597</v>
      </c>
      <c r="F4" s="0" t="n">
        <f aca="false">W_PH(F$2,$A4)</f>
        <v>1402.4624884101</v>
      </c>
      <c r="G4" s="0" t="n">
        <f aca="false">W_PH(G$2,$A4)</f>
        <v>1402.46284525015</v>
      </c>
      <c r="H4" s="0" t="n">
        <f aca="false">W_PH(H$2,$A4)</f>
        <v>1402.46320208791</v>
      </c>
      <c r="I4" s="0" t="n">
        <f aca="false">W_PH(I$2,$A4)</f>
        <v>1402.46355892338</v>
      </c>
      <c r="J4" s="0" t="n">
        <f aca="false">W_PH(J$2,$A4)</f>
        <v>1402.46391575656</v>
      </c>
      <c r="K4" s="0" t="n">
        <f aca="false">W_PH(K$2,$A4)</f>
        <v>1402.46427258745</v>
      </c>
      <c r="L4" s="0" t="n">
        <f aca="false">W_PH(L$2,$A4)</f>
        <v>1402.46462941604</v>
      </c>
      <c r="M4" s="0" t="n">
        <f aca="false">W_PH(M$2,$A4)</f>
        <v>1402.46498624234</v>
      </c>
      <c r="N4" s="0" t="n">
        <f aca="false">W_PH(N$2,$A4)</f>
        <v>1402.46534306636</v>
      </c>
      <c r="O4" s="0" t="n">
        <f aca="false">W_PH(O$2,$A4)</f>
        <v>1402.46569988808</v>
      </c>
      <c r="P4" s="0" t="n">
        <f aca="false">W_PH(P$2,$A4)</f>
        <v>1402.4692679793</v>
      </c>
      <c r="Q4" s="0" t="n">
        <f aca="false">W_PH(Q$2,$A4)</f>
        <v>1402.47283584145</v>
      </c>
      <c r="R4" s="0" t="n">
        <f aca="false">W_PH(R$2,$A4)</f>
        <v>1402.47640347455</v>
      </c>
      <c r="S4" s="0" t="n">
        <f aca="false">W_PH(S$2,$A4)</f>
        <v>1402.47997087865</v>
      </c>
      <c r="T4" s="0" t="n">
        <f aca="false">W_PH(T$2,$A4)</f>
        <v>1402.48353805376</v>
      </c>
      <c r="U4" s="0" t="n">
        <f aca="false">W_PH(U$2,$A4)</f>
        <v>1402.48710499992</v>
      </c>
      <c r="V4" s="0" t="n">
        <f aca="false">W_PH(V$2,$A4)</f>
        <v>1402.49067171715</v>
      </c>
      <c r="W4" s="0" t="n">
        <f aca="false">W_PH(W$2,$A4)</f>
        <v>1402.49423820548</v>
      </c>
      <c r="X4" s="0" t="n">
        <f aca="false">W_PH(X$2,$A4)</f>
        <v>1402.49780446494</v>
      </c>
      <c r="Y4" s="0" t="n">
        <f aca="false">W_PH(Y$2,$A4)</f>
        <v>1402.53345447814</v>
      </c>
      <c r="Z4" s="0" t="n">
        <f aca="false">W_PH(Z$2,$A4)</f>
        <v>2015</v>
      </c>
      <c r="AA4" s="0" t="n">
        <f aca="false">W_PH(AA$2,$A4)</f>
        <v>2015</v>
      </c>
      <c r="AB4" s="0" t="n">
        <f aca="false">W_PH(AB$2,$A4)</f>
        <v>2015</v>
      </c>
      <c r="AC4" s="0" t="n">
        <f aca="false">W_PH(AC$2,$A4)</f>
        <v>2015</v>
      </c>
      <c r="AD4" s="0" t="n">
        <f aca="false">W_PH(AD$2,$A4)</f>
        <v>2015</v>
      </c>
      <c r="AE4" s="0" t="n">
        <f aca="false">W_PH(AE$2,$A4)</f>
        <v>2015</v>
      </c>
      <c r="AF4" s="0" t="n">
        <f aca="false">W_PH(AF$2,$A4)</f>
        <v>2015</v>
      </c>
      <c r="AG4" s="0" t="n">
        <f aca="false">W_PH(AG$2,$A4)</f>
        <v>2015</v>
      </c>
      <c r="AH4" s="0" t="n">
        <f aca="false">W_PH(AH$2,$A4)</f>
        <v>2015</v>
      </c>
      <c r="AI4" s="0" t="n">
        <f aca="false">W_PH(AI$2,$A4)</f>
        <v>2015</v>
      </c>
      <c r="AJ4" s="0" t="n">
        <f aca="false">W_PH(AJ$2,$A4)</f>
        <v>2015</v>
      </c>
      <c r="AK4" s="0" t="n">
        <f aca="false">W_PH(AK$2,$A4)</f>
        <v>2015</v>
      </c>
      <c r="AL4" s="0" t="n">
        <f aca="false">W_PH(AL$2,$A4)</f>
        <v>2015</v>
      </c>
      <c r="AM4" s="0" t="n">
        <f aca="false">W_PH(AM$2,$A4)</f>
        <v>2015</v>
      </c>
      <c r="AN4" s="0" t="n">
        <f aca="false">W_PH(AN$2,$A4)</f>
        <v>2015</v>
      </c>
      <c r="AO4" s="0" t="n">
        <f aca="false">W_PH(AO$2,$A4)</f>
        <v>2015</v>
      </c>
      <c r="AP4" s="0" t="n">
        <f aca="false">W_PH(AP$2,$A4)</f>
        <v>2015</v>
      </c>
      <c r="AQ4" s="0" t="n">
        <f aca="false">W_PH(AQ$2,$A4)</f>
        <v>2015</v>
      </c>
      <c r="AR4" s="0" t="n">
        <f aca="false">W_PH(AR$2,$A4)</f>
        <v>2015</v>
      </c>
      <c r="AS4" s="0" t="n">
        <f aca="false">W_PH(AS$2,$A4)</f>
        <v>2015</v>
      </c>
    </row>
    <row r="5" customFormat="false" ht="13.8" hidden="false" customHeight="false" outlineLevel="0" collapsed="false">
      <c r="A5" s="0" t="n">
        <v>0.3</v>
      </c>
      <c r="B5" s="0" t="n">
        <f aca="false">W_PH(B$2,$A5)</f>
        <v>2015</v>
      </c>
      <c r="C5" s="0" t="n">
        <f aca="false">W_PH(C$2,$A5)</f>
        <v>1402.58128245971</v>
      </c>
      <c r="D5" s="0" t="n">
        <f aca="false">W_PH(D$2,$A5)</f>
        <v>1402.5813182166</v>
      </c>
      <c r="E5" s="0" t="n">
        <f aca="false">W_PH(E$2,$A5)</f>
        <v>1402.58135397346</v>
      </c>
      <c r="F5" s="0" t="n">
        <f aca="false">W_PH(F$2,$A5)</f>
        <v>1402.58138973031</v>
      </c>
      <c r="G5" s="0" t="n">
        <f aca="false">W_PH(G$2,$A5)</f>
        <v>1402.5817472975</v>
      </c>
      <c r="H5" s="0" t="n">
        <f aca="false">W_PH(H$2,$A5)</f>
        <v>1402.5821048624</v>
      </c>
      <c r="I5" s="0" t="n">
        <f aca="false">W_PH(I$2,$A5)</f>
        <v>1402.58246242502</v>
      </c>
      <c r="J5" s="0" t="n">
        <f aca="false">W_PH(J$2,$A5)</f>
        <v>1402.58281998534</v>
      </c>
      <c r="K5" s="0" t="n">
        <f aca="false">W_PH(K$2,$A5)</f>
        <v>1402.58317754337</v>
      </c>
      <c r="L5" s="0" t="n">
        <f aca="false">W_PH(L$2,$A5)</f>
        <v>1402.58353509912</v>
      </c>
      <c r="M5" s="0" t="n">
        <f aca="false">W_PH(M$2,$A5)</f>
        <v>1402.58389265257</v>
      </c>
      <c r="N5" s="0" t="n">
        <f aca="false">W_PH(N$2,$A5)</f>
        <v>1402.58425020374</v>
      </c>
      <c r="O5" s="0" t="n">
        <f aca="false">W_PH(O$2,$A5)</f>
        <v>1402.58460775261</v>
      </c>
      <c r="P5" s="0" t="n">
        <f aca="false">W_PH(P$2,$A5)</f>
        <v>1402.58818311545</v>
      </c>
      <c r="Q5" s="0" t="n">
        <f aca="false">W_PH(Q$2,$A5)</f>
        <v>1402.59175824938</v>
      </c>
      <c r="R5" s="0" t="n">
        <f aca="false">W_PH(R$2,$A5)</f>
        <v>1402.59533315442</v>
      </c>
      <c r="S5" s="0" t="n">
        <f aca="false">W_PH(S$2,$A5)</f>
        <v>1402.5989078306</v>
      </c>
      <c r="T5" s="0" t="n">
        <f aca="false">W_PH(T$2,$A5)</f>
        <v>1402.60248227796</v>
      </c>
      <c r="U5" s="0" t="n">
        <f aca="false">W_PH(U$2,$A5)</f>
        <v>1402.60605649652</v>
      </c>
      <c r="V5" s="0" t="n">
        <f aca="false">W_PH(V$2,$A5)</f>
        <v>1402.60963048631</v>
      </c>
      <c r="W5" s="0" t="n">
        <f aca="false">W_PH(W$2,$A5)</f>
        <v>1402.61320424735</v>
      </c>
      <c r="X5" s="0" t="n">
        <f aca="false">W_PH(X$2,$A5)</f>
        <v>1402.61677777969</v>
      </c>
      <c r="Y5" s="0" t="n">
        <f aca="false">W_PH(Y$2,$A5)</f>
        <v>1402.65250053023</v>
      </c>
      <c r="Z5" s="0" t="n">
        <f aca="false">W_PH(Z$2,$A5)</f>
        <v>1402.68820044117</v>
      </c>
      <c r="AA5" s="0" t="n">
        <f aca="false">W_PH(AA$2,$A5)</f>
        <v>2015</v>
      </c>
      <c r="AB5" s="0" t="n">
        <f aca="false">W_PH(AB$2,$A5)</f>
        <v>2015</v>
      </c>
      <c r="AC5" s="0" t="n">
        <f aca="false">W_PH(AC$2,$A5)</f>
        <v>2015</v>
      </c>
      <c r="AD5" s="0" t="n">
        <f aca="false">W_PH(AD$2,$A5)</f>
        <v>2015</v>
      </c>
      <c r="AE5" s="0" t="n">
        <f aca="false">W_PH(AE$2,$A5)</f>
        <v>2015</v>
      </c>
      <c r="AF5" s="0" t="n">
        <f aca="false">W_PH(AF$2,$A5)</f>
        <v>2015</v>
      </c>
      <c r="AG5" s="0" t="n">
        <f aca="false">W_PH(AG$2,$A5)</f>
        <v>2015</v>
      </c>
      <c r="AH5" s="0" t="n">
        <f aca="false">W_PH(AH$2,$A5)</f>
        <v>2015</v>
      </c>
      <c r="AI5" s="0" t="n">
        <f aca="false">W_PH(AI$2,$A5)</f>
        <v>2015</v>
      </c>
      <c r="AJ5" s="0" t="n">
        <f aca="false">W_PH(AJ$2,$A5)</f>
        <v>2015</v>
      </c>
      <c r="AK5" s="0" t="n">
        <f aca="false">W_PH(AK$2,$A5)</f>
        <v>2015</v>
      </c>
      <c r="AL5" s="0" t="n">
        <f aca="false">W_PH(AL$2,$A5)</f>
        <v>2015</v>
      </c>
      <c r="AM5" s="0" t="n">
        <f aca="false">W_PH(AM$2,$A5)</f>
        <v>2015</v>
      </c>
      <c r="AN5" s="0" t="n">
        <f aca="false">W_PH(AN$2,$A5)</f>
        <v>2015</v>
      </c>
      <c r="AO5" s="0" t="n">
        <f aca="false">W_PH(AO$2,$A5)</f>
        <v>2015</v>
      </c>
      <c r="AP5" s="0" t="n">
        <f aca="false">W_PH(AP$2,$A5)</f>
        <v>2015</v>
      </c>
      <c r="AQ5" s="0" t="n">
        <f aca="false">W_PH(AQ$2,$A5)</f>
        <v>2015</v>
      </c>
      <c r="AR5" s="0" t="n">
        <f aca="false">W_PH(AR$2,$A5)</f>
        <v>2015</v>
      </c>
      <c r="AS5" s="0" t="n">
        <f aca="false">W_PH(AS$2,$A5)</f>
        <v>2015</v>
      </c>
    </row>
    <row r="6" customFormat="false" ht="13.8" hidden="false" customHeight="false" outlineLevel="0" collapsed="false">
      <c r="A6" s="0" t="n">
        <v>0.4</v>
      </c>
      <c r="B6" s="0" t="n">
        <f aca="false">W_PH(B$2,$A6)</f>
        <v>2015</v>
      </c>
      <c r="C6" s="0" t="n">
        <f aca="false">W_PH(C$2,$A6)</f>
        <v>1402.70012966699</v>
      </c>
      <c r="D6" s="0" t="n">
        <f aca="false">W_PH(D$2,$A6)</f>
        <v>1402.70016549656</v>
      </c>
      <c r="E6" s="0" t="n">
        <f aca="false">W_PH(E$2,$A6)</f>
        <v>1402.70020132611</v>
      </c>
      <c r="F6" s="0" t="n">
        <f aca="false">W_PH(F$2,$A6)</f>
        <v>1402.70023715563</v>
      </c>
      <c r="G6" s="0" t="n">
        <f aca="false">W_PH(G$2,$A6)</f>
        <v>1402.70059544963</v>
      </c>
      <c r="H6" s="0" t="n">
        <f aca="false">W_PH(H$2,$A6)</f>
        <v>1402.70095374133</v>
      </c>
      <c r="I6" s="0" t="n">
        <f aca="false">W_PH(I$2,$A6)</f>
        <v>1402.70131203075</v>
      </c>
      <c r="J6" s="0" t="n">
        <f aca="false">W_PH(J$2,$A6)</f>
        <v>1402.70167031788</v>
      </c>
      <c r="K6" s="0" t="n">
        <f aca="false">W_PH(K$2,$A6)</f>
        <v>1402.70202860273</v>
      </c>
      <c r="L6" s="0" t="n">
        <f aca="false">W_PH(L$2,$A6)</f>
        <v>1402.70238688528</v>
      </c>
      <c r="M6" s="0" t="n">
        <f aca="false">W_PH(M$2,$A6)</f>
        <v>1402.70274516555</v>
      </c>
      <c r="N6" s="0" t="n">
        <f aca="false">W_PH(N$2,$A6)</f>
        <v>1402.70310344352</v>
      </c>
      <c r="O6" s="0" t="n">
        <f aca="false">W_PH(O$2,$A6)</f>
        <v>1402.70346171922</v>
      </c>
      <c r="P6" s="0" t="n">
        <f aca="false">W_PH(P$2,$A6)</f>
        <v>1402.70704435029</v>
      </c>
      <c r="Q6" s="0" t="n">
        <f aca="false">W_PH(Q$2,$A6)</f>
        <v>1402.7106267526</v>
      </c>
      <c r="R6" s="0" t="n">
        <f aca="false">W_PH(R$2,$A6)</f>
        <v>1402.71420892619</v>
      </c>
      <c r="S6" s="0" t="n">
        <f aca="false">W_PH(S$2,$A6)</f>
        <v>1402.71779087107</v>
      </c>
      <c r="T6" s="0" t="n">
        <f aca="false">W_PH(T$2,$A6)</f>
        <v>1402.72137258728</v>
      </c>
      <c r="U6" s="0" t="n">
        <f aca="false">W_PH(U$2,$A6)</f>
        <v>1402.72495407485</v>
      </c>
      <c r="V6" s="0" t="n">
        <f aca="false">W_PH(V$2,$A6)</f>
        <v>1402.72853533381</v>
      </c>
      <c r="W6" s="0" t="n">
        <f aca="false">W_PH(W$2,$A6)</f>
        <v>1402.73211636418</v>
      </c>
      <c r="X6" s="0" t="n">
        <f aca="false">W_PH(X$2,$A6)</f>
        <v>1402.73569716599</v>
      </c>
      <c r="Y6" s="0" t="n">
        <f aca="false">W_PH(Y$2,$A6)</f>
        <v>1402.7714926199</v>
      </c>
      <c r="Z6" s="0" t="n">
        <f aca="false">W_PH(Z$2,$A6)</f>
        <v>1402.80726524992</v>
      </c>
      <c r="AA6" s="0" t="n">
        <f aca="false">W_PH(AA$2,$A6)</f>
        <v>1402.8430150846</v>
      </c>
      <c r="AB6" s="0" t="n">
        <f aca="false">W_PH(AB$2,$A6)</f>
        <v>2015</v>
      </c>
      <c r="AC6" s="0" t="n">
        <f aca="false">W_PH(AC$2,$A6)</f>
        <v>2015</v>
      </c>
      <c r="AD6" s="0" t="n">
        <f aca="false">W_PH(AD$2,$A6)</f>
        <v>2015</v>
      </c>
      <c r="AE6" s="0" t="n">
        <f aca="false">W_PH(AE$2,$A6)</f>
        <v>2015</v>
      </c>
      <c r="AF6" s="0" t="n">
        <f aca="false">W_PH(AF$2,$A6)</f>
        <v>2015</v>
      </c>
      <c r="AG6" s="0" t="n">
        <f aca="false">W_PH(AG$2,$A6)</f>
        <v>2015</v>
      </c>
      <c r="AH6" s="0" t="n">
        <f aca="false">W_PH(AH$2,$A6)</f>
        <v>2015</v>
      </c>
      <c r="AI6" s="0" t="n">
        <f aca="false">W_PH(AI$2,$A6)</f>
        <v>2015</v>
      </c>
      <c r="AJ6" s="0" t="n">
        <f aca="false">W_PH(AJ$2,$A6)</f>
        <v>2015</v>
      </c>
      <c r="AK6" s="0" t="n">
        <f aca="false">W_PH(AK$2,$A6)</f>
        <v>2015</v>
      </c>
      <c r="AL6" s="0" t="n">
        <f aca="false">W_PH(AL$2,$A6)</f>
        <v>2015</v>
      </c>
      <c r="AM6" s="0" t="n">
        <f aca="false">W_PH(AM$2,$A6)</f>
        <v>2015</v>
      </c>
      <c r="AN6" s="0" t="n">
        <f aca="false">W_PH(AN$2,$A6)</f>
        <v>2015</v>
      </c>
      <c r="AO6" s="0" t="n">
        <f aca="false">W_PH(AO$2,$A6)</f>
        <v>2015</v>
      </c>
      <c r="AP6" s="0" t="n">
        <f aca="false">W_PH(AP$2,$A6)</f>
        <v>2015</v>
      </c>
      <c r="AQ6" s="0" t="n">
        <f aca="false">W_PH(AQ$2,$A6)</f>
        <v>2015</v>
      </c>
      <c r="AR6" s="0" t="n">
        <f aca="false">W_PH(AR$2,$A6)</f>
        <v>2015</v>
      </c>
      <c r="AS6" s="0" t="n">
        <f aca="false">W_PH(AS$2,$A6)</f>
        <v>2015</v>
      </c>
    </row>
    <row r="7" customFormat="false" ht="13.8" hidden="false" customHeight="false" outlineLevel="0" collapsed="false">
      <c r="A7" s="0" t="n">
        <v>0.5</v>
      </c>
      <c r="B7" s="0" t="n">
        <f aca="false">W_PH(B$2,$A7)</f>
        <v>2015</v>
      </c>
      <c r="C7" s="0" t="n">
        <f aca="false">W_PH(C$2,$A7)</f>
        <v>1402.81892297002</v>
      </c>
      <c r="D7" s="0" t="n">
        <f aca="false">W_PH(D$2,$A7)</f>
        <v>1402.81895887224</v>
      </c>
      <c r="E7" s="0" t="n">
        <f aca="false">W_PH(E$2,$A7)</f>
        <v>1402.81899477443</v>
      </c>
      <c r="F7" s="0" t="n">
        <f aca="false">W_PH(F$2,$A7)</f>
        <v>1402.8190306766</v>
      </c>
      <c r="G7" s="0" t="n">
        <f aca="false">W_PH(G$2,$A7)</f>
        <v>1402.81938969706</v>
      </c>
      <c r="H7" s="0" t="n">
        <f aca="false">W_PH(H$2,$A7)</f>
        <v>1402.81974871523</v>
      </c>
      <c r="I7" s="0" t="n">
        <f aca="false">W_PH(I$2,$A7)</f>
        <v>1402.82010773112</v>
      </c>
      <c r="J7" s="0" t="n">
        <f aca="false">W_PH(J$2,$A7)</f>
        <v>1402.82046674472</v>
      </c>
      <c r="K7" s="0" t="n">
        <f aca="false">W_PH(K$2,$A7)</f>
        <v>1402.82082575603</v>
      </c>
      <c r="L7" s="0" t="n">
        <f aca="false">W_PH(L$2,$A7)</f>
        <v>1402.82118476506</v>
      </c>
      <c r="M7" s="0" t="n">
        <f aca="false">W_PH(M$2,$A7)</f>
        <v>1402.8215437718</v>
      </c>
      <c r="N7" s="0" t="n">
        <f aca="false">W_PH(N$2,$A7)</f>
        <v>1402.82190277625</v>
      </c>
      <c r="O7" s="0" t="n">
        <f aca="false">W_PH(O$2,$A7)</f>
        <v>1402.82226177841</v>
      </c>
      <c r="P7" s="0" t="n">
        <f aca="false">W_PH(P$2,$A7)</f>
        <v>1402.82585167433</v>
      </c>
      <c r="Q7" s="0" t="n">
        <f aca="false">W_PH(Q$2,$A7)</f>
        <v>1402.82944134165</v>
      </c>
      <c r="R7" s="0" t="n">
        <f aca="false">W_PH(R$2,$A7)</f>
        <v>1402.83303078039</v>
      </c>
      <c r="S7" s="0" t="n">
        <f aca="false">W_PH(S$2,$A7)</f>
        <v>1402.83661999058</v>
      </c>
      <c r="T7" s="0" t="n">
        <f aca="false">W_PH(T$2,$A7)</f>
        <v>1402.84020897226</v>
      </c>
      <c r="U7" s="0" t="n">
        <f aca="false">W_PH(U$2,$A7)</f>
        <v>1402.84379772545</v>
      </c>
      <c r="V7" s="0" t="n">
        <f aca="false">W_PH(V$2,$A7)</f>
        <v>1402.84738625018</v>
      </c>
      <c r="W7" s="0" t="n">
        <f aca="false">W_PH(W$2,$A7)</f>
        <v>1402.85097454648</v>
      </c>
      <c r="X7" s="0" t="n">
        <f aca="false">W_PH(X$2,$A7)</f>
        <v>1402.85456261438</v>
      </c>
      <c r="Y7" s="0" t="n">
        <f aca="false">W_PH(Y$2,$A7)</f>
        <v>1402.89043073771</v>
      </c>
      <c r="Z7" s="0" t="n">
        <f aca="false">W_PH(Z$2,$A7)</f>
        <v>1402.92627605277</v>
      </c>
      <c r="AA7" s="0" t="n">
        <f aca="false">W_PH(AA$2,$A7)</f>
        <v>1402.96209858823</v>
      </c>
      <c r="AB7" s="0" t="n">
        <f aca="false">W_PH(AB$2,$A7)</f>
        <v>1402.99789837248</v>
      </c>
      <c r="AC7" s="0" t="n">
        <f aca="false">W_PH(AC$2,$A7)</f>
        <v>2015</v>
      </c>
      <c r="AD7" s="0" t="n">
        <f aca="false">W_PH(AD$2,$A7)</f>
        <v>2015</v>
      </c>
      <c r="AE7" s="0" t="n">
        <f aca="false">W_PH(AE$2,$A7)</f>
        <v>2015</v>
      </c>
      <c r="AF7" s="0" t="n">
        <f aca="false">W_PH(AF$2,$A7)</f>
        <v>2015</v>
      </c>
      <c r="AG7" s="0" t="n">
        <f aca="false">W_PH(AG$2,$A7)</f>
        <v>2015</v>
      </c>
      <c r="AH7" s="0" t="n">
        <f aca="false">W_PH(AH$2,$A7)</f>
        <v>2015</v>
      </c>
      <c r="AI7" s="0" t="n">
        <f aca="false">W_PH(AI$2,$A7)</f>
        <v>2015</v>
      </c>
      <c r="AJ7" s="0" t="n">
        <f aca="false">W_PH(AJ$2,$A7)</f>
        <v>2015</v>
      </c>
      <c r="AK7" s="0" t="n">
        <f aca="false">W_PH(AK$2,$A7)</f>
        <v>2015</v>
      </c>
      <c r="AL7" s="0" t="n">
        <f aca="false">W_PH(AL$2,$A7)</f>
        <v>2015</v>
      </c>
      <c r="AM7" s="0" t="n">
        <f aca="false">W_PH(AM$2,$A7)</f>
        <v>2015</v>
      </c>
      <c r="AN7" s="0" t="n">
        <f aca="false">W_PH(AN$2,$A7)</f>
        <v>2015</v>
      </c>
      <c r="AO7" s="0" t="n">
        <f aca="false">W_PH(AO$2,$A7)</f>
        <v>2015</v>
      </c>
      <c r="AP7" s="0" t="n">
        <f aca="false">W_PH(AP$2,$A7)</f>
        <v>2015</v>
      </c>
      <c r="AQ7" s="0" t="n">
        <f aca="false">W_PH(AQ$2,$A7)</f>
        <v>2015</v>
      </c>
      <c r="AR7" s="0" t="n">
        <f aca="false">W_PH(AR$2,$A7)</f>
        <v>2015</v>
      </c>
      <c r="AS7" s="0" t="n">
        <f aca="false">W_PH(AS$2,$A7)</f>
        <v>2015</v>
      </c>
    </row>
    <row r="8" customFormat="false" ht="13.8" hidden="false" customHeight="false" outlineLevel="0" collapsed="false">
      <c r="A8" s="0" t="n">
        <v>0.6</v>
      </c>
      <c r="B8" s="0" t="n">
        <f aca="false">W_PH(B$2,$A8)</f>
        <v>2015</v>
      </c>
      <c r="C8" s="0" t="n">
        <f aca="false">W_PH(C$2,$A8)</f>
        <v>1402.93766235941</v>
      </c>
      <c r="D8" s="0" t="n">
        <f aca="false">W_PH(D$2,$A8)</f>
        <v>1402.93769833424</v>
      </c>
      <c r="E8" s="0" t="n">
        <f aca="false">W_PH(E$2,$A8)</f>
        <v>1402.93773430905</v>
      </c>
      <c r="F8" s="0" t="n">
        <f aca="false">W_PH(F$2,$A8)</f>
        <v>1402.93777028383</v>
      </c>
      <c r="G8" s="0" t="n">
        <f aca="false">W_PH(G$2,$A8)</f>
        <v>1402.93813003042</v>
      </c>
      <c r="H8" s="0" t="n">
        <f aca="false">W_PH(H$2,$A8)</f>
        <v>1402.93848977471</v>
      </c>
      <c r="I8" s="0" t="n">
        <f aca="false">W_PH(I$2,$A8)</f>
        <v>1402.93884951673</v>
      </c>
      <c r="J8" s="0" t="n">
        <f aca="false">W_PH(J$2,$A8)</f>
        <v>1402.93920925646</v>
      </c>
      <c r="K8" s="0" t="n">
        <f aca="false">W_PH(K$2,$A8)</f>
        <v>1402.9395689939</v>
      </c>
      <c r="L8" s="0" t="n">
        <f aca="false">W_PH(L$2,$A8)</f>
        <v>1402.93992872906</v>
      </c>
      <c r="M8" s="0" t="n">
        <f aca="false">W_PH(M$2,$A8)</f>
        <v>1402.94028846193</v>
      </c>
      <c r="N8" s="0" t="n">
        <f aca="false">W_PH(N$2,$A8)</f>
        <v>1402.94064819252</v>
      </c>
      <c r="O8" s="0" t="n">
        <f aca="false">W_PH(O$2,$A8)</f>
        <v>1402.94100792082</v>
      </c>
      <c r="P8" s="0" t="n">
        <f aca="false">W_PH(P$2,$A8)</f>
        <v>1402.94460507821</v>
      </c>
      <c r="Q8" s="0" t="n">
        <f aca="false">W_PH(Q$2,$A8)</f>
        <v>1402.94820200714</v>
      </c>
      <c r="R8" s="0" t="n">
        <f aca="false">W_PH(R$2,$A8)</f>
        <v>1402.95179870764</v>
      </c>
      <c r="S8" s="0" t="n">
        <f aca="false">W_PH(S$2,$A8)</f>
        <v>1402.95539517976</v>
      </c>
      <c r="T8" s="0" t="n">
        <f aca="false">W_PH(T$2,$A8)</f>
        <v>1402.95899142351</v>
      </c>
      <c r="U8" s="0" t="n">
        <f aca="false">W_PH(U$2,$A8)</f>
        <v>1402.96258743893</v>
      </c>
      <c r="V8" s="0" t="n">
        <f aca="false">W_PH(V$2,$A8)</f>
        <v>1402.96618322604</v>
      </c>
      <c r="W8" s="0" t="n">
        <f aca="false">W_PH(W$2,$A8)</f>
        <v>1402.96977878488</v>
      </c>
      <c r="X8" s="0" t="n">
        <f aca="false">W_PH(X$2,$A8)</f>
        <v>1402.97337411548</v>
      </c>
      <c r="Y8" s="0" t="n">
        <f aca="false">W_PH(Y$2,$A8)</f>
        <v>1403.00931487427</v>
      </c>
      <c r="Z8" s="0" t="n">
        <f aca="false">W_PH(Z$2,$A8)</f>
        <v>1403.04523284036</v>
      </c>
      <c r="AA8" s="0" t="n">
        <f aca="false">W_PH(AA$2,$A8)</f>
        <v>1403.08112804252</v>
      </c>
      <c r="AB8" s="0" t="n">
        <f aca="false">W_PH(AB$2,$A8)</f>
        <v>1403.11700050924</v>
      </c>
      <c r="AC8" s="0" t="n">
        <f aca="false">W_PH(AC$2,$A8)</f>
        <v>1403.15285026878</v>
      </c>
      <c r="AD8" s="0" t="n">
        <f aca="false">W_PH(AD$2,$A8)</f>
        <v>2015</v>
      </c>
      <c r="AE8" s="0" t="n">
        <f aca="false">W_PH(AE$2,$A8)</f>
        <v>2015</v>
      </c>
      <c r="AF8" s="0" t="n">
        <f aca="false">W_PH(AF$2,$A8)</f>
        <v>2015</v>
      </c>
      <c r="AG8" s="0" t="n">
        <f aca="false">W_PH(AG$2,$A8)</f>
        <v>2015</v>
      </c>
      <c r="AH8" s="0" t="n">
        <f aca="false">W_PH(AH$2,$A8)</f>
        <v>2015</v>
      </c>
      <c r="AI8" s="0" t="n">
        <f aca="false">W_PH(AI$2,$A8)</f>
        <v>2015</v>
      </c>
      <c r="AJ8" s="0" t="n">
        <f aca="false">W_PH(AJ$2,$A8)</f>
        <v>2015</v>
      </c>
      <c r="AK8" s="0" t="n">
        <f aca="false">W_PH(AK$2,$A8)</f>
        <v>2015</v>
      </c>
      <c r="AL8" s="0" t="n">
        <f aca="false">W_PH(AL$2,$A8)</f>
        <v>2015</v>
      </c>
      <c r="AM8" s="0" t="n">
        <f aca="false">W_PH(AM$2,$A8)</f>
        <v>2015</v>
      </c>
      <c r="AN8" s="0" t="n">
        <f aca="false">W_PH(AN$2,$A8)</f>
        <v>2015</v>
      </c>
      <c r="AO8" s="0" t="n">
        <f aca="false">W_PH(AO$2,$A8)</f>
        <v>2015</v>
      </c>
      <c r="AP8" s="0" t="n">
        <f aca="false">W_PH(AP$2,$A8)</f>
        <v>2015</v>
      </c>
      <c r="AQ8" s="0" t="n">
        <f aca="false">W_PH(AQ$2,$A8)</f>
        <v>2015</v>
      </c>
      <c r="AR8" s="0" t="n">
        <f aca="false">W_PH(AR$2,$A8)</f>
        <v>2015</v>
      </c>
      <c r="AS8" s="0" t="n">
        <f aca="false">W_PH(AS$2,$A8)</f>
        <v>2015</v>
      </c>
    </row>
    <row r="9" customFormat="false" ht="13.8" hidden="false" customHeight="false" outlineLevel="0" collapsed="false">
      <c r="A9" s="0" t="n">
        <v>0.7</v>
      </c>
      <c r="B9" s="0" t="n">
        <f aca="false">W_PH(B$2,$A9)</f>
        <v>2015</v>
      </c>
      <c r="C9" s="0" t="n">
        <f aca="false">W_PH(C$2,$A9)</f>
        <v>1403.05634782586</v>
      </c>
      <c r="D9" s="0" t="n">
        <f aca="false">W_PH(D$2,$A9)</f>
        <v>1403.05638387327</v>
      </c>
      <c r="E9" s="0" t="n">
        <f aca="false">W_PH(E$2,$A9)</f>
        <v>1403.05641992065</v>
      </c>
      <c r="F9" s="0" t="n">
        <f aca="false">W_PH(F$2,$A9)</f>
        <v>1403.05645596801</v>
      </c>
      <c r="G9" s="0" t="n">
        <f aca="false">W_PH(G$2,$A9)</f>
        <v>1403.05681644038</v>
      </c>
      <c r="H9" s="0" t="n">
        <f aca="false">W_PH(H$2,$A9)</f>
        <v>1403.05717691047</v>
      </c>
      <c r="I9" s="0" t="n">
        <f aca="false">W_PH(I$2,$A9)</f>
        <v>1403.05753737827</v>
      </c>
      <c r="J9" s="0" t="n">
        <f aca="false">W_PH(J$2,$A9)</f>
        <v>1403.05789784379</v>
      </c>
      <c r="K9" s="0" t="n">
        <f aca="false">W_PH(K$2,$A9)</f>
        <v>1403.05825830703</v>
      </c>
      <c r="L9" s="0" t="n">
        <f aca="false">W_PH(L$2,$A9)</f>
        <v>1403.05861876798</v>
      </c>
      <c r="M9" s="0" t="n">
        <f aca="false">W_PH(M$2,$A9)</f>
        <v>1403.05897922665</v>
      </c>
      <c r="N9" s="0" t="n">
        <f aca="false">W_PH(N$2,$A9)</f>
        <v>1403.05933968304</v>
      </c>
      <c r="O9" s="0" t="n">
        <f aca="false">W_PH(O$2,$A9)</f>
        <v>1403.05970013714</v>
      </c>
      <c r="P9" s="0" t="n">
        <f aca="false">W_PH(P$2,$A9)</f>
        <v>1403.0633045526</v>
      </c>
      <c r="Q9" s="0" t="n">
        <f aca="false">W_PH(Q$2,$A9)</f>
        <v>1403.06690873976</v>
      </c>
      <c r="R9" s="0" t="n">
        <f aca="false">W_PH(R$2,$A9)</f>
        <v>1403.07051269865</v>
      </c>
      <c r="S9" s="0" t="n">
        <f aca="false">W_PH(S$2,$A9)</f>
        <v>1403.0741164293</v>
      </c>
      <c r="T9" s="0" t="n">
        <f aca="false">W_PH(T$2,$A9)</f>
        <v>1403.07771993174</v>
      </c>
      <c r="U9" s="0" t="n">
        <f aca="false">W_PH(U$2,$A9)</f>
        <v>1403.081323206</v>
      </c>
      <c r="V9" s="0" t="n">
        <f aca="false">W_PH(V$2,$A9)</f>
        <v>1403.08492625211</v>
      </c>
      <c r="W9" s="0" t="n">
        <f aca="false">W_PH(W$2,$A9)</f>
        <v>1403.0885290701</v>
      </c>
      <c r="X9" s="0" t="n">
        <f aca="false">W_PH(X$2,$A9)</f>
        <v>1403.09213166</v>
      </c>
      <c r="Y9" s="0" t="n">
        <f aca="false">W_PH(Y$2,$A9)</f>
        <v>1403.12814502031</v>
      </c>
      <c r="Z9" s="0" t="n">
        <f aca="false">W_PH(Z$2,$A9)</f>
        <v>1403.16413560343</v>
      </c>
      <c r="AA9" s="0" t="n">
        <f aca="false">W_PH(AA$2,$A9)</f>
        <v>1403.20010343822</v>
      </c>
      <c r="AB9" s="0" t="n">
        <f aca="false">W_PH(AB$2,$A9)</f>
        <v>1403.23604855327</v>
      </c>
      <c r="AC9" s="0" t="n">
        <f aca="false">W_PH(AC$2,$A9)</f>
        <v>1403.27197097694</v>
      </c>
      <c r="AD9" s="0" t="n">
        <f aca="false">W_PH(AD$2,$A9)</f>
        <v>1403.30787073732</v>
      </c>
      <c r="AE9" s="0" t="n">
        <f aca="false">W_PH(AE$2,$A9)</f>
        <v>2015</v>
      </c>
      <c r="AF9" s="0" t="n">
        <f aca="false">W_PH(AF$2,$A9)</f>
        <v>2015</v>
      </c>
      <c r="AG9" s="0" t="n">
        <f aca="false">W_PH(AG$2,$A9)</f>
        <v>2015</v>
      </c>
      <c r="AH9" s="0" t="n">
        <f aca="false">W_PH(AH$2,$A9)</f>
        <v>2015</v>
      </c>
      <c r="AI9" s="0" t="n">
        <f aca="false">W_PH(AI$2,$A9)</f>
        <v>2015</v>
      </c>
      <c r="AJ9" s="0" t="n">
        <f aca="false">W_PH(AJ$2,$A9)</f>
        <v>2015</v>
      </c>
      <c r="AK9" s="0" t="n">
        <f aca="false">W_PH(AK$2,$A9)</f>
        <v>2015</v>
      </c>
      <c r="AL9" s="0" t="n">
        <f aca="false">W_PH(AL$2,$A9)</f>
        <v>2015</v>
      </c>
      <c r="AM9" s="0" t="n">
        <f aca="false">W_PH(AM$2,$A9)</f>
        <v>2015</v>
      </c>
      <c r="AN9" s="0" t="n">
        <f aca="false">W_PH(AN$2,$A9)</f>
        <v>2015</v>
      </c>
      <c r="AO9" s="0" t="n">
        <f aca="false">W_PH(AO$2,$A9)</f>
        <v>2015</v>
      </c>
      <c r="AP9" s="0" t="n">
        <f aca="false">W_PH(AP$2,$A9)</f>
        <v>2015</v>
      </c>
      <c r="AQ9" s="0" t="n">
        <f aca="false">W_PH(AQ$2,$A9)</f>
        <v>2015</v>
      </c>
      <c r="AR9" s="0" t="n">
        <f aca="false">W_PH(AR$2,$A9)</f>
        <v>2015</v>
      </c>
      <c r="AS9" s="0" t="n">
        <f aca="false">W_PH(AS$2,$A9)</f>
        <v>2015</v>
      </c>
    </row>
    <row r="10" customFormat="false" ht="13.8" hidden="false" customHeight="false" outlineLevel="0" collapsed="false">
      <c r="A10" s="0" t="n">
        <v>0.8</v>
      </c>
      <c r="B10" s="0" t="n">
        <f aca="false">W_PH(B$2,$A10)</f>
        <v>2015</v>
      </c>
      <c r="C10" s="0" t="n">
        <f aca="false">W_PH(C$2,$A10)</f>
        <v>1403.17497936014</v>
      </c>
      <c r="D10" s="0" t="n">
        <f aca="false">W_PH(D$2,$A10)</f>
        <v>1403.17501548009</v>
      </c>
      <c r="E10" s="0" t="n">
        <f aca="false">W_PH(E$2,$A10)</f>
        <v>1403.17505160003</v>
      </c>
      <c r="F10" s="0" t="n">
        <f aca="false">W_PH(F$2,$A10)</f>
        <v>1403.17508771993</v>
      </c>
      <c r="G10" s="0" t="n">
        <f aca="false">W_PH(G$2,$A10)</f>
        <v>1403.17544891775</v>
      </c>
      <c r="H10" s="0" t="n">
        <f aca="false">W_PH(H$2,$A10)</f>
        <v>1403.17581011329</v>
      </c>
      <c r="I10" s="0" t="n">
        <f aca="false">W_PH(I$2,$A10)</f>
        <v>1403.17617130654</v>
      </c>
      <c r="J10" s="0" t="n">
        <f aca="false">W_PH(J$2,$A10)</f>
        <v>1403.17653249752</v>
      </c>
      <c r="K10" s="0" t="n">
        <f aca="false">W_PH(K$2,$A10)</f>
        <v>1403.17689368621</v>
      </c>
      <c r="L10" s="0" t="n">
        <f aca="false">W_PH(L$2,$A10)</f>
        <v>1403.17725487262</v>
      </c>
      <c r="M10" s="0" t="n">
        <f aca="false">W_PH(M$2,$A10)</f>
        <v>1403.17761605674</v>
      </c>
      <c r="N10" s="0" t="n">
        <f aca="false">W_PH(N$2,$A10)</f>
        <v>1403.17797723859</v>
      </c>
      <c r="O10" s="0" t="n">
        <f aca="false">W_PH(O$2,$A10)</f>
        <v>1403.17833841815</v>
      </c>
      <c r="P10" s="0" t="n">
        <f aca="false">W_PH(P$2,$A10)</f>
        <v>1403.1819500883</v>
      </c>
      <c r="Q10" s="0" t="n">
        <f aca="false">W_PH(Q$2,$A10)</f>
        <v>1403.1855615303</v>
      </c>
      <c r="R10" s="0" t="n">
        <f aca="false">W_PH(R$2,$A10)</f>
        <v>1403.18917274419</v>
      </c>
      <c r="S10" s="0" t="n">
        <f aca="false">W_PH(S$2,$A10)</f>
        <v>1403.19278372999</v>
      </c>
      <c r="T10" s="0" t="n">
        <f aca="false">W_PH(T$2,$A10)</f>
        <v>1403.19639448773</v>
      </c>
      <c r="U10" s="0" t="n">
        <f aca="false">W_PH(U$2,$A10)</f>
        <v>1403.20000501745</v>
      </c>
      <c r="V10" s="0" t="n">
        <f aca="false">W_PH(V$2,$A10)</f>
        <v>1403.20361531917</v>
      </c>
      <c r="W10" s="0" t="n">
        <f aca="false">W_PH(W$2,$A10)</f>
        <v>1403.20722539292</v>
      </c>
      <c r="X10" s="0" t="n">
        <f aca="false">W_PH(X$2,$A10)</f>
        <v>1403.21083523873</v>
      </c>
      <c r="Y10" s="0" t="n">
        <f aca="false">W_PH(Y$2,$A10)</f>
        <v>1403.24692116664</v>
      </c>
      <c r="Z10" s="0" t="n">
        <f aca="false">W_PH(Z$2,$A10)</f>
        <v>1403.2829843328</v>
      </c>
      <c r="AA10" s="0" t="n">
        <f aca="false">W_PH(AA$2,$A10)</f>
        <v>1403.31902476615</v>
      </c>
      <c r="AB10" s="0" t="n">
        <f aca="false">W_PH(AB$2,$A10)</f>
        <v>1403.3550424954</v>
      </c>
      <c r="AC10" s="0" t="n">
        <f aca="false">W_PH(AC$2,$A10)</f>
        <v>1403.39103754901</v>
      </c>
      <c r="AD10" s="0" t="n">
        <f aca="false">W_PH(AD$2,$A10)</f>
        <v>1403.42700995516</v>
      </c>
      <c r="AE10" s="0" t="n">
        <f aca="false">W_PH(AE$2,$A10)</f>
        <v>1403.46295974178</v>
      </c>
      <c r="AF10" s="0" t="n">
        <f aca="false">W_PH(AF$2,$A10)</f>
        <v>2015</v>
      </c>
      <c r="AG10" s="0" t="n">
        <f aca="false">W_PH(AG$2,$A10)</f>
        <v>2015</v>
      </c>
      <c r="AH10" s="0" t="n">
        <f aca="false">W_PH(AH$2,$A10)</f>
        <v>2015</v>
      </c>
      <c r="AI10" s="0" t="n">
        <f aca="false">W_PH(AI$2,$A10)</f>
        <v>2015</v>
      </c>
      <c r="AJ10" s="0" t="n">
        <f aca="false">W_PH(AJ$2,$A10)</f>
        <v>2015</v>
      </c>
      <c r="AK10" s="0" t="n">
        <f aca="false">W_PH(AK$2,$A10)</f>
        <v>2015</v>
      </c>
      <c r="AL10" s="0" t="n">
        <f aca="false">W_PH(AL$2,$A10)</f>
        <v>2015</v>
      </c>
      <c r="AM10" s="0" t="n">
        <f aca="false">W_PH(AM$2,$A10)</f>
        <v>2015</v>
      </c>
      <c r="AN10" s="0" t="n">
        <f aca="false">W_PH(AN$2,$A10)</f>
        <v>2015</v>
      </c>
      <c r="AO10" s="0" t="n">
        <f aca="false">W_PH(AO$2,$A10)</f>
        <v>2015</v>
      </c>
      <c r="AP10" s="0" t="n">
        <f aca="false">W_PH(AP$2,$A10)</f>
        <v>2015</v>
      </c>
      <c r="AQ10" s="0" t="n">
        <f aca="false">W_PH(AQ$2,$A10)</f>
        <v>2015</v>
      </c>
      <c r="AR10" s="0" t="n">
        <f aca="false">W_PH(AR$2,$A10)</f>
        <v>2015</v>
      </c>
      <c r="AS10" s="0" t="n">
        <f aca="false">W_PH(AS$2,$A10)</f>
        <v>2015</v>
      </c>
    </row>
    <row r="11" customFormat="false" ht="13.8" hidden="false" customHeight="false" outlineLevel="0" collapsed="false">
      <c r="A11" s="0" t="n">
        <v>0.9</v>
      </c>
      <c r="B11" s="0" t="n">
        <f aca="false">W_PH(B$2,$A11)</f>
        <v>2015</v>
      </c>
      <c r="C11" s="0" t="n">
        <f aca="false">W_PH(C$2,$A11)</f>
        <v>1403.29355695313</v>
      </c>
      <c r="D11" s="0" t="n">
        <f aca="false">W_PH(D$2,$A11)</f>
        <v>1403.29359314559</v>
      </c>
      <c r="E11" s="0" t="n">
        <f aca="false">W_PH(E$2,$A11)</f>
        <v>1403.29362933804</v>
      </c>
      <c r="F11" s="0" t="n">
        <f aca="false">W_PH(F$2,$A11)</f>
        <v>1403.29366553045</v>
      </c>
      <c r="G11" s="0" t="n">
        <f aca="false">W_PH(G$2,$A11)</f>
        <v>1403.29402745338</v>
      </c>
      <c r="H11" s="0" t="n">
        <f aca="false">W_PH(H$2,$A11)</f>
        <v>1403.29438937403</v>
      </c>
      <c r="I11" s="0" t="n">
        <f aca="false">W_PH(I$2,$A11)</f>
        <v>1403.2947512924</v>
      </c>
      <c r="J11" s="0" t="n">
        <f aca="false">W_PH(J$2,$A11)</f>
        <v>1403.29511320849</v>
      </c>
      <c r="K11" s="0" t="n">
        <f aca="false">W_PH(K$2,$A11)</f>
        <v>1403.2954751223</v>
      </c>
      <c r="L11" s="0" t="n">
        <f aca="false">W_PH(L$2,$A11)</f>
        <v>1403.29583703382</v>
      </c>
      <c r="M11" s="0" t="n">
        <f aca="false">W_PH(M$2,$A11)</f>
        <v>1403.29619894307</v>
      </c>
      <c r="N11" s="0" t="n">
        <f aca="false">W_PH(N$2,$A11)</f>
        <v>1403.29656085004</v>
      </c>
      <c r="O11" s="0" t="n">
        <f aca="false">W_PH(O$2,$A11)</f>
        <v>1403.29692275472</v>
      </c>
      <c r="P11" s="0" t="n">
        <f aca="false">W_PH(P$2,$A11)</f>
        <v>1403.30054167618</v>
      </c>
      <c r="Q11" s="0" t="n">
        <f aca="false">W_PH(Q$2,$A11)</f>
        <v>1403.30416036964</v>
      </c>
      <c r="R11" s="0" t="n">
        <f aca="false">W_PH(R$2,$A11)</f>
        <v>1403.30777883514</v>
      </c>
      <c r="S11" s="0" t="n">
        <f aca="false">W_PH(S$2,$A11)</f>
        <v>1403.31139707271</v>
      </c>
      <c r="T11" s="0" t="n">
        <f aca="false">W_PH(T$2,$A11)</f>
        <v>1403.31501508237</v>
      </c>
      <c r="U11" s="0" t="n">
        <f aca="false">W_PH(U$2,$A11)</f>
        <v>1403.31863286415</v>
      </c>
      <c r="V11" s="0" t="n">
        <f aca="false">W_PH(V$2,$A11)</f>
        <v>1403.32225041809</v>
      </c>
      <c r="W11" s="0" t="n">
        <f aca="false">W_PH(W$2,$A11)</f>
        <v>1403.32586774422</v>
      </c>
      <c r="X11" s="0" t="n">
        <f aca="false">W_PH(X$2,$A11)</f>
        <v>1403.32948484255</v>
      </c>
      <c r="Y11" s="0" t="n">
        <f aca="false">W_PH(Y$2,$A11)</f>
        <v>1403.36564330415</v>
      </c>
      <c r="Z11" s="0" t="n">
        <f aca="false">W_PH(Z$2,$A11)</f>
        <v>1403.40177901935</v>
      </c>
      <c r="AA11" s="0" t="n">
        <f aca="false">W_PH(AA$2,$A11)</f>
        <v>1403.43789201722</v>
      </c>
      <c r="AB11" s="0" t="n">
        <f aca="false">W_PH(AB$2,$A11)</f>
        <v>1403.47398232656</v>
      </c>
      <c r="AC11" s="0" t="n">
        <f aca="false">W_PH(AC$2,$A11)</f>
        <v>1403.51004997592</v>
      </c>
      <c r="AD11" s="0" t="n">
        <f aca="false">W_PH(AD$2,$A11)</f>
        <v>1403.5460949936</v>
      </c>
      <c r="AE11" s="0" t="n">
        <f aca="false">W_PH(AE$2,$A11)</f>
        <v>1403.58211740762</v>
      </c>
      <c r="AF11" s="0" t="n">
        <f aca="false">W_PH(AF$2,$A11)</f>
        <v>1403.61811724577</v>
      </c>
      <c r="AG11" s="0" t="n">
        <f aca="false">W_PH(AG$2,$A11)</f>
        <v>2015</v>
      </c>
      <c r="AH11" s="0" t="n">
        <f aca="false">W_PH(AH$2,$A11)</f>
        <v>2015</v>
      </c>
      <c r="AI11" s="0" t="n">
        <f aca="false">W_PH(AI$2,$A11)</f>
        <v>2015</v>
      </c>
      <c r="AJ11" s="0" t="n">
        <f aca="false">W_PH(AJ$2,$A11)</f>
        <v>2015</v>
      </c>
      <c r="AK11" s="0" t="n">
        <f aca="false">W_PH(AK$2,$A11)</f>
        <v>2015</v>
      </c>
      <c r="AL11" s="0" t="n">
        <f aca="false">W_PH(AL$2,$A11)</f>
        <v>2015</v>
      </c>
      <c r="AM11" s="0" t="n">
        <f aca="false">W_PH(AM$2,$A11)</f>
        <v>2015</v>
      </c>
      <c r="AN11" s="0" t="n">
        <f aca="false">W_PH(AN$2,$A11)</f>
        <v>2015</v>
      </c>
      <c r="AO11" s="0" t="n">
        <f aca="false">W_PH(AO$2,$A11)</f>
        <v>2015</v>
      </c>
      <c r="AP11" s="0" t="n">
        <f aca="false">W_PH(AP$2,$A11)</f>
        <v>2015</v>
      </c>
      <c r="AQ11" s="0" t="n">
        <f aca="false">W_PH(AQ$2,$A11)</f>
        <v>2015</v>
      </c>
      <c r="AR11" s="0" t="n">
        <f aca="false">W_PH(AR$2,$A11)</f>
        <v>2015</v>
      </c>
      <c r="AS11" s="0" t="n">
        <f aca="false">W_PH(AS$2,$A11)</f>
        <v>2015</v>
      </c>
    </row>
    <row r="12" customFormat="false" ht="13.8" hidden="false" customHeight="false" outlineLevel="0" collapsed="false">
      <c r="A12" s="0" t="n">
        <v>1</v>
      </c>
      <c r="B12" s="0" t="n">
        <f aca="false">W_PH(B$2,$A12)</f>
        <v>2015</v>
      </c>
      <c r="C12" s="0" t="n">
        <f aca="false">W_PH(C$2,$A12)</f>
        <v>1403.41208059577</v>
      </c>
      <c r="D12" s="0" t="n">
        <f aca="false">W_PH(D$2,$A12)</f>
        <v>1403.41211686071</v>
      </c>
      <c r="E12" s="0" t="n">
        <f aca="false">W_PH(E$2,$A12)</f>
        <v>1403.41215312563</v>
      </c>
      <c r="F12" s="0" t="n">
        <f aca="false">W_PH(F$2,$A12)</f>
        <v>1403.41218939053</v>
      </c>
      <c r="G12" s="0" t="n">
        <f aca="false">W_PH(G$2,$A12)</f>
        <v>1403.41255203823</v>
      </c>
      <c r="H12" s="0" t="n">
        <f aca="false">W_PH(H$2,$A12)</f>
        <v>1403.41291468365</v>
      </c>
      <c r="I12" s="0" t="n">
        <f aca="false">W_PH(I$2,$A12)</f>
        <v>1403.4132773268</v>
      </c>
      <c r="J12" s="0" t="n">
        <f aca="false">W_PH(J$2,$A12)</f>
        <v>1403.41363996766</v>
      </c>
      <c r="K12" s="0" t="n">
        <f aca="false">W_PH(K$2,$A12)</f>
        <v>1403.41400260625</v>
      </c>
      <c r="L12" s="0" t="n">
        <f aca="false">W_PH(L$2,$A12)</f>
        <v>1403.41436524255</v>
      </c>
      <c r="M12" s="0" t="n">
        <f aca="false">W_PH(M$2,$A12)</f>
        <v>1403.41472787658</v>
      </c>
      <c r="N12" s="0" t="n">
        <f aca="false">W_PH(N$2,$A12)</f>
        <v>1403.41509050833</v>
      </c>
      <c r="O12" s="0" t="n">
        <f aca="false">W_PH(O$2,$A12)</f>
        <v>1403.4154531378</v>
      </c>
      <c r="P12" s="0" t="n">
        <f aca="false">W_PH(P$2,$A12)</f>
        <v>1403.41907930719</v>
      </c>
      <c r="Q12" s="0" t="n">
        <f aca="false">W_PH(Q$2,$A12)</f>
        <v>1403.42270524873</v>
      </c>
      <c r="R12" s="0" t="n">
        <f aca="false">W_PH(R$2,$A12)</f>
        <v>1403.42633096245</v>
      </c>
      <c r="S12" s="0" t="n">
        <f aca="false">W_PH(S$2,$A12)</f>
        <v>1403.4299564484</v>
      </c>
      <c r="T12" s="0" t="n">
        <f aca="false">W_PH(T$2,$A12)</f>
        <v>1403.43358170659</v>
      </c>
      <c r="U12" s="0" t="n">
        <f aca="false">W_PH(U$2,$A12)</f>
        <v>1403.43720673706</v>
      </c>
      <c r="V12" s="0" t="n">
        <f aca="false">W_PH(V$2,$A12)</f>
        <v>1403.44083153984</v>
      </c>
      <c r="W12" s="0" t="n">
        <f aca="false">W_PH(W$2,$A12)</f>
        <v>1403.44445611495</v>
      </c>
      <c r="X12" s="0" t="n">
        <f aca="false">W_PH(X$2,$A12)</f>
        <v>1403.44808046243</v>
      </c>
      <c r="Y12" s="0" t="n">
        <f aca="false">W_PH(Y$2,$A12)</f>
        <v>1403.4843114238</v>
      </c>
      <c r="Z12" s="0" t="n">
        <f aca="false">W_PH(Z$2,$A12)</f>
        <v>1403.52051965409</v>
      </c>
      <c r="AA12" s="0" t="n">
        <f aca="false">W_PH(AA$2,$A12)</f>
        <v>1403.55670518244</v>
      </c>
      <c r="AB12" s="0" t="n">
        <f aca="false">W_PH(AB$2,$A12)</f>
        <v>1403.59286803776</v>
      </c>
      <c r="AC12" s="0" t="n">
        <f aca="false">W_PH(AC$2,$A12)</f>
        <v>1403.62900824871</v>
      </c>
      <c r="AD12" s="0" t="n">
        <f aca="false">W_PH(AD$2,$A12)</f>
        <v>1403.66512584367</v>
      </c>
      <c r="AE12" s="0" t="n">
        <f aca="false">W_PH(AE$2,$A12)</f>
        <v>1403.70122085078</v>
      </c>
      <c r="AF12" s="0" t="n">
        <f aca="false">W_PH(AF$2,$A12)</f>
        <v>1403.73729329793</v>
      </c>
      <c r="AG12" s="0" t="n">
        <f aca="false">W_PH(AG$2,$A12)</f>
        <v>1403.77334321271</v>
      </c>
      <c r="AH12" s="0" t="n">
        <f aca="false">W_PH(AH$2,$A12)</f>
        <v>2015</v>
      </c>
      <c r="AI12" s="0" t="n">
        <f aca="false">W_PH(AI$2,$A12)</f>
        <v>2015</v>
      </c>
      <c r="AJ12" s="0" t="n">
        <f aca="false">W_PH(AJ$2,$A12)</f>
        <v>2015</v>
      </c>
      <c r="AK12" s="0" t="n">
        <f aca="false">W_PH(AK$2,$A12)</f>
        <v>2015</v>
      </c>
      <c r="AL12" s="0" t="n">
        <f aca="false">W_PH(AL$2,$A12)</f>
        <v>2015</v>
      </c>
      <c r="AM12" s="0" t="n">
        <f aca="false">W_PH(AM$2,$A12)</f>
        <v>2015</v>
      </c>
      <c r="AN12" s="0" t="n">
        <f aca="false">W_PH(AN$2,$A12)</f>
        <v>2015</v>
      </c>
      <c r="AO12" s="0" t="n">
        <f aca="false">W_PH(AO$2,$A12)</f>
        <v>2015</v>
      </c>
      <c r="AP12" s="0" t="n">
        <f aca="false">W_PH(AP$2,$A12)</f>
        <v>2015</v>
      </c>
      <c r="AQ12" s="0" t="n">
        <f aca="false">W_PH(AQ$2,$A12)</f>
        <v>2015</v>
      </c>
      <c r="AR12" s="0" t="n">
        <f aca="false">W_PH(AR$2,$A12)</f>
        <v>2015</v>
      </c>
      <c r="AS12" s="0" t="n">
        <f aca="false">W_PH(AS$2,$A12)</f>
        <v>2015</v>
      </c>
    </row>
    <row r="13" customFormat="false" ht="13.8" hidden="false" customHeight="false" outlineLevel="0" collapsed="false">
      <c r="A13" s="0" t="n">
        <v>2</v>
      </c>
      <c r="B13" s="0" t="n">
        <f aca="false">W_PH(B$2,$A13)</f>
        <v>2015</v>
      </c>
      <c r="C13" s="0" t="n">
        <f aca="false">W_PH(C$2,$A13)</f>
        <v>1404.59434782201</v>
      </c>
      <c r="D13" s="0" t="n">
        <f aca="false">W_PH(D$2,$A13)</f>
        <v>1404.59438480986</v>
      </c>
      <c r="E13" s="0" t="n">
        <f aca="false">W_PH(E$2,$A13)</f>
        <v>1404.59442179769</v>
      </c>
      <c r="F13" s="0" t="n">
        <f aca="false">W_PH(F$2,$A13)</f>
        <v>1404.59445878551</v>
      </c>
      <c r="G13" s="0" t="n">
        <f aca="false">W_PH(G$2,$A13)</f>
        <v>1404.59482866236</v>
      </c>
      <c r="H13" s="0" t="n">
        <f aca="false">W_PH(H$2,$A13)</f>
        <v>1404.59519853695</v>
      </c>
      <c r="I13" s="0" t="n">
        <f aca="false">W_PH(I$2,$A13)</f>
        <v>1404.59556840928</v>
      </c>
      <c r="J13" s="0" t="n">
        <f aca="false">W_PH(J$2,$A13)</f>
        <v>1404.59593827934</v>
      </c>
      <c r="K13" s="0" t="n">
        <f aca="false">W_PH(K$2,$A13)</f>
        <v>1404.59630814714</v>
      </c>
      <c r="L13" s="0" t="n">
        <f aca="false">W_PH(L$2,$A13)</f>
        <v>1404.59667801268</v>
      </c>
      <c r="M13" s="0" t="n">
        <f aca="false">W_PH(M$2,$A13)</f>
        <v>1404.59704787595</v>
      </c>
      <c r="N13" s="0" t="n">
        <f aca="false">W_PH(N$2,$A13)</f>
        <v>1404.59741773695</v>
      </c>
      <c r="O13" s="0" t="n">
        <f aca="false">W_PH(O$2,$A13)</f>
        <v>1404.5977875957</v>
      </c>
      <c r="P13" s="0" t="n">
        <f aca="false">W_PH(P$2,$A13)</f>
        <v>1404.60148605861</v>
      </c>
      <c r="Q13" s="0" t="n">
        <f aca="false">W_PH(Q$2,$A13)</f>
        <v>1404.60518429517</v>
      </c>
      <c r="R13" s="0" t="n">
        <f aca="false">W_PH(R$2,$A13)</f>
        <v>1404.60888230538</v>
      </c>
      <c r="S13" s="0" t="n">
        <f aca="false">W_PH(S$2,$A13)</f>
        <v>1404.6125800893</v>
      </c>
      <c r="T13" s="0" t="n">
        <f aca="false">W_PH(T$2,$A13)</f>
        <v>1404.61627764694</v>
      </c>
      <c r="U13" s="0" t="n">
        <f aca="false">W_PH(U$2,$A13)</f>
        <v>1404.61997497833</v>
      </c>
      <c r="V13" s="0" t="n">
        <f aca="false">W_PH(V$2,$A13)</f>
        <v>1404.62367208352</v>
      </c>
      <c r="W13" s="0" t="n">
        <f aca="false">W_PH(W$2,$A13)</f>
        <v>1404.62736896252</v>
      </c>
      <c r="X13" s="0" t="n">
        <f aca="false">W_PH(X$2,$A13)</f>
        <v>1404.63106561538</v>
      </c>
      <c r="Y13" s="0" t="n">
        <f aca="false">W_PH(Y$2,$A13)</f>
        <v>1404.66801971233</v>
      </c>
      <c r="Z13" s="0" t="n">
        <f aca="false">W_PH(Z$2,$A13)</f>
        <v>1404.70495122762</v>
      </c>
      <c r="AA13" s="0" t="n">
        <f aca="false">W_PH(AA$2,$A13)</f>
        <v>1404.7418601914</v>
      </c>
      <c r="AB13" s="0" t="n">
        <f aca="false">W_PH(AB$2,$A13)</f>
        <v>1404.77874663355</v>
      </c>
      <c r="AC13" s="0" t="n">
        <f aca="false">W_PH(AC$2,$A13)</f>
        <v>1404.8156105837</v>
      </c>
      <c r="AD13" s="0" t="n">
        <f aca="false">W_PH(AD$2,$A13)</f>
        <v>1404.85245207125</v>
      </c>
      <c r="AE13" s="0" t="n">
        <f aca="false">W_PH(AE$2,$A13)</f>
        <v>1404.8892711253</v>
      </c>
      <c r="AF13" s="0" t="n">
        <f aca="false">W_PH(AF$2,$A13)</f>
        <v>1404.92606777475</v>
      </c>
      <c r="AG13" s="0" t="n">
        <f aca="false">W_PH(AG$2,$A13)</f>
        <v>1404.9628420482</v>
      </c>
      <c r="AH13" s="0" t="n">
        <f aca="false">W_PH(AH$2,$A13)</f>
        <v>1405.32936021604</v>
      </c>
      <c r="AI13" s="0" t="n">
        <f aca="false">W_PH(AI$2,$A13)</f>
        <v>2015</v>
      </c>
      <c r="AJ13" s="0" t="n">
        <f aca="false">W_PH(AJ$2,$A13)</f>
        <v>2015</v>
      </c>
      <c r="AK13" s="0" t="n">
        <f aca="false">W_PH(AK$2,$A13)</f>
        <v>2015</v>
      </c>
      <c r="AL13" s="0" t="n">
        <f aca="false">W_PH(AL$2,$A13)</f>
        <v>2015</v>
      </c>
      <c r="AM13" s="0" t="n">
        <f aca="false">W_PH(AM$2,$A13)</f>
        <v>2015</v>
      </c>
      <c r="AN13" s="0" t="n">
        <f aca="false">W_PH(AN$2,$A13)</f>
        <v>2015</v>
      </c>
      <c r="AO13" s="0" t="n">
        <f aca="false">W_PH(AO$2,$A13)</f>
        <v>2015</v>
      </c>
      <c r="AP13" s="0" t="n">
        <f aca="false">W_PH(AP$2,$A13)</f>
        <v>2015</v>
      </c>
      <c r="AQ13" s="0" t="n">
        <f aca="false">W_PH(AQ$2,$A13)</f>
        <v>2015</v>
      </c>
      <c r="AR13" s="0" t="n">
        <f aca="false">W_PH(AR$2,$A13)</f>
        <v>2015</v>
      </c>
      <c r="AS13" s="0" t="n">
        <f aca="false">W_PH(AS$2,$A13)</f>
        <v>2015</v>
      </c>
    </row>
    <row r="14" customFormat="false" ht="13.8" hidden="false" customHeight="false" outlineLevel="0" collapsed="false">
      <c r="A14" s="0" t="n">
        <v>3</v>
      </c>
      <c r="B14" s="0" t="n">
        <f aca="false">W_PH(B$2,$A14)</f>
        <v>2015</v>
      </c>
      <c r="C14" s="0" t="n">
        <f aca="false">W_PH(C$2,$A14)</f>
        <v>1405.77121067468</v>
      </c>
      <c r="D14" s="0" t="n">
        <f aca="false">W_PH(D$2,$A14)</f>
        <v>1405.77124838208</v>
      </c>
      <c r="E14" s="0" t="n">
        <f aca="false">W_PH(E$2,$A14)</f>
        <v>1405.77128608946</v>
      </c>
      <c r="F14" s="0" t="n">
        <f aca="false">W_PH(F$2,$A14)</f>
        <v>1405.77132379682</v>
      </c>
      <c r="G14" s="0" t="n">
        <f aca="false">W_PH(G$2,$A14)</f>
        <v>1405.77170086915</v>
      </c>
      <c r="H14" s="0" t="n">
        <f aca="false">W_PH(H$2,$A14)</f>
        <v>1405.77207793923</v>
      </c>
      <c r="I14" s="0" t="n">
        <f aca="false">W_PH(I$2,$A14)</f>
        <v>1405.77245500706</v>
      </c>
      <c r="J14" s="0" t="n">
        <f aca="false">W_PH(J$2,$A14)</f>
        <v>1405.77283207265</v>
      </c>
      <c r="K14" s="0" t="n">
        <f aca="false">W_PH(K$2,$A14)</f>
        <v>1405.77320913598</v>
      </c>
      <c r="L14" s="0" t="n">
        <f aca="false">W_PH(L$2,$A14)</f>
        <v>1405.77358619706</v>
      </c>
      <c r="M14" s="0" t="n">
        <f aca="false">W_PH(M$2,$A14)</f>
        <v>1405.77396325589</v>
      </c>
      <c r="N14" s="0" t="n">
        <f aca="false">W_PH(N$2,$A14)</f>
        <v>1405.77434031248</v>
      </c>
      <c r="O14" s="0" t="n">
        <f aca="false">W_PH(O$2,$A14)</f>
        <v>1405.77471736681</v>
      </c>
      <c r="P14" s="0" t="n">
        <f aca="false">W_PH(P$2,$A14)</f>
        <v>1405.7784877864</v>
      </c>
      <c r="Q14" s="0" t="n">
        <f aca="false">W_PH(Q$2,$A14)</f>
        <v>1405.78225798105</v>
      </c>
      <c r="R14" s="0" t="n">
        <f aca="false">W_PH(R$2,$A14)</f>
        <v>1405.78602795077</v>
      </c>
      <c r="S14" s="0" t="n">
        <f aca="false">W_PH(S$2,$A14)</f>
        <v>1405.7897976956</v>
      </c>
      <c r="T14" s="0" t="n">
        <f aca="false">W_PH(T$2,$A14)</f>
        <v>1405.79356721557</v>
      </c>
      <c r="U14" s="0" t="n">
        <f aca="false">W_PH(U$2,$A14)</f>
        <v>1405.79733651072</v>
      </c>
      <c r="V14" s="0" t="n">
        <f aca="false">W_PH(V$2,$A14)</f>
        <v>1405.80110558107</v>
      </c>
      <c r="W14" s="0" t="n">
        <f aca="false">W_PH(W$2,$A14)</f>
        <v>1405.80487442666</v>
      </c>
      <c r="X14" s="0" t="n">
        <f aca="false">W_PH(X$2,$A14)</f>
        <v>1405.80864304752</v>
      </c>
      <c r="Y14" s="0" t="n">
        <f aca="false">W_PH(Y$2,$A14)</f>
        <v>1405.84631690277</v>
      </c>
      <c r="Z14" s="0" t="n">
        <f aca="false">W_PH(Z$2,$A14)</f>
        <v>1405.88396831932</v>
      </c>
      <c r="AA14" s="0" t="n">
        <f aca="false">W_PH(AA$2,$A14)</f>
        <v>1405.92159732828</v>
      </c>
      <c r="AB14" s="0" t="n">
        <f aca="false">W_PH(AB$2,$A14)</f>
        <v>1405.95920396048</v>
      </c>
      <c r="AC14" s="0" t="n">
        <f aca="false">W_PH(AC$2,$A14)</f>
        <v>1405.99678824652</v>
      </c>
      <c r="AD14" s="0" t="n">
        <f aca="false">W_PH(AD$2,$A14)</f>
        <v>1406.03435021675</v>
      </c>
      <c r="AE14" s="0" t="n">
        <f aca="false">W_PH(AE$2,$A14)</f>
        <v>1406.07188990127</v>
      </c>
      <c r="AF14" s="0" t="n">
        <f aca="false">W_PH(AF$2,$A14)</f>
        <v>1406.10940732993</v>
      </c>
      <c r="AG14" s="0" t="n">
        <f aca="false">W_PH(AG$2,$A14)</f>
        <v>1406.14690253231</v>
      </c>
      <c r="AH14" s="0" t="n">
        <f aca="false">W_PH(AH$2,$A14)</f>
        <v>1406.52063844185</v>
      </c>
      <c r="AI14" s="0" t="n">
        <f aca="false">W_PH(AI$2,$A14)</f>
        <v>2015</v>
      </c>
      <c r="AJ14" s="0" t="n">
        <f aca="false">W_PH(AJ$2,$A14)</f>
        <v>2015</v>
      </c>
      <c r="AK14" s="0" t="n">
        <f aca="false">W_PH(AK$2,$A14)</f>
        <v>2015</v>
      </c>
      <c r="AL14" s="0" t="n">
        <f aca="false">W_PH(AL$2,$A14)</f>
        <v>2015</v>
      </c>
      <c r="AM14" s="0" t="n">
        <f aca="false">W_PH(AM$2,$A14)</f>
        <v>2015</v>
      </c>
      <c r="AN14" s="0" t="n">
        <f aca="false">W_PH(AN$2,$A14)</f>
        <v>2015</v>
      </c>
      <c r="AO14" s="0" t="n">
        <f aca="false">W_PH(AO$2,$A14)</f>
        <v>2015</v>
      </c>
      <c r="AP14" s="0" t="n">
        <f aca="false">W_PH(AP$2,$A14)</f>
        <v>2015</v>
      </c>
      <c r="AQ14" s="0" t="n">
        <f aca="false">W_PH(AQ$2,$A14)</f>
        <v>2015</v>
      </c>
      <c r="AR14" s="0" t="n">
        <f aca="false">W_PH(AR$2,$A14)</f>
        <v>2015</v>
      </c>
      <c r="AS14" s="0" t="n">
        <f aca="false">W_PH(AS$2,$A14)</f>
        <v>2015</v>
      </c>
    </row>
    <row r="15" customFormat="false" ht="13.8" hidden="false" customHeight="false" outlineLevel="0" collapsed="false">
      <c r="A15" s="0" t="n">
        <v>4</v>
      </c>
      <c r="B15" s="0" t="n">
        <f aca="false">W_PH(B$2,$A15)</f>
        <v>2015</v>
      </c>
      <c r="C15" s="0" t="n">
        <f aca="false">W_PH(C$2,$A15)</f>
        <v>1406.94266145477</v>
      </c>
      <c r="D15" s="0" t="n">
        <f aca="false">W_PH(D$2,$A15)</f>
        <v>1406.94269987836</v>
      </c>
      <c r="E15" s="0" t="n">
        <f aca="false">W_PH(E$2,$A15)</f>
        <v>1406.94273830193</v>
      </c>
      <c r="F15" s="0" t="n">
        <f aca="false">W_PH(F$2,$A15)</f>
        <v>1406.94277672548</v>
      </c>
      <c r="G15" s="0" t="n">
        <f aca="false">W_PH(G$2,$A15)</f>
        <v>1406.94316095974</v>
      </c>
      <c r="H15" s="0" t="n">
        <f aca="false">W_PH(H$2,$A15)</f>
        <v>1406.94354519176</v>
      </c>
      <c r="I15" s="0" t="n">
        <f aca="false">W_PH(I$2,$A15)</f>
        <v>1406.94392942155</v>
      </c>
      <c r="J15" s="0" t="n">
        <f aca="false">W_PH(J$2,$A15)</f>
        <v>1406.9443136491</v>
      </c>
      <c r="K15" s="0" t="n">
        <f aca="false">W_PH(K$2,$A15)</f>
        <v>1406.94469787442</v>
      </c>
      <c r="L15" s="0" t="n">
        <f aca="false">W_PH(L$2,$A15)</f>
        <v>1406.94508209749</v>
      </c>
      <c r="M15" s="0" t="n">
        <f aca="false">W_PH(M$2,$A15)</f>
        <v>1406.94546631834</v>
      </c>
      <c r="N15" s="0" t="n">
        <f aca="false">W_PH(N$2,$A15)</f>
        <v>1406.94585053694</v>
      </c>
      <c r="O15" s="0" t="n">
        <f aca="false">W_PH(O$2,$A15)</f>
        <v>1406.94623475331</v>
      </c>
      <c r="P15" s="0" t="n">
        <f aca="false">W_PH(P$2,$A15)</f>
        <v>1406.950076794</v>
      </c>
      <c r="Q15" s="0" t="n">
        <f aca="false">W_PH(Q$2,$A15)</f>
        <v>1406.95391861109</v>
      </c>
      <c r="R15" s="0" t="n">
        <f aca="false">W_PH(R$2,$A15)</f>
        <v>1406.95776020461</v>
      </c>
      <c r="S15" s="0" t="n">
        <f aca="false">W_PH(S$2,$A15)</f>
        <v>1406.96160157459</v>
      </c>
      <c r="T15" s="0" t="n">
        <f aca="false">W_PH(T$2,$A15)</f>
        <v>1406.96544272106</v>
      </c>
      <c r="U15" s="0" t="n">
        <f aca="false">W_PH(U$2,$A15)</f>
        <v>1406.96928364406</v>
      </c>
      <c r="V15" s="0" t="n">
        <f aca="false">W_PH(V$2,$A15)</f>
        <v>1406.97312434362</v>
      </c>
      <c r="W15" s="0" t="n">
        <f aca="false">W_PH(W$2,$A15)</f>
        <v>1406.97696481977</v>
      </c>
      <c r="X15" s="0" t="n">
        <f aca="false">W_PH(X$2,$A15)</f>
        <v>1406.98080507254</v>
      </c>
      <c r="Y15" s="0" t="n">
        <f aca="false">W_PH(Y$2,$A15)</f>
        <v>1407.01919532171</v>
      </c>
      <c r="Z15" s="0" t="n">
        <f aca="false">W_PH(Z$2,$A15)</f>
        <v>1407.05756326875</v>
      </c>
      <c r="AA15" s="0" t="n">
        <f aca="false">W_PH(AA$2,$A15)</f>
        <v>1407.0959089457</v>
      </c>
      <c r="AB15" s="0" t="n">
        <f aca="false">W_PH(AB$2,$A15)</f>
        <v>1407.13423238433</v>
      </c>
      <c r="AC15" s="0" t="n">
        <f aca="false">W_PH(AC$2,$A15)</f>
        <v>1407.17253361618</v>
      </c>
      <c r="AD15" s="0" t="n">
        <f aca="false">W_PH(AD$2,$A15)</f>
        <v>1407.21081267255</v>
      </c>
      <c r="AE15" s="0" t="n">
        <f aca="false">W_PH(AE$2,$A15)</f>
        <v>1407.24906958448</v>
      </c>
      <c r="AF15" s="0" t="n">
        <f aca="false">W_PH(AF$2,$A15)</f>
        <v>1407.28730438276</v>
      </c>
      <c r="AG15" s="0" t="n">
        <f aca="false">W_PH(AG$2,$A15)</f>
        <v>1407.32551709796</v>
      </c>
      <c r="AH15" s="0" t="n">
        <f aca="false">W_PH(AH$2,$A15)</f>
        <v>1407.70643622285</v>
      </c>
      <c r="AI15" s="0" t="n">
        <f aca="false">W_PH(AI$2,$A15)</f>
        <v>1408.08517878588</v>
      </c>
      <c r="AJ15" s="0" t="n">
        <f aca="false">W_PH(AJ$2,$A15)</f>
        <v>2015</v>
      </c>
      <c r="AK15" s="0" t="n">
        <f aca="false">W_PH(AK$2,$A15)</f>
        <v>2015</v>
      </c>
      <c r="AL15" s="0" t="n">
        <f aca="false">W_PH(AL$2,$A15)</f>
        <v>2015</v>
      </c>
      <c r="AM15" s="0" t="n">
        <f aca="false">W_PH(AM$2,$A15)</f>
        <v>2015</v>
      </c>
      <c r="AN15" s="0" t="n">
        <f aca="false">W_PH(AN$2,$A15)</f>
        <v>2015</v>
      </c>
      <c r="AO15" s="0" t="n">
        <f aca="false">W_PH(AO$2,$A15)</f>
        <v>2015</v>
      </c>
      <c r="AP15" s="0" t="n">
        <f aca="false">W_PH(AP$2,$A15)</f>
        <v>2015</v>
      </c>
      <c r="AQ15" s="0" t="n">
        <f aca="false">W_PH(AQ$2,$A15)</f>
        <v>2015</v>
      </c>
      <c r="AR15" s="0" t="n">
        <f aca="false">W_PH(AR$2,$A15)</f>
        <v>2015</v>
      </c>
      <c r="AS15" s="0" t="n">
        <f aca="false">W_PH(AS$2,$A15)</f>
        <v>2015</v>
      </c>
    </row>
    <row r="16" customFormat="false" ht="13.8" hidden="false" customHeight="false" outlineLevel="0" collapsed="false">
      <c r="A16" s="0" t="n">
        <v>5</v>
      </c>
      <c r="B16" s="0" t="n">
        <f aca="false">W_PH(B$2,$A16)</f>
        <v>2015</v>
      </c>
      <c r="C16" s="0" t="n">
        <f aca="false">W_PH(C$2,$A16)</f>
        <v>1408.10869325209</v>
      </c>
      <c r="D16" s="0" t="n">
        <f aca="false">W_PH(D$2,$A16)</f>
        <v>1408.10873238854</v>
      </c>
      <c r="E16" s="0" t="n">
        <f aca="false">W_PH(E$2,$A16)</f>
        <v>1408.10877152496</v>
      </c>
      <c r="F16" s="0" t="n">
        <f aca="false">W_PH(F$2,$A16)</f>
        <v>1408.10881066136</v>
      </c>
      <c r="G16" s="0" t="n">
        <f aca="false">W_PH(G$2,$A16)</f>
        <v>1408.10920202414</v>
      </c>
      <c r="H16" s="0" t="n">
        <f aca="false">W_PH(H$2,$A16)</f>
        <v>1408.10959338469</v>
      </c>
      <c r="I16" s="0" t="n">
        <f aca="false">W_PH(I$2,$A16)</f>
        <v>1408.10998474302</v>
      </c>
      <c r="J16" s="0" t="n">
        <f aca="false">W_PH(J$2,$A16)</f>
        <v>1408.11037609912</v>
      </c>
      <c r="K16" s="0" t="n">
        <f aca="false">W_PH(K$2,$A16)</f>
        <v>1408.110767453</v>
      </c>
      <c r="L16" s="0" t="n">
        <f aca="false">W_PH(L$2,$A16)</f>
        <v>1408.11115880466</v>
      </c>
      <c r="M16" s="0" t="n">
        <f aca="false">W_PH(M$2,$A16)</f>
        <v>1408.11155015409</v>
      </c>
      <c r="N16" s="0" t="n">
        <f aca="false">W_PH(N$2,$A16)</f>
        <v>1408.1119415013</v>
      </c>
      <c r="O16" s="0" t="n">
        <f aca="false">W_PH(O$2,$A16)</f>
        <v>1408.11233284629</v>
      </c>
      <c r="P16" s="0" t="n">
        <f aca="false">W_PH(P$2,$A16)</f>
        <v>1408.11624617386</v>
      </c>
      <c r="Q16" s="0" t="n">
        <f aca="false">W_PH(Q$2,$A16)</f>
        <v>1408.12015927912</v>
      </c>
      <c r="R16" s="0" t="n">
        <f aca="false">W_PH(R$2,$A16)</f>
        <v>1408.1240721621</v>
      </c>
      <c r="S16" s="0" t="n">
        <f aca="false">W_PH(S$2,$A16)</f>
        <v>1408.12798482282</v>
      </c>
      <c r="T16" s="0" t="n">
        <f aca="false">W_PH(T$2,$A16)</f>
        <v>1408.13189726133</v>
      </c>
      <c r="U16" s="0" t="n">
        <f aca="false">W_PH(U$2,$A16)</f>
        <v>1408.13580947765</v>
      </c>
      <c r="V16" s="0" t="n">
        <f aca="false">W_PH(V$2,$A16)</f>
        <v>1408.13972147183</v>
      </c>
      <c r="W16" s="0" t="n">
        <f aca="false">W_PH(W$2,$A16)</f>
        <v>1408.14363324388</v>
      </c>
      <c r="X16" s="0" t="n">
        <f aca="false">W_PH(X$2,$A16)</f>
        <v>1408.14754479385</v>
      </c>
      <c r="Y16" s="0" t="n">
        <f aca="false">W_PH(Y$2,$A16)</f>
        <v>1408.18664808631</v>
      </c>
      <c r="Z16" s="0" t="n">
        <f aca="false">W_PH(Z$2,$A16)</f>
        <v>1408.22572920691</v>
      </c>
      <c r="AA16" s="0" t="n">
        <f aca="false">W_PH(AA$2,$A16)</f>
        <v>1408.26478818859</v>
      </c>
      <c r="AB16" s="0" t="n">
        <f aca="false">W_PH(AB$2,$A16)</f>
        <v>1408.30382506405</v>
      </c>
      <c r="AC16" s="0" t="n">
        <f aca="false">W_PH(AC$2,$A16)</f>
        <v>1408.34283986575</v>
      </c>
      <c r="AD16" s="0" t="n">
        <f aca="false">W_PH(AD$2,$A16)</f>
        <v>1408.3818326259</v>
      </c>
      <c r="AE16" s="0" t="n">
        <f aca="false">W_PH(AE$2,$A16)</f>
        <v>1408.42080337647</v>
      </c>
      <c r="AF16" s="0" t="n">
        <f aca="false">W_PH(AF$2,$A16)</f>
        <v>1408.45975214918</v>
      </c>
      <c r="AG16" s="0" t="n">
        <f aca="false">W_PH(AG$2,$A16)</f>
        <v>1408.49867897553</v>
      </c>
      <c r="AH16" s="0" t="n">
        <f aca="false">W_PH(AH$2,$A16)</f>
        <v>1408.8867469393</v>
      </c>
      <c r="AI16" s="0" t="n">
        <f aca="false">W_PH(AI$2,$A16)</f>
        <v>1409.27265306509</v>
      </c>
      <c r="AJ16" s="0" t="n">
        <f aca="false">W_PH(AJ$2,$A16)</f>
        <v>1409.65642472746</v>
      </c>
      <c r="AK16" s="0" t="n">
        <f aca="false">W_PH(AK$2,$A16)</f>
        <v>2015</v>
      </c>
      <c r="AL16" s="0" t="n">
        <f aca="false">W_PH(AL$2,$A16)</f>
        <v>2015</v>
      </c>
      <c r="AM16" s="0" t="n">
        <f aca="false">W_PH(AM$2,$A16)</f>
        <v>2015</v>
      </c>
      <c r="AN16" s="0" t="n">
        <f aca="false">W_PH(AN$2,$A16)</f>
        <v>2015</v>
      </c>
      <c r="AO16" s="0" t="n">
        <f aca="false">W_PH(AO$2,$A16)</f>
        <v>2015</v>
      </c>
      <c r="AP16" s="0" t="n">
        <f aca="false">W_PH(AP$2,$A16)</f>
        <v>2015</v>
      </c>
      <c r="AQ16" s="0" t="n">
        <f aca="false">W_PH(AQ$2,$A16)</f>
        <v>2015</v>
      </c>
      <c r="AR16" s="0" t="n">
        <f aca="false">W_PH(AR$2,$A16)</f>
        <v>2015</v>
      </c>
      <c r="AS16" s="0" t="n">
        <f aca="false">W_PH(AS$2,$A16)</f>
        <v>2015</v>
      </c>
    </row>
    <row r="17" customFormat="false" ht="13.8" hidden="false" customHeight="false" outlineLevel="0" collapsed="false">
      <c r="A17" s="0" t="n">
        <v>6</v>
      </c>
      <c r="B17" s="0" t="n">
        <f aca="false">W_PH(B$2,$A17)</f>
        <v>2015</v>
      </c>
      <c r="C17" s="0" t="n">
        <f aca="false">W_PH(C$2,$A17)</f>
        <v>1409.26929992228</v>
      </c>
      <c r="D17" s="0" t="n">
        <f aca="false">W_PH(D$2,$A17)</f>
        <v>1409.26933976825</v>
      </c>
      <c r="E17" s="0" t="n">
        <f aca="false">W_PH(E$2,$A17)</f>
        <v>1409.2693796142</v>
      </c>
      <c r="F17" s="0" t="n">
        <f aca="false">W_PH(F$2,$A17)</f>
        <v>1409.26941946012</v>
      </c>
      <c r="G17" s="0" t="n">
        <f aca="false">W_PH(G$2,$A17)</f>
        <v>1409.26981791814</v>
      </c>
      <c r="H17" s="0" t="n">
        <f aca="false">W_PH(H$2,$A17)</f>
        <v>1409.27021637395</v>
      </c>
      <c r="I17" s="0" t="n">
        <f aca="false">W_PH(I$2,$A17)</f>
        <v>1409.27061482755</v>
      </c>
      <c r="J17" s="0" t="n">
        <f aca="false">W_PH(J$2,$A17)</f>
        <v>1409.27101327894</v>
      </c>
      <c r="K17" s="0" t="n">
        <f aca="false">W_PH(K$2,$A17)</f>
        <v>1409.27141172811</v>
      </c>
      <c r="L17" s="0" t="n">
        <f aca="false">W_PH(L$2,$A17)</f>
        <v>1409.27181017508</v>
      </c>
      <c r="M17" s="0" t="n">
        <f aca="false">W_PH(M$2,$A17)</f>
        <v>1409.27220861983</v>
      </c>
      <c r="N17" s="0" t="n">
        <f aca="false">W_PH(N$2,$A17)</f>
        <v>1409.27260706237</v>
      </c>
      <c r="O17" s="0" t="n">
        <f aca="false">W_PH(O$2,$A17)</f>
        <v>1409.2730055027</v>
      </c>
      <c r="P17" s="0" t="n">
        <f aca="false">W_PH(P$2,$A17)</f>
        <v>1409.27698978439</v>
      </c>
      <c r="Q17" s="0" t="n">
        <f aca="false">W_PH(Q$2,$A17)</f>
        <v>1409.28097384499</v>
      </c>
      <c r="R17" s="0" t="n">
        <f aca="false">W_PH(R$2,$A17)</f>
        <v>1409.28495768453</v>
      </c>
      <c r="S17" s="0" t="n">
        <f aca="false">W_PH(S$2,$A17)</f>
        <v>1409.28894130304</v>
      </c>
      <c r="T17" s="0" t="n">
        <f aca="false">W_PH(T$2,$A17)</f>
        <v>1409.29292470056</v>
      </c>
      <c r="U17" s="0" t="n">
        <f aca="false">W_PH(U$2,$A17)</f>
        <v>1409.29690787713</v>
      </c>
      <c r="V17" s="0" t="n">
        <f aca="false">W_PH(V$2,$A17)</f>
        <v>1409.30089083278</v>
      </c>
      <c r="W17" s="0" t="n">
        <f aca="false">W_PH(W$2,$A17)</f>
        <v>1409.30487356754</v>
      </c>
      <c r="X17" s="0" t="n">
        <f aca="false">W_PH(X$2,$A17)</f>
        <v>1409.30885608145</v>
      </c>
      <c r="Y17" s="0" t="n">
        <f aca="false">W_PH(Y$2,$A17)</f>
        <v>1409.34866908114</v>
      </c>
      <c r="Z17" s="0" t="n">
        <f aca="false">W_PH(Z$2,$A17)</f>
        <v>1409.38846003303</v>
      </c>
      <c r="AA17" s="0" t="n">
        <f aca="false">W_PH(AA$2,$A17)</f>
        <v>1409.42822897094</v>
      </c>
      <c r="AB17" s="0" t="n">
        <f aca="false">W_PH(AB$2,$A17)</f>
        <v>1409.46797592848</v>
      </c>
      <c r="AC17" s="0" t="n">
        <f aca="false">W_PH(AC$2,$A17)</f>
        <v>1409.50770093899</v>
      </c>
      <c r="AD17" s="0" t="n">
        <f aca="false">W_PH(AD$2,$A17)</f>
        <v>1409.54740403558</v>
      </c>
      <c r="AE17" s="0" t="n">
        <f aca="false">W_PH(AE$2,$A17)</f>
        <v>1409.58708525114</v>
      </c>
      <c r="AF17" s="0" t="n">
        <f aca="false">W_PH(AF$2,$A17)</f>
        <v>1409.62674461829</v>
      </c>
      <c r="AG17" s="0" t="n">
        <f aca="false">W_PH(AG$2,$A17)</f>
        <v>1409.66638216944</v>
      </c>
      <c r="AH17" s="0" t="n">
        <f aca="false">W_PH(AH$2,$A17)</f>
        <v>1410.0615647537</v>
      </c>
      <c r="AI17" s="0" t="n">
        <f aca="false">W_PH(AI$2,$A17)</f>
        <v>1410.45459956302</v>
      </c>
      <c r="AJ17" s="0" t="n">
        <f aca="false">W_PH(AJ$2,$A17)</f>
        <v>1410.84551494009</v>
      </c>
      <c r="AK17" s="0" t="n">
        <f aca="false">W_PH(AK$2,$A17)</f>
        <v>1411.23433670744</v>
      </c>
      <c r="AL17" s="0" t="n">
        <f aca="false">W_PH(AL$2,$A17)</f>
        <v>2015</v>
      </c>
      <c r="AM17" s="0" t="n">
        <f aca="false">W_PH(AM$2,$A17)</f>
        <v>2015</v>
      </c>
      <c r="AN17" s="0" t="n">
        <f aca="false">W_PH(AN$2,$A17)</f>
        <v>2015</v>
      </c>
      <c r="AO17" s="0" t="n">
        <f aca="false">W_PH(AO$2,$A17)</f>
        <v>2015</v>
      </c>
      <c r="AP17" s="0" t="n">
        <f aca="false">W_PH(AP$2,$A17)</f>
        <v>2015</v>
      </c>
      <c r="AQ17" s="0" t="n">
        <f aca="false">W_PH(AQ$2,$A17)</f>
        <v>2015</v>
      </c>
      <c r="AR17" s="0" t="n">
        <f aca="false">W_PH(AR$2,$A17)</f>
        <v>2015</v>
      </c>
      <c r="AS17" s="0" t="n">
        <f aca="false">W_PH(AS$2,$A17)</f>
        <v>2015</v>
      </c>
    </row>
    <row r="18" customFormat="false" ht="13.8" hidden="false" customHeight="false" outlineLevel="0" collapsed="false">
      <c r="A18" s="0" t="n">
        <v>7</v>
      </c>
      <c r="B18" s="0" t="n">
        <f aca="false">W_PH(B$2,$A18)</f>
        <v>2015</v>
      </c>
      <c r="C18" s="0" t="n">
        <f aca="false">W_PH(C$2,$A18)</f>
        <v>1410.42447606426</v>
      </c>
      <c r="D18" s="0" t="n">
        <f aca="false">W_PH(D$2,$A18)</f>
        <v>1410.42451661644</v>
      </c>
      <c r="E18" s="0" t="n">
        <f aca="false">W_PH(E$2,$A18)</f>
        <v>1410.42455716859</v>
      </c>
      <c r="F18" s="0" t="n">
        <f aca="false">W_PH(F$2,$A18)</f>
        <v>1410.42459772073</v>
      </c>
      <c r="G18" s="0" t="n">
        <f aca="false">W_PH(G$2,$A18)</f>
        <v>1410.42500324088</v>
      </c>
      <c r="H18" s="0" t="n">
        <f aca="false">W_PH(H$2,$A18)</f>
        <v>1410.42540875883</v>
      </c>
      <c r="I18" s="0" t="n">
        <f aca="false">W_PH(I$2,$A18)</f>
        <v>1410.42581427458</v>
      </c>
      <c r="J18" s="0" t="n">
        <f aca="false">W_PH(J$2,$A18)</f>
        <v>1410.42621978814</v>
      </c>
      <c r="K18" s="0" t="n">
        <f aca="false">W_PH(K$2,$A18)</f>
        <v>1410.42662529949</v>
      </c>
      <c r="L18" s="0" t="n">
        <f aca="false">W_PH(L$2,$A18)</f>
        <v>1410.42703080864</v>
      </c>
      <c r="M18" s="0" t="n">
        <f aca="false">W_PH(M$2,$A18)</f>
        <v>1410.42743631559</v>
      </c>
      <c r="N18" s="0" t="n">
        <f aca="false">W_PH(N$2,$A18)</f>
        <v>1410.42784182034</v>
      </c>
      <c r="O18" s="0" t="n">
        <f aca="false">W_PH(O$2,$A18)</f>
        <v>1410.4282473229</v>
      </c>
      <c r="P18" s="0" t="n">
        <f aca="false">W_PH(P$2,$A18)</f>
        <v>1410.43230222745</v>
      </c>
      <c r="Q18" s="0" t="n">
        <f aca="false">W_PH(Q$2,$A18)</f>
        <v>1410.43635691208</v>
      </c>
      <c r="R18" s="0" t="n">
        <f aca="false">W_PH(R$2,$A18)</f>
        <v>1410.44041137681</v>
      </c>
      <c r="S18" s="0" t="n">
        <f aca="false">W_PH(S$2,$A18)</f>
        <v>1410.44446562169</v>
      </c>
      <c r="T18" s="0" t="n">
        <f aca="false">W_PH(T$2,$A18)</f>
        <v>1410.44851964674</v>
      </c>
      <c r="U18" s="0" t="n">
        <f aca="false">W_PH(U$2,$A18)</f>
        <v>1410.452573452</v>
      </c>
      <c r="V18" s="0" t="n">
        <f aca="false">W_PH(V$2,$A18)</f>
        <v>1410.45662703751</v>
      </c>
      <c r="W18" s="0" t="n">
        <f aca="false">W_PH(W$2,$A18)</f>
        <v>1410.4606804033</v>
      </c>
      <c r="X18" s="0" t="n">
        <f aca="false">W_PH(X$2,$A18)</f>
        <v>1410.46473354941</v>
      </c>
      <c r="Y18" s="0" t="n">
        <f aca="false">W_PH(Y$2,$A18)</f>
        <v>1410.50525293563</v>
      </c>
      <c r="Z18" s="0" t="n">
        <f aca="false">W_PH(Z$2,$A18)</f>
        <v>1410.54575039199</v>
      </c>
      <c r="AA18" s="0" t="n">
        <f aca="false">W_PH(AA$2,$A18)</f>
        <v>1410.58622595317</v>
      </c>
      <c r="AB18" s="0" t="n">
        <f aca="false">W_PH(AB$2,$A18)</f>
        <v>1410.62667965364</v>
      </c>
      <c r="AC18" s="0" t="n">
        <f aca="false">W_PH(AC$2,$A18)</f>
        <v>1410.66711152764</v>
      </c>
      <c r="AD18" s="0" t="n">
        <f aca="false">W_PH(AD$2,$A18)</f>
        <v>1410.70752160915</v>
      </c>
      <c r="AE18" s="0" t="n">
        <f aca="false">W_PH(AE$2,$A18)</f>
        <v>1410.74790993194</v>
      </c>
      <c r="AF18" s="0" t="n">
        <f aca="false">W_PH(AF$2,$A18)</f>
        <v>1410.78827652952</v>
      </c>
      <c r="AG18" s="0" t="n">
        <f aca="false">W_PH(AG$2,$A18)</f>
        <v>1410.82862143518</v>
      </c>
      <c r="AH18" s="0" t="n">
        <f aca="false">W_PH(AH$2,$A18)</f>
        <v>1411.23088458745</v>
      </c>
      <c r="AI18" s="0" t="n">
        <f aca="false">W_PH(AI$2,$A18)</f>
        <v>1411.63101337661</v>
      </c>
      <c r="AJ18" s="0" t="n">
        <f aca="false">W_PH(AJ$2,$A18)</f>
        <v>1412.02903709078</v>
      </c>
      <c r="AK18" s="0" t="n">
        <f aca="false">W_PH(AK$2,$A18)</f>
        <v>1412.42498253368</v>
      </c>
      <c r="AL18" s="0" t="n">
        <f aca="false">W_PH(AL$2,$A18)</f>
        <v>1412.8188739712</v>
      </c>
      <c r="AM18" s="0" t="n">
        <f aca="false">W_PH(AM$2,$A18)</f>
        <v>2015</v>
      </c>
      <c r="AN18" s="0" t="n">
        <f aca="false">W_PH(AN$2,$A18)</f>
        <v>2015</v>
      </c>
      <c r="AO18" s="0" t="n">
        <f aca="false">W_PH(AO$2,$A18)</f>
        <v>2015</v>
      </c>
      <c r="AP18" s="0" t="n">
        <f aca="false">W_PH(AP$2,$A18)</f>
        <v>2015</v>
      </c>
      <c r="AQ18" s="0" t="n">
        <f aca="false">W_PH(AQ$2,$A18)</f>
        <v>2015</v>
      </c>
      <c r="AR18" s="0" t="n">
        <f aca="false">W_PH(AR$2,$A18)</f>
        <v>2015</v>
      </c>
      <c r="AS18" s="0" t="n">
        <f aca="false">W_PH(AS$2,$A18)</f>
        <v>2015</v>
      </c>
    </row>
    <row r="19" customFormat="false" ht="13.8" hidden="false" customHeight="false" outlineLevel="0" collapsed="false">
      <c r="A19" s="0" t="n">
        <v>8</v>
      </c>
      <c r="B19" s="0" t="n">
        <f aca="false">W_PH(B$2,$A19)</f>
        <v>2015</v>
      </c>
      <c r="C19" s="0" t="n">
        <f aca="false">W_PH(C$2,$A19)</f>
        <v>1411.57421699835</v>
      </c>
      <c r="D19" s="0" t="n">
        <f aca="false">W_PH(D$2,$A19)</f>
        <v>1411.57425825345</v>
      </c>
      <c r="E19" s="0" t="n">
        <f aca="false">W_PH(E$2,$A19)</f>
        <v>1411.57429950853</v>
      </c>
      <c r="F19" s="0" t="n">
        <f aca="false">W_PH(F$2,$A19)</f>
        <v>1411.57434076358</v>
      </c>
      <c r="G19" s="0" t="n">
        <f aca="false">W_PH(G$2,$A19)</f>
        <v>1411.5747533129</v>
      </c>
      <c r="H19" s="0" t="n">
        <f aca="false">W_PH(H$2,$A19)</f>
        <v>1411.57516586004</v>
      </c>
      <c r="I19" s="0" t="n">
        <f aca="false">W_PH(I$2,$A19)</f>
        <v>1411.57557840498</v>
      </c>
      <c r="J19" s="0" t="n">
        <f aca="false">W_PH(J$2,$A19)</f>
        <v>1411.57599094774</v>
      </c>
      <c r="K19" s="0" t="n">
        <f aca="false">W_PH(K$2,$A19)</f>
        <v>1411.57640348831</v>
      </c>
      <c r="L19" s="0" t="n">
        <f aca="false">W_PH(L$2,$A19)</f>
        <v>1411.57681602669</v>
      </c>
      <c r="M19" s="0" t="n">
        <f aca="false">W_PH(M$2,$A19)</f>
        <v>1411.57722856288</v>
      </c>
      <c r="N19" s="0" t="n">
        <f aca="false">W_PH(N$2,$A19)</f>
        <v>1411.57764109688</v>
      </c>
      <c r="O19" s="0" t="n">
        <f aca="false">W_PH(O$2,$A19)</f>
        <v>1411.5780536287</v>
      </c>
      <c r="P19" s="0" t="n">
        <f aca="false">W_PH(P$2,$A19)</f>
        <v>1411.58217882647</v>
      </c>
      <c r="Q19" s="0" t="n">
        <f aca="false">W_PH(Q$2,$A19)</f>
        <v>1411.58630380542</v>
      </c>
      <c r="R19" s="0" t="n">
        <f aca="false">W_PH(R$2,$A19)</f>
        <v>1411.59042856558</v>
      </c>
      <c r="S19" s="0" t="n">
        <f aca="false">W_PH(S$2,$A19)</f>
        <v>1411.59455310698</v>
      </c>
      <c r="T19" s="0" t="n">
        <f aca="false">W_PH(T$2,$A19)</f>
        <v>1411.59867742967</v>
      </c>
      <c r="U19" s="0" t="n">
        <f aca="false">W_PH(U$2,$A19)</f>
        <v>1411.60280153368</v>
      </c>
      <c r="V19" s="0" t="n">
        <f aca="false">W_PH(V$2,$A19)</f>
        <v>1411.60692541904</v>
      </c>
      <c r="W19" s="0" t="n">
        <f aca="false">W_PH(W$2,$A19)</f>
        <v>1411.61104908579</v>
      </c>
      <c r="X19" s="0" t="n">
        <f aca="false">W_PH(X$2,$A19)</f>
        <v>1411.61517253397</v>
      </c>
      <c r="Y19" s="0" t="n">
        <f aca="false">W_PH(Y$2,$A19)</f>
        <v>1411.65639500211</v>
      </c>
      <c r="Z19" s="0" t="n">
        <f aca="false">W_PH(Z$2,$A19)</f>
        <v>1411.69759565228</v>
      </c>
      <c r="AA19" s="0" t="n">
        <f aca="false">W_PH(AA$2,$A19)</f>
        <v>1411.73877452002</v>
      </c>
      <c r="AB19" s="0" t="n">
        <f aca="false">W_PH(AB$2,$A19)</f>
        <v>1411.77993164065</v>
      </c>
      <c r="AC19" s="0" t="n">
        <f aca="false">W_PH(AC$2,$A19)</f>
        <v>1411.82106704926</v>
      </c>
      <c r="AD19" s="0" t="n">
        <f aca="false">W_PH(AD$2,$A19)</f>
        <v>1411.8621807807</v>
      </c>
      <c r="AE19" s="0" t="n">
        <f aca="false">W_PH(AE$2,$A19)</f>
        <v>1411.90327286959</v>
      </c>
      <c r="AF19" s="0" t="n">
        <f aca="false">W_PH(AF$2,$A19)</f>
        <v>1411.94434335031</v>
      </c>
      <c r="AG19" s="0" t="n">
        <f aca="false">W_PH(AG$2,$A19)</f>
        <v>1411.98539225702</v>
      </c>
      <c r="AH19" s="0" t="n">
        <f aca="false">W_PH(AH$2,$A19)</f>
        <v>1412.39470209809</v>
      </c>
      <c r="AI19" s="0" t="n">
        <f aca="false">W_PH(AI$2,$A19)</f>
        <v>1412.80189034637</v>
      </c>
      <c r="AJ19" s="0" t="n">
        <f aca="false">W_PH(AJ$2,$A19)</f>
        <v>1413.2069872131</v>
      </c>
      <c r="AK19" s="0" t="n">
        <f aca="false">W_PH(AK$2,$A19)</f>
        <v>1413.61002046003</v>
      </c>
      <c r="AL19" s="0" t="n">
        <f aca="false">W_PH(AL$2,$A19)</f>
        <v>1414.01101534741</v>
      </c>
      <c r="AM19" s="0" t="n">
        <f aca="false">W_PH(AM$2,$A19)</f>
        <v>1414.40999457962</v>
      </c>
      <c r="AN19" s="0" t="n">
        <f aca="false">W_PH(AN$2,$A19)</f>
        <v>2015</v>
      </c>
      <c r="AO19" s="0" t="n">
        <f aca="false">W_PH(AO$2,$A19)</f>
        <v>2015</v>
      </c>
      <c r="AP19" s="0" t="n">
        <f aca="false">W_PH(AP$2,$A19)</f>
        <v>2015</v>
      </c>
      <c r="AQ19" s="0" t="n">
        <f aca="false">W_PH(AQ$2,$A19)</f>
        <v>2015</v>
      </c>
      <c r="AR19" s="0" t="n">
        <f aca="false">W_PH(AR$2,$A19)</f>
        <v>2015</v>
      </c>
      <c r="AS19" s="0" t="n">
        <f aca="false">W_PH(AS$2,$A19)</f>
        <v>2015</v>
      </c>
    </row>
    <row r="20" customFormat="false" ht="13.8" hidden="false" customHeight="false" outlineLevel="0" collapsed="false">
      <c r="A20" s="0" t="n">
        <v>9</v>
      </c>
      <c r="B20" s="0" t="n">
        <f aca="false">W_PH(B$2,$A20)</f>
        <v>2015</v>
      </c>
      <c r="C20" s="0" t="n">
        <f aca="false">W_PH(C$2,$A20)</f>
        <v>2015</v>
      </c>
      <c r="D20" s="0" t="n">
        <f aca="false">W_PH(D$2,$A20)</f>
        <v>1412.7185606997</v>
      </c>
      <c r="E20" s="0" t="n">
        <f aca="false">W_PH(E$2,$A20)</f>
        <v>1412.71860265441</v>
      </c>
      <c r="F20" s="0" t="n">
        <f aca="false">W_PH(F$2,$A20)</f>
        <v>1412.7186446091</v>
      </c>
      <c r="G20" s="0" t="n">
        <f aca="false">W_PH(G$2,$A20)</f>
        <v>1412.71906415481</v>
      </c>
      <c r="H20" s="0" t="n">
        <f aca="false">W_PH(H$2,$A20)</f>
        <v>1412.71948369834</v>
      </c>
      <c r="I20" s="0" t="n">
        <f aca="false">W_PH(I$2,$A20)</f>
        <v>1412.71990323969</v>
      </c>
      <c r="J20" s="0" t="n">
        <f aca="false">W_PH(J$2,$A20)</f>
        <v>1412.72032277886</v>
      </c>
      <c r="K20" s="0" t="n">
        <f aca="false">W_PH(K$2,$A20)</f>
        <v>1412.72074231585</v>
      </c>
      <c r="L20" s="0" t="n">
        <f aca="false">W_PH(L$2,$A20)</f>
        <v>1412.72116185066</v>
      </c>
      <c r="M20" s="0" t="n">
        <f aca="false">W_PH(M$2,$A20)</f>
        <v>1412.7215813833</v>
      </c>
      <c r="N20" s="0" t="n">
        <f aca="false">W_PH(N$2,$A20)</f>
        <v>1412.72200091376</v>
      </c>
      <c r="O20" s="0" t="n">
        <f aca="false">W_PH(O$2,$A20)</f>
        <v>1412.72242044204</v>
      </c>
      <c r="P20" s="0" t="n">
        <f aca="false">W_PH(P$2,$A20)</f>
        <v>1412.72661560505</v>
      </c>
      <c r="Q20" s="0" t="n">
        <f aca="false">W_PH(Q$2,$A20)</f>
        <v>1412.73081055027</v>
      </c>
      <c r="R20" s="0" t="n">
        <f aca="false">W_PH(R$2,$A20)</f>
        <v>1412.73500527775</v>
      </c>
      <c r="S20" s="0" t="n">
        <f aca="false">W_PH(S$2,$A20)</f>
        <v>1412.73919978753</v>
      </c>
      <c r="T20" s="0" t="n">
        <f aca="false">W_PH(T$2,$A20)</f>
        <v>1412.74339407963</v>
      </c>
      <c r="U20" s="0" t="n">
        <f aca="false">W_PH(U$2,$A20)</f>
        <v>1412.7475881541</v>
      </c>
      <c r="V20" s="0" t="n">
        <f aca="false">W_PH(V$2,$A20)</f>
        <v>1412.75178201098</v>
      </c>
      <c r="W20" s="0" t="n">
        <f aca="false">W_PH(W$2,$A20)</f>
        <v>1412.75597565029</v>
      </c>
      <c r="X20" s="0" t="n">
        <f aca="false">W_PH(X$2,$A20)</f>
        <v>1412.76016907209</v>
      </c>
      <c r="Y20" s="0" t="n">
        <f aca="false">W_PH(Y$2,$A20)</f>
        <v>1412.80209133432</v>
      </c>
      <c r="Z20" s="0" t="n">
        <f aca="false">W_PH(Z$2,$A20)</f>
        <v>1412.84399188453</v>
      </c>
      <c r="AA20" s="0" t="n">
        <f aca="false">W_PH(AA$2,$A20)</f>
        <v>1412.88587075909</v>
      </c>
      <c r="AB20" s="0" t="n">
        <f aca="false">W_PH(AB$2,$A20)</f>
        <v>1412.92772799416</v>
      </c>
      <c r="AC20" s="0" t="n">
        <f aca="false">W_PH(AC$2,$A20)</f>
        <v>1412.96956362565</v>
      </c>
      <c r="AD20" s="0" t="n">
        <f aca="false">W_PH(AD$2,$A20)</f>
        <v>1413.01137768925</v>
      </c>
      <c r="AE20" s="0" t="n">
        <f aca="false">W_PH(AE$2,$A20)</f>
        <v>1413.05317022043</v>
      </c>
      <c r="AF20" s="0" t="n">
        <f aca="false">W_PH(AF$2,$A20)</f>
        <v>1413.09494125442</v>
      </c>
      <c r="AG20" s="0" t="n">
        <f aca="false">W_PH(AG$2,$A20)</f>
        <v>1413.13669082622</v>
      </c>
      <c r="AH20" s="0" t="n">
        <f aca="false">W_PH(AH$2,$A20)</f>
        <v>1413.55301365716</v>
      </c>
      <c r="AI20" s="0" t="n">
        <f aca="false">W_PH(AI$2,$A20)</f>
        <v>1413.96722703377</v>
      </c>
      <c r="AJ20" s="0" t="n">
        <f aca="false">W_PH(AJ$2,$A20)</f>
        <v>1414.37936206854</v>
      </c>
      <c r="AK20" s="0" t="n">
        <f aca="false">W_PH(AK$2,$A20)</f>
        <v>1414.78944745856</v>
      </c>
      <c r="AL20" s="0" t="n">
        <f aca="false">W_PH(AL$2,$A20)</f>
        <v>1415.19750943484</v>
      </c>
      <c r="AM20" s="0" t="n">
        <f aca="false">W_PH(AM$2,$A20)</f>
        <v>1415.60357170942</v>
      </c>
      <c r="AN20" s="0" t="n">
        <f aca="false">W_PH(AN$2,$A20)</f>
        <v>1416.00765541995</v>
      </c>
      <c r="AO20" s="0" t="n">
        <f aca="false">W_PH(AO$2,$A20)</f>
        <v>2015</v>
      </c>
      <c r="AP20" s="0" t="n">
        <f aca="false">W_PH(AP$2,$A20)</f>
        <v>2015</v>
      </c>
      <c r="AQ20" s="0" t="n">
        <f aca="false">W_PH(AQ$2,$A20)</f>
        <v>2015</v>
      </c>
      <c r="AR20" s="0" t="n">
        <f aca="false">W_PH(AR$2,$A20)</f>
        <v>2015</v>
      </c>
      <c r="AS20" s="0" t="n">
        <f aca="false">W_PH(AS$2,$A20)</f>
        <v>2015</v>
      </c>
    </row>
    <row r="21" customFormat="false" ht="13.8" hidden="false" customHeight="false" outlineLevel="0" collapsed="false">
      <c r="A21" s="0" t="n">
        <v>10</v>
      </c>
      <c r="B21" s="0" t="n">
        <f aca="false">W_PH(B$2,$A21)</f>
        <v>2015</v>
      </c>
      <c r="C21" s="0" t="n">
        <f aca="false">W_PH(C$2,$A21)</f>
        <v>2015</v>
      </c>
      <c r="D21" s="0" t="n">
        <f aca="false">W_PH(D$2,$A21)</f>
        <v>1413.85742065483</v>
      </c>
      <c r="E21" s="0" t="n">
        <f aca="false">W_PH(E$2,$A21)</f>
        <v>1413.85746330592</v>
      </c>
      <c r="F21" s="0" t="n">
        <f aca="false">W_PH(F$2,$A21)</f>
        <v>1413.85750595698</v>
      </c>
      <c r="G21" s="0" t="n">
        <f aca="false">W_PH(G$2,$A21)</f>
        <v>1413.85793246646</v>
      </c>
      <c r="H21" s="0" t="n">
        <f aca="false">W_PH(H$2,$A21)</f>
        <v>1413.85835897376</v>
      </c>
      <c r="I21" s="0" t="n">
        <f aca="false">W_PH(I$2,$A21)</f>
        <v>1413.85878547889</v>
      </c>
      <c r="J21" s="0" t="n">
        <f aca="false">W_PH(J$2,$A21)</f>
        <v>1413.85921198186</v>
      </c>
      <c r="K21" s="0" t="n">
        <f aca="false">W_PH(K$2,$A21)</f>
        <v>1413.85963848266</v>
      </c>
      <c r="L21" s="0" t="n">
        <f aca="false">W_PH(L$2,$A21)</f>
        <v>1413.86006498129</v>
      </c>
      <c r="M21" s="0" t="n">
        <f aca="false">W_PH(M$2,$A21)</f>
        <v>1413.86049147775</v>
      </c>
      <c r="N21" s="0" t="n">
        <f aca="false">W_PH(N$2,$A21)</f>
        <v>1413.86091797204</v>
      </c>
      <c r="O21" s="0" t="n">
        <f aca="false">W_PH(O$2,$A21)</f>
        <v>1413.86134446416</v>
      </c>
      <c r="P21" s="0" t="n">
        <f aca="false">W_PH(P$2,$A21)</f>
        <v>1413.86560926615</v>
      </c>
      <c r="Q21" s="0" t="n">
        <f aca="false">W_PH(Q$2,$A21)</f>
        <v>1413.86987385135</v>
      </c>
      <c r="R21" s="0" t="n">
        <f aca="false">W_PH(R$2,$A21)</f>
        <v>1413.87413821978</v>
      </c>
      <c r="S21" s="0" t="n">
        <f aca="false">W_PH(S$2,$A21)</f>
        <v>1413.8784023715</v>
      </c>
      <c r="T21" s="0" t="n">
        <f aca="false">W_PH(T$2,$A21)</f>
        <v>1413.88266630654</v>
      </c>
      <c r="U21" s="0" t="n">
        <f aca="false">W_PH(U$2,$A21)</f>
        <v>1413.88693002493</v>
      </c>
      <c r="V21" s="0" t="n">
        <f aca="false">W_PH(V$2,$A21)</f>
        <v>1413.89119352672</v>
      </c>
      <c r="W21" s="0" t="n">
        <f aca="false">W_PH(W$2,$A21)</f>
        <v>1413.89545681194</v>
      </c>
      <c r="X21" s="0" t="n">
        <f aca="false">W_PH(X$2,$A21)</f>
        <v>1413.89971988063</v>
      </c>
      <c r="Y21" s="0" t="n">
        <f aca="false">W_PH(Y$2,$A21)</f>
        <v>1413.94233866656</v>
      </c>
      <c r="Z21" s="0" t="n">
        <f aca="false">W_PH(Z$2,$A21)</f>
        <v>1413.98493584057</v>
      </c>
      <c r="AA21" s="0" t="n">
        <f aca="false">W_PH(AA$2,$A21)</f>
        <v>1414.02751143983</v>
      </c>
      <c r="AB21" s="0" t="n">
        <f aca="false">W_PH(AB$2,$A21)</f>
        <v>1414.07006550131</v>
      </c>
      <c r="AC21" s="0" t="n">
        <f aca="false">W_PH(AC$2,$A21)</f>
        <v>1414.11259806175</v>
      </c>
      <c r="AD21" s="0" t="n">
        <f aca="false">W_PH(AD$2,$A21)</f>
        <v>1414.15510915766</v>
      </c>
      <c r="AE21" s="0" t="n">
        <f aca="false">W_PH(AE$2,$A21)</f>
        <v>1414.19759882531</v>
      </c>
      <c r="AF21" s="0" t="n">
        <f aca="false">W_PH(AF$2,$A21)</f>
        <v>1414.24006710078</v>
      </c>
      <c r="AG21" s="0" t="n">
        <f aca="false">W_PH(AG$2,$A21)</f>
        <v>1414.28251401987</v>
      </c>
      <c r="AH21" s="0" t="n">
        <f aca="false">W_PH(AH$2,$A21)</f>
        <v>1414.70581632858</v>
      </c>
      <c r="AI21" s="0" t="n">
        <f aca="false">W_PH(AI$2,$A21)</f>
        <v>1415.12702069922</v>
      </c>
      <c r="AJ21" s="0" t="n">
        <f aca="false">W_PH(AJ$2,$A21)</f>
        <v>1415.54615912414</v>
      </c>
      <c r="AK21" s="0" t="n">
        <f aca="false">W_PH(AK$2,$A21)</f>
        <v>1415.96326121344</v>
      </c>
      <c r="AL21" s="0" t="n">
        <f aca="false">W_PH(AL$2,$A21)</f>
        <v>1416.37835414578</v>
      </c>
      <c r="AM21" s="0" t="n">
        <f aca="false">W_PH(AM$2,$A21)</f>
        <v>1416.79146261682</v>
      </c>
      <c r="AN21" s="0" t="n">
        <f aca="false">W_PH(AN$2,$A21)</f>
        <v>1417.20260878533</v>
      </c>
      <c r="AO21" s="0" t="n">
        <f aca="false">W_PH(AO$2,$A21)</f>
        <v>1417.6118122168</v>
      </c>
      <c r="AP21" s="0" t="n">
        <f aca="false">W_PH(AP$2,$A21)</f>
        <v>2015</v>
      </c>
      <c r="AQ21" s="0" t="n">
        <f aca="false">W_PH(AQ$2,$A21)</f>
        <v>2015</v>
      </c>
      <c r="AR21" s="0" t="n">
        <f aca="false">W_PH(AR$2,$A21)</f>
        <v>2015</v>
      </c>
      <c r="AS21" s="0" t="n">
        <f aca="false">W_PH(AS$2,$A21)</f>
        <v>2015</v>
      </c>
    </row>
    <row r="22" customFormat="false" ht="13.8" hidden="false" customHeight="false" outlineLevel="0" collapsed="false">
      <c r="A22" s="0" t="n">
        <v>20</v>
      </c>
      <c r="B22" s="0" t="n">
        <f aca="false">W_PH(B$2,$A22)</f>
        <v>2015</v>
      </c>
      <c r="C22" s="0" t="n">
        <f aca="false">W_PH(C$2,$A22)</f>
        <v>2015</v>
      </c>
      <c r="D22" s="0" t="n">
        <f aca="false">W_PH(D$2,$A22)</f>
        <v>2015</v>
      </c>
      <c r="E22" s="0" t="n">
        <f aca="false">W_PH(E$2,$A22)</f>
        <v>1424.94645310892</v>
      </c>
      <c r="F22" s="0" t="n">
        <f aca="false">W_PH(F$2,$A22)</f>
        <v>1424.94650254856</v>
      </c>
      <c r="G22" s="0" t="n">
        <f aca="false">W_PH(G$2,$A22)</f>
        <v>1424.9469969438</v>
      </c>
      <c r="H22" s="0" t="n">
        <f aca="false">W_PH(H$2,$A22)</f>
        <v>1424.94749133694</v>
      </c>
      <c r="I22" s="0" t="n">
        <f aca="false">W_PH(I$2,$A22)</f>
        <v>1424.94798572798</v>
      </c>
      <c r="J22" s="0" t="n">
        <f aca="false">W_PH(J$2,$A22)</f>
        <v>1424.94848011692</v>
      </c>
      <c r="K22" s="0" t="n">
        <f aca="false">W_PH(K$2,$A22)</f>
        <v>1424.94897450376</v>
      </c>
      <c r="L22" s="0" t="n">
        <f aca="false">W_PH(L$2,$A22)</f>
        <v>1424.9494688885</v>
      </c>
      <c r="M22" s="0" t="n">
        <f aca="false">W_PH(M$2,$A22)</f>
        <v>1424.94996327115</v>
      </c>
      <c r="N22" s="0" t="n">
        <f aca="false">W_PH(N$2,$A22)</f>
        <v>1424.95045765169</v>
      </c>
      <c r="O22" s="0" t="n">
        <f aca="false">W_PH(O$2,$A22)</f>
        <v>1424.95095203013</v>
      </c>
      <c r="P22" s="0" t="n">
        <f aca="false">W_PH(P$2,$A22)</f>
        <v>1424.95589569906</v>
      </c>
      <c r="Q22" s="0" t="n">
        <f aca="false">W_PH(Q$2,$A22)</f>
        <v>1424.96083915805</v>
      </c>
      <c r="R22" s="0" t="n">
        <f aca="false">W_PH(R$2,$A22)</f>
        <v>1424.96578240715</v>
      </c>
      <c r="S22" s="0" t="n">
        <f aca="false">W_PH(S$2,$A22)</f>
        <v>1424.97072544641</v>
      </c>
      <c r="T22" s="0" t="n">
        <f aca="false">W_PH(T$2,$A22)</f>
        <v>1424.97566827586</v>
      </c>
      <c r="U22" s="0" t="n">
        <f aca="false">W_PH(U$2,$A22)</f>
        <v>1424.98061089555</v>
      </c>
      <c r="V22" s="0" t="n">
        <f aca="false">W_PH(V$2,$A22)</f>
        <v>1424.98555330553</v>
      </c>
      <c r="W22" s="0" t="n">
        <f aca="false">W_PH(W$2,$A22)</f>
        <v>1424.99049550584</v>
      </c>
      <c r="X22" s="0" t="n">
        <f aca="false">W_PH(X$2,$A22)</f>
        <v>1424.99543749653</v>
      </c>
      <c r="Y22" s="0" t="n">
        <f aca="false">W_PH(Y$2,$A22)</f>
        <v>1425.0448458839</v>
      </c>
      <c r="Z22" s="0" t="n">
        <f aca="false">W_PH(Z$2,$A22)</f>
        <v>1425.0942333578</v>
      </c>
      <c r="AA22" s="0" t="n">
        <f aca="false">W_PH(AA$2,$A22)</f>
        <v>1425.14359996253</v>
      </c>
      <c r="AB22" s="0" t="n">
        <f aca="false">W_PH(AB$2,$A22)</f>
        <v>1425.19294574219</v>
      </c>
      <c r="AC22" s="0" t="n">
        <f aca="false">W_PH(AC$2,$A22)</f>
        <v>1425.24227074067</v>
      </c>
      <c r="AD22" s="0" t="n">
        <f aca="false">W_PH(AD$2,$A22)</f>
        <v>1425.29157500165</v>
      </c>
      <c r="AE22" s="0" t="n">
        <f aca="false">W_PH(AE$2,$A22)</f>
        <v>1425.34085856863</v>
      </c>
      <c r="AF22" s="0" t="n">
        <f aca="false">W_PH(AF$2,$A22)</f>
        <v>1425.3901214849</v>
      </c>
      <c r="AG22" s="0" t="n">
        <f aca="false">W_PH(AG$2,$A22)</f>
        <v>1425.43936379354</v>
      </c>
      <c r="AH22" s="0" t="n">
        <f aca="false">W_PH(AH$2,$A22)</f>
        <v>1425.93066279419</v>
      </c>
      <c r="AI22" s="0" t="n">
        <f aca="false">W_PH(AI$2,$A22)</f>
        <v>1426.41994691433</v>
      </c>
      <c r="AJ22" s="0" t="n">
        <f aca="false">W_PH(AJ$2,$A22)</f>
        <v>1426.90725585605</v>
      </c>
      <c r="AK22" s="0" t="n">
        <f aca="false">W_PH(AK$2,$A22)</f>
        <v>1427.39262722785</v>
      </c>
      <c r="AL22" s="0" t="n">
        <f aca="false">W_PH(AL$2,$A22)</f>
        <v>1427.87609650816</v>
      </c>
      <c r="AM22" s="0" t="n">
        <f aca="false">W_PH(AM$2,$A22)</f>
        <v>1428.35769700682</v>
      </c>
      <c r="AN22" s="0" t="n">
        <f aca="false">W_PH(AN$2,$A22)</f>
        <v>1428.83745982448</v>
      </c>
      <c r="AO22" s="0" t="n">
        <f aca="false">W_PH(AO$2,$A22)</f>
        <v>1429.31541380986</v>
      </c>
      <c r="AP22" s="0" t="n">
        <f aca="false">W_PH(AP$2,$A22)</f>
        <v>1429.79158551491</v>
      </c>
      <c r="AQ22" s="0" t="n">
        <f aca="false">W_PH(AQ$2,$A22)</f>
        <v>2015</v>
      </c>
      <c r="AR22" s="0" t="n">
        <f aca="false">W_PH(AR$2,$A22)</f>
        <v>2015</v>
      </c>
      <c r="AS22" s="0" t="n">
        <f aca="false">W_PH(AS$2,$A22)</f>
        <v>2015</v>
      </c>
    </row>
    <row r="23" customFormat="false" ht="13.8" hidden="false" customHeight="false" outlineLevel="0" collapsed="false">
      <c r="A23" s="0" t="n">
        <v>30</v>
      </c>
      <c r="B23" s="0" t="n">
        <f aca="false">W_PH(B$2,$A23)</f>
        <v>2015</v>
      </c>
      <c r="C23" s="0" t="n">
        <f aca="false">W_PH(C$2,$A23)</f>
        <v>2015</v>
      </c>
      <c r="D23" s="0" t="n">
        <f aca="false">W_PH(D$2,$A23)</f>
        <v>2015</v>
      </c>
      <c r="E23" s="0" t="n">
        <f aca="false">W_PH(E$2,$A23)</f>
        <v>2015</v>
      </c>
      <c r="F23" s="0" t="n">
        <f aca="false">W_PH(F$2,$A23)</f>
        <v>1435.49194380604</v>
      </c>
      <c r="G23" s="0" t="n">
        <f aca="false">W_PH(G$2,$A23)</f>
        <v>1435.49250305174</v>
      </c>
      <c r="H23" s="0" t="n">
        <f aca="false">W_PH(H$2,$A23)</f>
        <v>1435.49306229536</v>
      </c>
      <c r="I23" s="0" t="n">
        <f aca="false">W_PH(I$2,$A23)</f>
        <v>1435.4936215369</v>
      </c>
      <c r="J23" s="0" t="n">
        <f aca="false">W_PH(J$2,$A23)</f>
        <v>1435.49418077635</v>
      </c>
      <c r="K23" s="0" t="n">
        <f aca="false">W_PH(K$2,$A23)</f>
        <v>1435.49474001373</v>
      </c>
      <c r="L23" s="0" t="n">
        <f aca="false">W_PH(L$2,$A23)</f>
        <v>1435.49529924903</v>
      </c>
      <c r="M23" s="0" t="n">
        <f aca="false">W_PH(M$2,$A23)</f>
        <v>1435.49585848224</v>
      </c>
      <c r="N23" s="0" t="n">
        <f aca="false">W_PH(N$2,$A23)</f>
        <v>1435.49641771338</v>
      </c>
      <c r="O23" s="0" t="n">
        <f aca="false">W_PH(O$2,$A23)</f>
        <v>1435.49697694244</v>
      </c>
      <c r="P23" s="0" t="n">
        <f aca="false">W_PH(P$2,$A23)</f>
        <v>1435.50256911862</v>
      </c>
      <c r="Q23" s="0" t="n">
        <f aca="false">W_PH(Q$2,$A23)</f>
        <v>1435.50816108687</v>
      </c>
      <c r="R23" s="0" t="n">
        <f aca="false">W_PH(R$2,$A23)</f>
        <v>1435.51375284722</v>
      </c>
      <c r="S23" s="0" t="n">
        <f aca="false">W_PH(S$2,$A23)</f>
        <v>1435.51934439973</v>
      </c>
      <c r="T23" s="0" t="n">
        <f aca="false">W_PH(T$2,$A23)</f>
        <v>1435.52493574446</v>
      </c>
      <c r="U23" s="0" t="n">
        <f aca="false">W_PH(U$2,$A23)</f>
        <v>1435.53052688144</v>
      </c>
      <c r="V23" s="0" t="n">
        <f aca="false">W_PH(V$2,$A23)</f>
        <v>1435.53611781074</v>
      </c>
      <c r="W23" s="0" t="n">
        <f aca="false">W_PH(W$2,$A23)</f>
        <v>1435.5417085324</v>
      </c>
      <c r="X23" s="0" t="n">
        <f aca="false">W_PH(X$2,$A23)</f>
        <v>1435.54729904646</v>
      </c>
      <c r="Y23" s="0" t="n">
        <f aca="false">W_PH(Y$2,$A23)</f>
        <v>1435.60319278077</v>
      </c>
      <c r="Z23" s="0" t="n">
        <f aca="false">W_PH(Z$2,$A23)</f>
        <v>1435.6590658112</v>
      </c>
      <c r="AA23" s="0" t="n">
        <f aca="false">W_PH(AA$2,$A23)</f>
        <v>1435.71491818759</v>
      </c>
      <c r="AB23" s="0" t="n">
        <f aca="false">W_PH(AB$2,$A23)</f>
        <v>1435.77074995958</v>
      </c>
      <c r="AC23" s="0" t="n">
        <f aca="false">W_PH(AC$2,$A23)</f>
        <v>1435.82656117665</v>
      </c>
      <c r="AD23" s="0" t="n">
        <f aca="false">W_PH(AD$2,$A23)</f>
        <v>1435.88235188809</v>
      </c>
      <c r="AE23" s="0" t="n">
        <f aca="false">W_PH(AE$2,$A23)</f>
        <v>1435.93812214301</v>
      </c>
      <c r="AF23" s="0" t="n">
        <f aca="false">W_PH(AF$2,$A23)</f>
        <v>1435.99387199033</v>
      </c>
      <c r="AG23" s="0" t="n">
        <f aca="false">W_PH(AG$2,$A23)</f>
        <v>1436.0496014788</v>
      </c>
      <c r="AH23" s="0" t="n">
        <f aca="false">W_PH(AH$2,$A23)</f>
        <v>1436.60578721918</v>
      </c>
      <c r="AI23" s="0" t="n">
        <f aca="false">W_PH(AI$2,$A23)</f>
        <v>1437.15998932969</v>
      </c>
      <c r="AJ23" s="0" t="n">
        <f aca="false">W_PH(AJ$2,$A23)</f>
        <v>1437.71225351076</v>
      </c>
      <c r="AK23" s="0" t="n">
        <f aca="false">W_PH(AK$2,$A23)</f>
        <v>1438.26262358894</v>
      </c>
      <c r="AL23" s="0" t="n">
        <f aca="false">W_PH(AL$2,$A23)</f>
        <v>1438.81114149106</v>
      </c>
      <c r="AM23" s="0" t="n">
        <f aca="false">W_PH(AM$2,$A23)</f>
        <v>1439.35784721667</v>
      </c>
      <c r="AN23" s="0" t="n">
        <f aca="false">W_PH(AN$2,$A23)</f>
        <v>1439.90277880862</v>
      </c>
      <c r="AO23" s="0" t="n">
        <f aca="false">W_PH(AO$2,$A23)</f>
        <v>1440.44597232182</v>
      </c>
      <c r="AP23" s="0" t="n">
        <f aca="false">W_PH(AP$2,$A23)</f>
        <v>1440.98746179009</v>
      </c>
      <c r="AQ23" s="0" t="n">
        <f aca="false">W_PH(AQ$2,$A23)</f>
        <v>1446.31460020661</v>
      </c>
      <c r="AR23" s="0" t="n">
        <f aca="false">W_PH(AR$2,$A23)</f>
        <v>1447.39526420451</v>
      </c>
      <c r="AS23" s="0" t="n">
        <f aca="false">W_PH(AS$2,$A23)</f>
        <v>1447.88331598751</v>
      </c>
    </row>
    <row r="24" customFormat="false" ht="13.8" hidden="false" customHeight="false" outlineLevel="0" collapsed="false">
      <c r="A24" s="0" t="n">
        <v>40</v>
      </c>
      <c r="B24" s="0" t="n">
        <f aca="false">W_PH(B$2,$A24)</f>
        <v>2015</v>
      </c>
      <c r="C24" s="0" t="n">
        <f aca="false">W_PH(C$2,$A24)</f>
        <v>2015</v>
      </c>
      <c r="D24" s="0" t="n">
        <f aca="false">W_PH(D$2,$A24)</f>
        <v>2015</v>
      </c>
      <c r="E24" s="0" t="n">
        <f aca="false">W_PH(E$2,$A24)</f>
        <v>2015</v>
      </c>
      <c r="F24" s="0" t="n">
        <f aca="false">W_PH(F$2,$A24)</f>
        <v>2015</v>
      </c>
      <c r="G24" s="0" t="n">
        <f aca="false">W_PH(G$2,$A24)</f>
        <v>1445.49961993515</v>
      </c>
      <c r="H24" s="0" t="n">
        <f aca="false">W_PH(H$2,$A24)</f>
        <v>1445.50024122805</v>
      </c>
      <c r="I24" s="0" t="n">
        <f aca="false">W_PH(I$2,$A24)</f>
        <v>1445.50086251884</v>
      </c>
      <c r="J24" s="0" t="n">
        <f aca="false">W_PH(J$2,$A24)</f>
        <v>1445.50148380754</v>
      </c>
      <c r="K24" s="0" t="n">
        <f aca="false">W_PH(K$2,$A24)</f>
        <v>1445.50210509414</v>
      </c>
      <c r="L24" s="0" t="n">
        <f aca="false">W_PH(L$2,$A24)</f>
        <v>1445.50272637864</v>
      </c>
      <c r="M24" s="0" t="n">
        <f aca="false">W_PH(M$2,$A24)</f>
        <v>1445.50334766103</v>
      </c>
      <c r="N24" s="0" t="n">
        <f aca="false">W_PH(N$2,$A24)</f>
        <v>1445.50396894133</v>
      </c>
      <c r="O24" s="0" t="n">
        <f aca="false">W_PH(O$2,$A24)</f>
        <v>1445.50459021953</v>
      </c>
      <c r="P24" s="0" t="n">
        <f aca="false">W_PH(P$2,$A24)</f>
        <v>1445.51080288597</v>
      </c>
      <c r="Q24" s="0" t="n">
        <f aca="false">W_PH(Q$2,$A24)</f>
        <v>1445.51701534243</v>
      </c>
      <c r="R24" s="0" t="n">
        <f aca="false">W_PH(R$2,$A24)</f>
        <v>1445.52322758896</v>
      </c>
      <c r="S24" s="0" t="n">
        <f aca="false">W_PH(S$2,$A24)</f>
        <v>1445.52943962561</v>
      </c>
      <c r="T24" s="0" t="n">
        <f aca="false">W_PH(T$2,$A24)</f>
        <v>1445.53565145245</v>
      </c>
      <c r="U24" s="0" t="n">
        <f aca="false">W_PH(U$2,$A24)</f>
        <v>1445.54186306952</v>
      </c>
      <c r="V24" s="0" t="n">
        <f aca="false">W_PH(V$2,$A24)</f>
        <v>1445.54807447687</v>
      </c>
      <c r="W24" s="0" t="n">
        <f aca="false">W_PH(W$2,$A24)</f>
        <v>1445.55428567457</v>
      </c>
      <c r="X24" s="0" t="n">
        <f aca="false">W_PH(X$2,$A24)</f>
        <v>1445.56049666267</v>
      </c>
      <c r="Y24" s="0" t="n">
        <f aca="false">W_PH(Y$2,$A24)</f>
        <v>1445.62259502745</v>
      </c>
      <c r="Z24" s="0" t="n">
        <f aca="false">W_PH(Z$2,$A24)</f>
        <v>1445.68467249169</v>
      </c>
      <c r="AA24" s="0" t="n">
        <f aca="false">W_PH(AA$2,$A24)</f>
        <v>1445.74672910952</v>
      </c>
      <c r="AB24" s="0" t="n">
        <f aca="false">W_PH(AB$2,$A24)</f>
        <v>1445.8087649349</v>
      </c>
      <c r="AC24" s="0" t="n">
        <f aca="false">W_PH(AC$2,$A24)</f>
        <v>1445.87078002163</v>
      </c>
      <c r="AD24" s="0" t="n">
        <f aca="false">W_PH(AD$2,$A24)</f>
        <v>1445.93277442333</v>
      </c>
      <c r="AE24" s="0" t="n">
        <f aca="false">W_PH(AE$2,$A24)</f>
        <v>1445.99474819348</v>
      </c>
      <c r="AF24" s="0" t="n">
        <f aca="false">W_PH(AF$2,$A24)</f>
        <v>1446.05670138536</v>
      </c>
      <c r="AG24" s="0" t="n">
        <f aca="false">W_PH(AG$2,$A24)</f>
        <v>1446.1186340521</v>
      </c>
      <c r="AH24" s="0" t="n">
        <f aca="false">W_PH(AH$2,$A24)</f>
        <v>1446.73684340405</v>
      </c>
      <c r="AI24" s="0" t="n">
        <f aca="false">W_PH(AI$2,$A24)</f>
        <v>1447.35305742792</v>
      </c>
      <c r="AJ24" s="0" t="n">
        <f aca="false">W_PH(AJ$2,$A24)</f>
        <v>1447.96732645658</v>
      </c>
      <c r="AK24" s="0" t="n">
        <f aca="false">W_PH(AK$2,$A24)</f>
        <v>1448.57969911154</v>
      </c>
      <c r="AL24" s="0" t="n">
        <f aca="false">W_PH(AL$2,$A24)</f>
        <v>1449.19022228618</v>
      </c>
      <c r="AM24" s="0" t="n">
        <f aca="false">W_PH(AM$2,$A24)</f>
        <v>1449.79894112747</v>
      </c>
      <c r="AN24" s="0" t="n">
        <f aca="false">W_PH(AN$2,$A24)</f>
        <v>1450.40589901602</v>
      </c>
      <c r="AO24" s="0" t="n">
        <f aca="false">W_PH(AO$2,$A24)</f>
        <v>1451.01113754454</v>
      </c>
      <c r="AP24" s="0" t="n">
        <f aca="false">W_PH(AP$2,$A24)</f>
        <v>1451.61469649464</v>
      </c>
      <c r="AQ24" s="0" t="n">
        <f aca="false">W_PH(AQ$2,$A24)</f>
        <v>1457.56531108088</v>
      </c>
      <c r="AR24" s="0" t="n">
        <f aca="false">W_PH(AR$2,$A24)</f>
        <v>1458.77569212892</v>
      </c>
      <c r="AS24" s="0" t="n">
        <f aca="false">W_PH(AS$2,$A24)</f>
        <v>1459.32274287584</v>
      </c>
    </row>
    <row r="25" customFormat="false" ht="13.8" hidden="false" customHeight="false" outlineLevel="0" collapsed="false">
      <c r="A25" s="0" t="n">
        <v>50</v>
      </c>
      <c r="B25" s="0" t="n">
        <f aca="false">W_PH(B$2,$A25)</f>
        <v>2015</v>
      </c>
      <c r="C25" s="0" t="n">
        <f aca="false">W_PH(C$2,$A25)</f>
        <v>2015</v>
      </c>
      <c r="D25" s="0" t="n">
        <f aca="false">W_PH(D$2,$A25)</f>
        <v>2015</v>
      </c>
      <c r="E25" s="0" t="n">
        <f aca="false">W_PH(E$2,$A25)</f>
        <v>2015</v>
      </c>
      <c r="F25" s="0" t="n">
        <f aca="false">W_PH(F$2,$A25)</f>
        <v>2015</v>
      </c>
      <c r="G25" s="0" t="n">
        <f aca="false">W_PH(G$2,$A25)</f>
        <v>1454.97692140064</v>
      </c>
      <c r="H25" s="0" t="n">
        <f aca="false">W_PH(H$2,$A25)</f>
        <v>1454.97760218596</v>
      </c>
      <c r="I25" s="0" t="n">
        <f aca="false">W_PH(I$2,$A25)</f>
        <v>1454.97828296912</v>
      </c>
      <c r="J25" s="0" t="n">
        <f aca="false">W_PH(J$2,$A25)</f>
        <v>1454.97896375013</v>
      </c>
      <c r="K25" s="0" t="n">
        <f aca="false">W_PH(K$2,$A25)</f>
        <v>1454.97964452899</v>
      </c>
      <c r="L25" s="0" t="n">
        <f aca="false">W_PH(L$2,$A25)</f>
        <v>1454.98032530569</v>
      </c>
      <c r="M25" s="0" t="n">
        <f aca="false">W_PH(M$2,$A25)</f>
        <v>1454.98100608023</v>
      </c>
      <c r="N25" s="0" t="n">
        <f aca="false">W_PH(N$2,$A25)</f>
        <v>1454.98168685263</v>
      </c>
      <c r="O25" s="0" t="n">
        <f aca="false">W_PH(O$2,$A25)</f>
        <v>1454.98236762286</v>
      </c>
      <c r="P25" s="0" t="n">
        <f aca="false">W_PH(P$2,$A25)</f>
        <v>1454.9891752068</v>
      </c>
      <c r="Q25" s="0" t="n">
        <f aca="false">W_PH(Q$2,$A25)</f>
        <v>1454.99598257541</v>
      </c>
      <c r="R25" s="0" t="n">
        <f aca="false">W_PH(R$2,$A25)</f>
        <v>1455.00278972875</v>
      </c>
      <c r="S25" s="0" t="n">
        <f aca="false">W_PH(S$2,$A25)</f>
        <v>1455.00959666689</v>
      </c>
      <c r="T25" s="0" t="n">
        <f aca="false">W_PH(T$2,$A25)</f>
        <v>1455.01640338987</v>
      </c>
      <c r="U25" s="0" t="n">
        <f aca="false">W_PH(U$2,$A25)</f>
        <v>1455.02320989775</v>
      </c>
      <c r="V25" s="0" t="n">
        <f aca="false">W_PH(V$2,$A25)</f>
        <v>1455.0300161906</v>
      </c>
      <c r="W25" s="0" t="n">
        <f aca="false">W_PH(W$2,$A25)</f>
        <v>1455.03682226847</v>
      </c>
      <c r="X25" s="0" t="n">
        <f aca="false">W_PH(X$2,$A25)</f>
        <v>1455.04362813142</v>
      </c>
      <c r="Y25" s="0" t="n">
        <f aca="false">W_PH(Y$2,$A25)</f>
        <v>1455.11167495292</v>
      </c>
      <c r="Z25" s="0" t="n">
        <f aca="false">W_PH(Z$2,$A25)</f>
        <v>1455.17970034567</v>
      </c>
      <c r="AA25" s="0" t="n">
        <f aca="false">W_PH(AA$2,$A25)</f>
        <v>1455.24770436714</v>
      </c>
      <c r="AB25" s="0" t="n">
        <f aca="false">W_PH(AB$2,$A25)</f>
        <v>1455.31568707461</v>
      </c>
      <c r="AC25" s="0" t="n">
        <f aca="false">W_PH(AC$2,$A25)</f>
        <v>1455.38364852525</v>
      </c>
      <c r="AD25" s="0" t="n">
        <f aca="false">W_PH(AD$2,$A25)</f>
        <v>1455.45158877604</v>
      </c>
      <c r="AE25" s="0" t="n">
        <f aca="false">W_PH(AE$2,$A25)</f>
        <v>1455.51950788381</v>
      </c>
      <c r="AF25" s="0" t="n">
        <f aca="false">W_PH(AF$2,$A25)</f>
        <v>1455.58740590524</v>
      </c>
      <c r="AG25" s="0" t="n">
        <f aca="false">W_PH(AG$2,$A25)</f>
        <v>1455.65528289684</v>
      </c>
      <c r="AH25" s="0" t="n">
        <f aca="false">W_PH(AH$2,$A25)</f>
        <v>1456.33290849237</v>
      </c>
      <c r="AI25" s="0" t="n">
        <f aca="false">W_PH(AI$2,$A25)</f>
        <v>1457.00849209544</v>
      </c>
      <c r="AJ25" s="0" t="n">
        <f aca="false">W_PH(AJ$2,$A25)</f>
        <v>1457.68208760279</v>
      </c>
      <c r="AK25" s="0" t="n">
        <f aca="false">W_PH(AK$2,$A25)</f>
        <v>1458.35374731502</v>
      </c>
      <c r="AL25" s="0" t="n">
        <f aca="false">W_PH(AL$2,$A25)</f>
        <v>1459.02352192755</v>
      </c>
      <c r="AM25" s="0" t="n">
        <f aca="false">W_PH(AM$2,$A25)</f>
        <v>1459.69146052021</v>
      </c>
      <c r="AN25" s="0" t="n">
        <f aca="false">W_PH(AN$2,$A25)</f>
        <v>1460.35761054546</v>
      </c>
      <c r="AO25" s="0" t="n">
        <f aca="false">W_PH(AO$2,$A25)</f>
        <v>1461.02201781511</v>
      </c>
      <c r="AP25" s="0" t="n">
        <f aca="false">W_PH(AP$2,$A25)</f>
        <v>1461.68472648559</v>
      </c>
      <c r="AQ25" s="0" t="n">
        <f aca="false">W_PH(AQ$2,$A25)</f>
        <v>1468.22688388682</v>
      </c>
      <c r="AR25" s="0" t="n">
        <f aca="false">W_PH(AR$2,$A25)</f>
        <v>1469.55967501123</v>
      </c>
      <c r="AS25" s="0" t="n">
        <f aca="false">W_PH(AS$2,$A25)</f>
        <v>1470.16231771514</v>
      </c>
    </row>
    <row r="26" customFormat="false" ht="13.8" hidden="false" customHeight="false" outlineLevel="0" collapsed="false">
      <c r="A26" s="0" t="n">
        <v>60</v>
      </c>
      <c r="B26" s="0" t="n">
        <f aca="false">W_PH(B$2,$A26)</f>
        <v>2015</v>
      </c>
      <c r="C26" s="0" t="n">
        <f aca="false">W_PH(C$2,$A26)</f>
        <v>2015</v>
      </c>
      <c r="D26" s="0" t="n">
        <f aca="false">W_PH(D$2,$A26)</f>
        <v>2015</v>
      </c>
      <c r="E26" s="0" t="n">
        <f aca="false">W_PH(E$2,$A26)</f>
        <v>2015</v>
      </c>
      <c r="F26" s="0" t="n">
        <f aca="false">W_PH(F$2,$A26)</f>
        <v>2015</v>
      </c>
      <c r="G26" s="0" t="n">
        <f aca="false">W_PH(G$2,$A26)</f>
        <v>1463.93536652247</v>
      </c>
      <c r="H26" s="0" t="n">
        <f aca="false">W_PH(H$2,$A26)</f>
        <v>1463.93610448448</v>
      </c>
      <c r="I26" s="0" t="n">
        <f aca="false">W_PH(I$2,$A26)</f>
        <v>1463.93684244425</v>
      </c>
      <c r="J26" s="0" t="n">
        <f aca="false">W_PH(J$2,$A26)</f>
        <v>1463.93758040178</v>
      </c>
      <c r="K26" s="0" t="n">
        <f aca="false">W_PH(K$2,$A26)</f>
        <v>1463.93831835708</v>
      </c>
      <c r="L26" s="0" t="n">
        <f aca="false">W_PH(L$2,$A26)</f>
        <v>1463.93905631015</v>
      </c>
      <c r="M26" s="0" t="n">
        <f aca="false">W_PH(M$2,$A26)</f>
        <v>1463.93979426099</v>
      </c>
      <c r="N26" s="0" t="n">
        <f aca="false">W_PH(N$2,$A26)</f>
        <v>1463.94053220958</v>
      </c>
      <c r="O26" s="0" t="n">
        <f aca="false">W_PH(O$2,$A26)</f>
        <v>1463.94127015595</v>
      </c>
      <c r="P26" s="0" t="n">
        <f aca="false">W_PH(P$2,$A26)</f>
        <v>1463.94864949676</v>
      </c>
      <c r="Q26" s="0" t="n">
        <f aca="false">W_PH(Q$2,$A26)</f>
        <v>1463.95602861426</v>
      </c>
      <c r="R26" s="0" t="n">
        <f aca="false">W_PH(R$2,$A26)</f>
        <v>1463.9634075085</v>
      </c>
      <c r="S26" s="0" t="n">
        <f aca="false">W_PH(S$2,$A26)</f>
        <v>1463.97078617955</v>
      </c>
      <c r="T26" s="0" t="n">
        <f aca="false">W_PH(T$2,$A26)</f>
        <v>1463.97816462746</v>
      </c>
      <c r="U26" s="0" t="n">
        <f aca="false">W_PH(U$2,$A26)</f>
        <v>1463.9855428523</v>
      </c>
      <c r="V26" s="0" t="n">
        <f aca="false">W_PH(V$2,$A26)</f>
        <v>1463.99292085413</v>
      </c>
      <c r="W26" s="0" t="n">
        <f aca="false">W_PH(W$2,$A26)</f>
        <v>1464.000298633</v>
      </c>
      <c r="X26" s="0" t="n">
        <f aca="false">W_PH(X$2,$A26)</f>
        <v>1464.00767618899</v>
      </c>
      <c r="Y26" s="0" t="n">
        <f aca="false">W_PH(Y$2,$A26)</f>
        <v>1464.08143950301</v>
      </c>
      <c r="Z26" s="0" t="n">
        <f aca="false">W_PH(Z$2,$A26)</f>
        <v>1464.15518059405</v>
      </c>
      <c r="AA26" s="0" t="n">
        <f aca="false">W_PH(AA$2,$A26)</f>
        <v>1464.22889952216</v>
      </c>
      <c r="AB26" s="0" t="n">
        <f aca="false">W_PH(AB$2,$A26)</f>
        <v>1464.30259634726</v>
      </c>
      <c r="AC26" s="0" t="n">
        <f aca="false">W_PH(AC$2,$A26)</f>
        <v>1464.37627112911</v>
      </c>
      <c r="AD26" s="0" t="n">
        <f aca="false">W_PH(AD$2,$A26)</f>
        <v>1464.44992392731</v>
      </c>
      <c r="AE26" s="0" t="n">
        <f aca="false">W_PH(AE$2,$A26)</f>
        <v>1464.52355480131</v>
      </c>
      <c r="AF26" s="0" t="n">
        <f aca="false">W_PH(AF$2,$A26)</f>
        <v>1464.59716381043</v>
      </c>
      <c r="AG26" s="0" t="n">
        <f aca="false">W_PH(AG$2,$A26)</f>
        <v>1464.6707510138</v>
      </c>
      <c r="AH26" s="0" t="n">
        <f aca="false">W_PH(AH$2,$A26)</f>
        <v>1465.40543663639</v>
      </c>
      <c r="AI26" s="0" t="n">
        <f aca="false">W_PH(AI$2,$A26)</f>
        <v>1466.13800562293</v>
      </c>
      <c r="AJ26" s="0" t="n">
        <f aca="false">W_PH(AJ$2,$A26)</f>
        <v>1466.86851461771</v>
      </c>
      <c r="AK26" s="0" t="n">
        <f aca="false">W_PH(AK$2,$A26)</f>
        <v>1467.59701874475</v>
      </c>
      <c r="AL26" s="0" t="n">
        <f aca="false">W_PH(AL$2,$A26)</f>
        <v>1468.3235716055</v>
      </c>
      <c r="AM26" s="0" t="n">
        <f aca="false">W_PH(AM$2,$A26)</f>
        <v>1469.04822527528</v>
      </c>
      <c r="AN26" s="0" t="n">
        <f aca="false">W_PH(AN$2,$A26)</f>
        <v>1469.77103029842</v>
      </c>
      <c r="AO26" s="0" t="n">
        <f aca="false">W_PH(AO$2,$A26)</f>
        <v>1470.49203568218</v>
      </c>
      <c r="AP26" s="0" t="n">
        <f aca="false">W_PH(AP$2,$A26)</f>
        <v>1471.21128888928</v>
      </c>
      <c r="AQ26" s="0" t="n">
        <f aca="false">W_PH(AQ$2,$A26)</f>
        <v>1478.31676698411</v>
      </c>
      <c r="AR26" s="0" t="n">
        <f aca="false">W_PH(AR$2,$A26)</f>
        <v>1479.76557561568</v>
      </c>
      <c r="AS26" s="0" t="n">
        <f aca="false">W_PH(AS$2,$A26)</f>
        <v>1480.42083726891</v>
      </c>
    </row>
    <row r="27" customFormat="false" ht="13.8" hidden="false" customHeight="false" outlineLevel="0" collapsed="false">
      <c r="A27" s="0" t="n">
        <v>70</v>
      </c>
      <c r="B27" s="0" t="n">
        <f aca="false">W_PH(B$2,$A27)</f>
        <v>2015</v>
      </c>
      <c r="C27" s="0" t="n">
        <f aca="false">W_PH(C$2,$A27)</f>
        <v>2015</v>
      </c>
      <c r="D27" s="0" t="n">
        <f aca="false">W_PH(D$2,$A27)</f>
        <v>2015</v>
      </c>
      <c r="E27" s="0" t="n">
        <f aca="false">W_PH(E$2,$A27)</f>
        <v>2015</v>
      </c>
      <c r="F27" s="0" t="n">
        <f aca="false">W_PH(F$2,$A27)</f>
        <v>2015</v>
      </c>
      <c r="G27" s="0" t="n">
        <f aca="false">W_PH(G$2,$A27)</f>
        <v>1472.38752581489</v>
      </c>
      <c r="H27" s="0" t="n">
        <f aca="false">W_PH(H$2,$A27)</f>
        <v>1472.38831886744</v>
      </c>
      <c r="I27" s="0" t="n">
        <f aca="false">W_PH(I$2,$A27)</f>
        <v>1472.38911191765</v>
      </c>
      <c r="J27" s="0" t="n">
        <f aca="false">W_PH(J$2,$A27)</f>
        <v>1472.38990496553</v>
      </c>
      <c r="K27" s="0" t="n">
        <f aca="false">W_PH(K$2,$A27)</f>
        <v>1472.39069801108</v>
      </c>
      <c r="L27" s="0" t="n">
        <f aca="false">W_PH(L$2,$A27)</f>
        <v>1472.39149105429</v>
      </c>
      <c r="M27" s="0" t="n">
        <f aca="false">W_PH(M$2,$A27)</f>
        <v>1472.39228409516</v>
      </c>
      <c r="N27" s="0" t="n">
        <f aca="false">W_PH(N$2,$A27)</f>
        <v>1472.3930771337</v>
      </c>
      <c r="O27" s="0" t="n">
        <f aca="false">W_PH(O$2,$A27)</f>
        <v>1472.39387016991</v>
      </c>
      <c r="P27" s="0" t="n">
        <f aca="false">W_PH(P$2,$A27)</f>
        <v>1472.40180040358</v>
      </c>
      <c r="Q27" s="0" t="n">
        <f aca="false">W_PH(Q$2,$A27)</f>
        <v>1472.40973040386</v>
      </c>
      <c r="R27" s="0" t="n">
        <f aca="false">W_PH(R$2,$A27)</f>
        <v>1472.41766017081</v>
      </c>
      <c r="S27" s="0" t="n">
        <f aca="false">W_PH(S$2,$A27)</f>
        <v>1472.42558970448</v>
      </c>
      <c r="T27" s="0" t="n">
        <f aca="false">W_PH(T$2,$A27)</f>
        <v>1472.43351900496</v>
      </c>
      <c r="U27" s="0" t="n">
        <f aca="false">W_PH(U$2,$A27)</f>
        <v>1472.44144807228</v>
      </c>
      <c r="V27" s="0" t="n">
        <f aca="false">W_PH(V$2,$A27)</f>
        <v>1472.44937690653</v>
      </c>
      <c r="W27" s="0" t="n">
        <f aca="false">W_PH(W$2,$A27)</f>
        <v>1472.45730550776</v>
      </c>
      <c r="X27" s="0" t="n">
        <f aca="false">W_PH(X$2,$A27)</f>
        <v>1472.46523387603</v>
      </c>
      <c r="Y27" s="0" t="n">
        <f aca="false">W_PH(Y$2,$A27)</f>
        <v>1472.54450475983</v>
      </c>
      <c r="Z27" s="0" t="n">
        <f aca="false">W_PH(Z$2,$A27)</f>
        <v>1472.62375241647</v>
      </c>
      <c r="AA27" s="0" t="n">
        <f aca="false">W_PH(AA$2,$A27)</f>
        <v>1472.70297690806</v>
      </c>
      <c r="AB27" s="0" t="n">
        <f aca="false">W_PH(AB$2,$A27)</f>
        <v>1472.7821782966</v>
      </c>
      <c r="AC27" s="0" t="n">
        <f aca="false">W_PH(AC$2,$A27)</f>
        <v>1472.8613566439</v>
      </c>
      <c r="AD27" s="0" t="n">
        <f aca="false">W_PH(AD$2,$A27)</f>
        <v>1472.94051201165</v>
      </c>
      <c r="AE27" s="0" t="n">
        <f aca="false">W_PH(AE$2,$A27)</f>
        <v>1473.01964446138</v>
      </c>
      <c r="AF27" s="0" t="n">
        <f aca="false">W_PH(AF$2,$A27)</f>
        <v>1473.09875405446</v>
      </c>
      <c r="AG27" s="0" t="n">
        <f aca="false">W_PH(AG$2,$A27)</f>
        <v>1473.17784085215</v>
      </c>
      <c r="AH27" s="0" t="n">
        <f aca="false">W_PH(AH$2,$A27)</f>
        <v>1473.96746844676</v>
      </c>
      <c r="AI27" s="0" t="n">
        <f aca="false">W_PH(AI$2,$A27)</f>
        <v>1474.75488275492</v>
      </c>
      <c r="AJ27" s="0" t="n">
        <f aca="false">W_PH(AJ$2,$A27)</f>
        <v>1475.54014256334</v>
      </c>
      <c r="AK27" s="0" t="n">
        <f aca="false">W_PH(AK$2,$A27)</f>
        <v>1476.32330518174</v>
      </c>
      <c r="AL27" s="0" t="n">
        <f aca="false">W_PH(AL$2,$A27)</f>
        <v>1477.10442644632</v>
      </c>
      <c r="AM27" s="0" t="n">
        <f aca="false">W_PH(AM$2,$A27)</f>
        <v>1477.8835607221</v>
      </c>
      <c r="AN27" s="0" t="n">
        <f aca="false">W_PH(AN$2,$A27)</f>
        <v>1478.66076090421</v>
      </c>
      <c r="AO27" s="0" t="n">
        <f aca="false">W_PH(AO$2,$A27)</f>
        <v>1479.43607841795</v>
      </c>
      <c r="AP27" s="0" t="n">
        <f aca="false">W_PH(AP$2,$A27)</f>
        <v>1480.20956321773</v>
      </c>
      <c r="AQ27" s="0" t="n">
        <f aca="false">W_PH(AQ$2,$A27)</f>
        <v>1487.85354190551</v>
      </c>
      <c r="AR27" s="0" t="n">
        <f aca="false">W_PH(AR$2,$A27)</f>
        <v>1489.41280315118</v>
      </c>
      <c r="AS27" s="0" t="n">
        <f aca="false">W_PH(AS$2,$A27)</f>
        <v>1490.11810238806</v>
      </c>
    </row>
    <row r="28" customFormat="false" ht="13.8" hidden="false" customHeight="false" outlineLevel="0" collapsed="false">
      <c r="A28" s="0" t="n">
        <v>80</v>
      </c>
      <c r="B28" s="0" t="n">
        <f aca="false">W_PH(B$2,$A28)</f>
        <v>2015</v>
      </c>
      <c r="C28" s="0" t="n">
        <f aca="false">W_PH(C$2,$A28)</f>
        <v>2015</v>
      </c>
      <c r="D28" s="0" t="n">
        <f aca="false">W_PH(D$2,$A28)</f>
        <v>2015</v>
      </c>
      <c r="E28" s="0" t="n">
        <f aca="false">W_PH(E$2,$A28)</f>
        <v>2015</v>
      </c>
      <c r="F28" s="0" t="n">
        <f aca="false">W_PH(F$2,$A28)</f>
        <v>2015</v>
      </c>
      <c r="G28" s="0" t="n">
        <f aca="false">W_PH(G$2,$A28)</f>
        <v>2015</v>
      </c>
      <c r="H28" s="0" t="n">
        <f aca="false">W_PH(H$2,$A28)</f>
        <v>1480.34784422147</v>
      </c>
      <c r="I28" s="0" t="n">
        <f aca="false">W_PH(I$2,$A28)</f>
        <v>1480.34869048922</v>
      </c>
      <c r="J28" s="0" t="n">
        <f aca="false">W_PH(J$2,$A28)</f>
        <v>1480.34953675451</v>
      </c>
      <c r="K28" s="0" t="n">
        <f aca="false">W_PH(K$2,$A28)</f>
        <v>1480.35038301735</v>
      </c>
      <c r="L28" s="0" t="n">
        <f aca="false">W_PH(L$2,$A28)</f>
        <v>1480.35122927774</v>
      </c>
      <c r="M28" s="0" t="n">
        <f aca="false">W_PH(M$2,$A28)</f>
        <v>1480.35207553568</v>
      </c>
      <c r="N28" s="0" t="n">
        <f aca="false">W_PH(N$2,$A28)</f>
        <v>1480.35292179116</v>
      </c>
      <c r="O28" s="0" t="n">
        <f aca="false">W_PH(O$2,$A28)</f>
        <v>1480.3537680442</v>
      </c>
      <c r="P28" s="0" t="n">
        <f aca="false">W_PH(P$2,$A28)</f>
        <v>1480.36223043971</v>
      </c>
      <c r="Q28" s="0" t="n">
        <f aca="false">W_PH(Q$2,$A28)</f>
        <v>1480.37069259013</v>
      </c>
      <c r="R28" s="0" t="n">
        <f aca="false">W_PH(R$2,$A28)</f>
        <v>1480.37915449552</v>
      </c>
      <c r="S28" s="0" t="n">
        <f aca="false">W_PH(S$2,$A28)</f>
        <v>1480.38761615594</v>
      </c>
      <c r="T28" s="0" t="n">
        <f aca="false">W_PH(T$2,$A28)</f>
        <v>1480.39607757145</v>
      </c>
      <c r="U28" s="0" t="n">
        <f aca="false">W_PH(U$2,$A28)</f>
        <v>1480.40453874213</v>
      </c>
      <c r="V28" s="0" t="n">
        <f aca="false">W_PH(V$2,$A28)</f>
        <v>1480.41299966803</v>
      </c>
      <c r="W28" s="0" t="n">
        <f aca="false">W_PH(W$2,$A28)</f>
        <v>1480.42146034922</v>
      </c>
      <c r="X28" s="0" t="n">
        <f aca="false">W_PH(X$2,$A28)</f>
        <v>1480.42992078577</v>
      </c>
      <c r="Y28" s="0" t="n">
        <f aca="false">W_PH(Y$2,$A28)</f>
        <v>1480.51451170971</v>
      </c>
      <c r="Z28" s="0" t="n">
        <f aca="false">W_PH(Z$2,$A28)</f>
        <v>1480.59907823933</v>
      </c>
      <c r="AA28" s="0" t="n">
        <f aca="false">W_PH(AA$2,$A28)</f>
        <v>1480.68362043845</v>
      </c>
      <c r="AB28" s="0" t="n">
        <f aca="false">W_PH(AB$2,$A28)</f>
        <v>1480.76813837073</v>
      </c>
      <c r="AC28" s="0" t="n">
        <f aca="false">W_PH(AC$2,$A28)</f>
        <v>1480.85263209971</v>
      </c>
      <c r="AD28" s="0" t="n">
        <f aca="false">W_PH(AD$2,$A28)</f>
        <v>1480.93710168876</v>
      </c>
      <c r="AE28" s="0" t="n">
        <f aca="false">W_PH(AE$2,$A28)</f>
        <v>1481.02154720111</v>
      </c>
      <c r="AF28" s="0" t="n">
        <f aca="false">W_PH(AF$2,$A28)</f>
        <v>1481.10596869983</v>
      </c>
      <c r="AG28" s="0" t="n">
        <f aca="false">W_PH(AG$2,$A28)</f>
        <v>1481.19036624785</v>
      </c>
      <c r="AH28" s="0" t="n">
        <f aca="false">W_PH(AH$2,$A28)</f>
        <v>1482.03303817871</v>
      </c>
      <c r="AI28" s="0" t="n">
        <f aca="false">W_PH(AI$2,$A28)</f>
        <v>1482.87338316619</v>
      </c>
      <c r="AJ28" s="0" t="n">
        <f aca="false">W_PH(AJ$2,$A28)</f>
        <v>1483.71146170978</v>
      </c>
      <c r="AK28" s="0" t="n">
        <f aca="false">W_PH(AK$2,$A28)</f>
        <v>1484.54733284787</v>
      </c>
      <c r="AL28" s="0" t="n">
        <f aca="false">W_PH(AL$2,$A28)</f>
        <v>1485.38105416633</v>
      </c>
      <c r="AM28" s="0" t="n">
        <f aca="false">W_PH(AM$2,$A28)</f>
        <v>1486.21268180606</v>
      </c>
      <c r="AN28" s="0" t="n">
        <f aca="false">W_PH(AN$2,$A28)</f>
        <v>1487.04227046965</v>
      </c>
      <c r="AO28" s="0" t="n">
        <f aca="false">W_PH(AO$2,$A28)</f>
        <v>1487.86987342683</v>
      </c>
      <c r="AP28" s="0" t="n">
        <f aca="false">W_PH(AP$2,$A28)</f>
        <v>1488.69554251901</v>
      </c>
      <c r="AQ28" s="0" t="n">
        <f aca="false">W_PH(AQ$2,$A28)</f>
        <v>1496.85625815663</v>
      </c>
      <c r="AR28" s="0" t="n">
        <f aca="false">W_PH(AR$2,$A28)</f>
        <v>1498.52114246486</v>
      </c>
      <c r="AS28" s="0" t="n">
        <f aca="false">W_PH(AS$2,$A28)</f>
        <v>1499.27424493921</v>
      </c>
    </row>
    <row r="29" customFormat="false" ht="13.8" hidden="false" customHeight="false" outlineLevel="0" collapsed="false">
      <c r="A29" s="0" t="n">
        <v>90</v>
      </c>
      <c r="B29" s="0" t="n">
        <f aca="false">W_PH(B$2,$A29)</f>
        <v>2015</v>
      </c>
      <c r="C29" s="0" t="n">
        <f aca="false">W_PH(C$2,$A29)</f>
        <v>2015</v>
      </c>
      <c r="D29" s="0" t="n">
        <f aca="false">W_PH(D$2,$A29)</f>
        <v>2015</v>
      </c>
      <c r="E29" s="0" t="n">
        <f aca="false">W_PH(E$2,$A29)</f>
        <v>2015</v>
      </c>
      <c r="F29" s="0" t="n">
        <f aca="false">W_PH(F$2,$A29)</f>
        <v>2015</v>
      </c>
      <c r="G29" s="0" t="n">
        <f aca="false">W_PH(G$2,$A29)</f>
        <v>2015</v>
      </c>
      <c r="H29" s="0" t="n">
        <f aca="false">W_PH(H$2,$A29)</f>
        <v>1487.82887148688</v>
      </c>
      <c r="I29" s="0" t="n">
        <f aca="false">W_PH(I$2,$A29)</f>
        <v>1487.82976929377</v>
      </c>
      <c r="J29" s="0" t="n">
        <f aca="false">W_PH(J$2,$A29)</f>
        <v>1487.83066709808</v>
      </c>
      <c r="K29" s="0" t="n">
        <f aca="false">W_PH(K$2,$A29)</f>
        <v>1487.83156489982</v>
      </c>
      <c r="L29" s="0" t="n">
        <f aca="false">W_PH(L$2,$A29)</f>
        <v>1487.83246269897</v>
      </c>
      <c r="M29" s="0" t="n">
        <f aca="false">W_PH(M$2,$A29)</f>
        <v>1487.83336049554</v>
      </c>
      <c r="N29" s="0" t="n">
        <f aca="false">W_PH(N$2,$A29)</f>
        <v>1487.83425828953</v>
      </c>
      <c r="O29" s="0" t="n">
        <f aca="false">W_PH(O$2,$A29)</f>
        <v>1487.83515608094</v>
      </c>
      <c r="P29" s="0" t="n">
        <f aca="false">W_PH(P$2,$A29)</f>
        <v>1487.84413385307</v>
      </c>
      <c r="Q29" s="0" t="n">
        <f aca="false">W_PH(Q$2,$A29)</f>
        <v>1487.85311136717</v>
      </c>
      <c r="R29" s="0" t="n">
        <f aca="false">W_PH(R$2,$A29)</f>
        <v>1487.86208862329</v>
      </c>
      <c r="S29" s="0" t="n">
        <f aca="false">W_PH(S$2,$A29)</f>
        <v>1487.87106562151</v>
      </c>
      <c r="T29" s="0" t="n">
        <f aca="false">W_PH(T$2,$A29)</f>
        <v>1487.88004236188</v>
      </c>
      <c r="U29" s="0" t="n">
        <f aca="false">W_PH(U$2,$A29)</f>
        <v>1487.88901884448</v>
      </c>
      <c r="V29" s="0" t="n">
        <f aca="false">W_PH(V$2,$A29)</f>
        <v>1487.89799506937</v>
      </c>
      <c r="W29" s="0" t="n">
        <f aca="false">W_PH(W$2,$A29)</f>
        <v>1487.90697103662</v>
      </c>
      <c r="X29" s="0" t="n">
        <f aca="false">W_PH(X$2,$A29)</f>
        <v>1487.91594674629</v>
      </c>
      <c r="Y29" s="0" t="n">
        <f aca="false">W_PH(Y$2,$A29)</f>
        <v>1488.00568969055</v>
      </c>
      <c r="Z29" s="0" t="n">
        <f aca="false">W_PH(Z$2,$A29)</f>
        <v>1488.09540694891</v>
      </c>
      <c r="AA29" s="0" t="n">
        <f aca="false">W_PH(AA$2,$A29)</f>
        <v>1488.18509858665</v>
      </c>
      <c r="AB29" s="0" t="n">
        <f aca="false">W_PH(AB$2,$A29)</f>
        <v>1488.2747646689</v>
      </c>
      <c r="AC29" s="0" t="n">
        <f aca="false">W_PH(AC$2,$A29)</f>
        <v>1488.36440526065</v>
      </c>
      <c r="AD29" s="0" t="n">
        <f aca="false">W_PH(AD$2,$A29)</f>
        <v>1488.45402042671</v>
      </c>
      <c r="AE29" s="0" t="n">
        <f aca="false">W_PH(AE$2,$A29)</f>
        <v>1488.54361023177</v>
      </c>
      <c r="AF29" s="0" t="n">
        <f aca="false">W_PH(AF$2,$A29)</f>
        <v>1488.63317474036</v>
      </c>
      <c r="AG29" s="0" t="n">
        <f aca="false">W_PH(AG$2,$A29)</f>
        <v>1488.72271401686</v>
      </c>
      <c r="AH29" s="0" t="n">
        <f aca="false">W_PH(AH$2,$A29)</f>
        <v>1489.61673307289</v>
      </c>
      <c r="AI29" s="0" t="n">
        <f aca="false">W_PH(AI$2,$A29)</f>
        <v>1490.50829862787</v>
      </c>
      <c r="AJ29" s="0" t="n">
        <f aca="false">W_PH(AJ$2,$A29)</f>
        <v>1491.39747260877</v>
      </c>
      <c r="AK29" s="0" t="n">
        <f aca="false">W_PH(AK$2,$A29)</f>
        <v>1492.28431547437</v>
      </c>
      <c r="AL29" s="0" t="n">
        <f aca="false">W_PH(AL$2,$A29)</f>
        <v>1493.16888622838</v>
      </c>
      <c r="AM29" s="0" t="n">
        <f aca="false">W_PH(AM$2,$A29)</f>
        <v>1494.0512424316</v>
      </c>
      <c r="AN29" s="0" t="n">
        <f aca="false">W_PH(AN$2,$A29)</f>
        <v>1494.93144021321</v>
      </c>
      <c r="AO29" s="0" t="n">
        <f aca="false">W_PH(AO$2,$A29)</f>
        <v>1495.80953428118</v>
      </c>
      <c r="AP29" s="0" t="n">
        <f aca="false">W_PH(AP$2,$A29)</f>
        <v>1496.6855779316</v>
      </c>
      <c r="AQ29" s="0" t="n">
        <f aca="false">W_PH(AQ$2,$A29)</f>
        <v>1505.34397100603</v>
      </c>
      <c r="AR29" s="0" t="n">
        <f aca="false">W_PH(AR$2,$A29)</f>
        <v>1507.11029271599</v>
      </c>
      <c r="AS29" s="0" t="n">
        <f aca="false">W_PH(AS$2,$A29)</f>
        <v>1507.90926719538</v>
      </c>
    </row>
    <row r="30" customFormat="false" ht="13.8" hidden="false" customHeight="false" outlineLevel="0" collapsed="false">
      <c r="A30" s="0" t="n">
        <v>100</v>
      </c>
      <c r="B30" s="0" t="n">
        <f aca="false">W_PH(B$2,$A30)</f>
        <v>2015</v>
      </c>
      <c r="C30" s="0" t="n">
        <f aca="false">W_PH(C$2,$A30)</f>
        <v>2015</v>
      </c>
      <c r="D30" s="0" t="n">
        <f aca="false">W_PH(D$2,$A30)</f>
        <v>2015</v>
      </c>
      <c r="E30" s="0" t="n">
        <f aca="false">W_PH(E$2,$A30)</f>
        <v>2015</v>
      </c>
      <c r="F30" s="0" t="n">
        <f aca="false">W_PH(F$2,$A30)</f>
        <v>2015</v>
      </c>
      <c r="G30" s="0" t="n">
        <f aca="false">W_PH(G$2,$A30)</f>
        <v>2015</v>
      </c>
      <c r="H30" s="0" t="n">
        <f aca="false">W_PH(H$2,$A30)</f>
        <v>1494.84586077733</v>
      </c>
      <c r="I30" s="0" t="n">
        <f aca="false">W_PH(I$2,$A30)</f>
        <v>1494.84680862012</v>
      </c>
      <c r="J30" s="0" t="n">
        <f aca="false">W_PH(J$2,$A30)</f>
        <v>1494.84775646018</v>
      </c>
      <c r="K30" s="0" t="n">
        <f aca="false">W_PH(K$2,$A30)</f>
        <v>1494.84870429753</v>
      </c>
      <c r="L30" s="0" t="n">
        <f aca="false">W_PH(L$2,$A30)</f>
        <v>1494.84965213215</v>
      </c>
      <c r="M30" s="0" t="n">
        <f aca="false">W_PH(M$2,$A30)</f>
        <v>1494.85059996406</v>
      </c>
      <c r="N30" s="0" t="n">
        <f aca="false">W_PH(N$2,$A30)</f>
        <v>1494.85154779324</v>
      </c>
      <c r="O30" s="0" t="n">
        <f aca="false">W_PH(O$2,$A30)</f>
        <v>1494.85249561971</v>
      </c>
      <c r="P30" s="0" t="n">
        <f aca="false">W_PH(P$2,$A30)</f>
        <v>1494.86197373479</v>
      </c>
      <c r="Q30" s="0" t="n">
        <f aca="false">W_PH(Q$2,$A30)</f>
        <v>1494.87145157796</v>
      </c>
      <c r="R30" s="0" t="n">
        <f aca="false">W_PH(R$2,$A30)</f>
        <v>1494.88092914928</v>
      </c>
      <c r="S30" s="0" t="n">
        <f aca="false">W_PH(S$2,$A30)</f>
        <v>1494.89040644883</v>
      </c>
      <c r="T30" s="0" t="n">
        <f aca="false">W_PH(T$2,$A30)</f>
        <v>1494.89988347667</v>
      </c>
      <c r="U30" s="0" t="n">
        <f aca="false">W_PH(U$2,$A30)</f>
        <v>1494.90936023286</v>
      </c>
      <c r="V30" s="0" t="n">
        <f aca="false">W_PH(V$2,$A30)</f>
        <v>1494.91883671748</v>
      </c>
      <c r="W30" s="0" t="n">
        <f aca="false">W_PH(W$2,$A30)</f>
        <v>1494.92831293058</v>
      </c>
      <c r="X30" s="0" t="n">
        <f aca="false">W_PH(X$2,$A30)</f>
        <v>1494.93778887224</v>
      </c>
      <c r="Y30" s="0" t="n">
        <f aca="false">W_PH(Y$2,$A30)</f>
        <v>1495.03253337419</v>
      </c>
      <c r="Z30" s="0" t="n">
        <f aca="false">W_PH(Z$2,$A30)</f>
        <v>1495.12725080525</v>
      </c>
      <c r="AA30" s="0" t="n">
        <f aca="false">W_PH(AA$2,$A30)</f>
        <v>1495.22194123205</v>
      </c>
      <c r="AB30" s="0" t="n">
        <f aca="false">W_PH(AB$2,$A30)</f>
        <v>1495.31660472103</v>
      </c>
      <c r="AC30" s="0" t="n">
        <f aca="false">W_PH(AC$2,$A30)</f>
        <v>1495.41124133852</v>
      </c>
      <c r="AD30" s="0" t="n">
        <f aca="false">W_PH(AD$2,$A30)</f>
        <v>1495.50585115065</v>
      </c>
      <c r="AE30" s="0" t="n">
        <f aca="false">W_PH(AE$2,$A30)</f>
        <v>1495.60043422344</v>
      </c>
      <c r="AF30" s="0" t="n">
        <f aca="false">W_PH(AF$2,$A30)</f>
        <v>1495.69499062271</v>
      </c>
      <c r="AG30" s="0" t="n">
        <f aca="false">W_PH(AG$2,$A30)</f>
        <v>1495.78952041417</v>
      </c>
      <c r="AH30" s="0" t="n">
        <f aca="false">W_PH(AH$2,$A30)</f>
        <v>1496.73336924138</v>
      </c>
      <c r="AI30" s="0" t="n">
        <f aca="false">W_PH(AI$2,$A30)</f>
        <v>1497.67462841421</v>
      </c>
      <c r="AJ30" s="0" t="n">
        <f aca="false">W_PH(AJ$2,$A30)</f>
        <v>1498.61336112002</v>
      </c>
      <c r="AK30" s="0" t="n">
        <f aca="false">W_PH(AK$2,$A30)</f>
        <v>1499.54962905144</v>
      </c>
      <c r="AL30" s="0" t="n">
        <f aca="false">W_PH(AL$2,$A30)</f>
        <v>1500.48349242345</v>
      </c>
      <c r="AM30" s="0" t="n">
        <f aca="false">W_PH(AM$2,$A30)</f>
        <v>1501.4150099897</v>
      </c>
      <c r="AN30" s="0" t="n">
        <f aca="false">W_PH(AN$2,$A30)</f>
        <v>1502.344239058</v>
      </c>
      <c r="AO30" s="0" t="n">
        <f aca="false">W_PH(AO$2,$A30)</f>
        <v>1503.27123550496</v>
      </c>
      <c r="AP30" s="0" t="n">
        <f aca="false">W_PH(AP$2,$A30)</f>
        <v>1504.19605378988</v>
      </c>
      <c r="AQ30" s="0" t="n">
        <f aca="false">W_PH(AQ$2,$A30)</f>
        <v>1513.33542849353</v>
      </c>
      <c r="AR30" s="0" t="n">
        <f aca="false">W_PH(AR$2,$A30)</f>
        <v>1515.19955922121</v>
      </c>
      <c r="AS30" s="0" t="n">
        <f aca="false">W_PH(AS$2,$A30)</f>
        <v>1516.04273619605</v>
      </c>
    </row>
    <row r="31" customFormat="false" ht="13.8" hidden="false" customHeight="false" outlineLevel="0" collapsed="false">
      <c r="A31" s="0" t="n">
        <v>200</v>
      </c>
      <c r="B31" s="0" t="n">
        <f aca="false">W_PH(B$2,$A31)</f>
        <v>2015</v>
      </c>
      <c r="C31" s="0" t="n">
        <f aca="false">W_PH(C$2,$A31)</f>
        <v>2015</v>
      </c>
      <c r="D31" s="0" t="n">
        <f aca="false">W_PH(D$2,$A31)</f>
        <v>2015</v>
      </c>
      <c r="E31" s="0" t="n">
        <f aca="false">W_PH(E$2,$A31)</f>
        <v>2015</v>
      </c>
      <c r="F31" s="0" t="n">
        <f aca="false">W_PH(F$2,$A31)</f>
        <v>2015</v>
      </c>
      <c r="G31" s="0" t="n">
        <f aca="false">W_PH(G$2,$A31)</f>
        <v>2015</v>
      </c>
      <c r="H31" s="0" t="n">
        <f aca="false">W_PH(H$2,$A31)</f>
        <v>2015</v>
      </c>
      <c r="I31" s="0" t="n">
        <f aca="false">W_PH(I$2,$A31)</f>
        <v>2015</v>
      </c>
      <c r="J31" s="0" t="n">
        <f aca="false">W_PH(J$2,$A31)</f>
        <v>2015</v>
      </c>
      <c r="K31" s="0" t="n">
        <f aca="false">W_PH(K$2,$A31)</f>
        <v>2015</v>
      </c>
      <c r="L31" s="0" t="n">
        <f aca="false">W_PH(L$2,$A31)</f>
        <v>2015</v>
      </c>
      <c r="M31" s="0" t="n">
        <f aca="false">W_PH(M$2,$A31)</f>
        <v>2015</v>
      </c>
      <c r="N31" s="0" t="n">
        <f aca="false">W_PH(N$2,$A31)</f>
        <v>2015</v>
      </c>
      <c r="O31" s="0" t="n">
        <f aca="false">W_PH(O$2,$A31)</f>
        <v>2015</v>
      </c>
      <c r="P31" s="0" t="n">
        <f aca="false">W_PH(P$2,$A31)</f>
        <v>1542.57113690468</v>
      </c>
      <c r="Q31" s="0" t="n">
        <f aca="false">W_PH(Q$2,$A31)</f>
        <v>1542.58505770315</v>
      </c>
      <c r="R31" s="0" t="n">
        <f aca="false">W_PH(R$2,$A31)</f>
        <v>1542.59897807082</v>
      </c>
      <c r="S31" s="0" t="n">
        <f aca="false">W_PH(S$2,$A31)</f>
        <v>1542.6128980078</v>
      </c>
      <c r="T31" s="0" t="n">
        <f aca="false">W_PH(T$2,$A31)</f>
        <v>1542.62681751416</v>
      </c>
      <c r="U31" s="0" t="n">
        <f aca="false">W_PH(U$2,$A31)</f>
        <v>1542.64073658999</v>
      </c>
      <c r="V31" s="0" t="n">
        <f aca="false">W_PH(V$2,$A31)</f>
        <v>1542.65465523538</v>
      </c>
      <c r="W31" s="0" t="n">
        <f aca="false">W_PH(W$2,$A31)</f>
        <v>1542.66857345041</v>
      </c>
      <c r="X31" s="0" t="n">
        <f aca="false">W_PH(X$2,$A31)</f>
        <v>1542.68249123518</v>
      </c>
      <c r="Y31" s="0" t="n">
        <f aca="false">W_PH(Y$2,$A31)</f>
        <v>1542.82164543724</v>
      </c>
      <c r="Z31" s="0" t="n">
        <f aca="false">W_PH(Z$2,$A31)</f>
        <v>1542.96075670791</v>
      </c>
      <c r="AA31" s="0" t="n">
        <f aca="false">W_PH(AA$2,$A31)</f>
        <v>1543.09982513364</v>
      </c>
      <c r="AB31" s="0" t="n">
        <f aca="false">W_PH(AB$2,$A31)</f>
        <v>1543.2388508006</v>
      </c>
      <c r="AC31" s="0" t="n">
        <f aca="false">W_PH(AC$2,$A31)</f>
        <v>1543.37783379476</v>
      </c>
      <c r="AD31" s="0" t="n">
        <f aca="false">W_PH(AD$2,$A31)</f>
        <v>1543.51677420179</v>
      </c>
      <c r="AE31" s="0" t="n">
        <f aca="false">W_PH(AE$2,$A31)</f>
        <v>1543.65567210714</v>
      </c>
      <c r="AF31" s="0" t="n">
        <f aca="false">W_PH(AF$2,$A31)</f>
        <v>1543.79452759599</v>
      </c>
      <c r="AG31" s="0" t="n">
        <f aca="false">W_PH(AG$2,$A31)</f>
        <v>1543.93334075329</v>
      </c>
      <c r="AH31" s="0" t="n">
        <f aca="false">W_PH(AH$2,$A31)</f>
        <v>1545.31916259974</v>
      </c>
      <c r="AI31" s="0" t="n">
        <f aca="false">W_PH(AI$2,$A31)</f>
        <v>1546.70084288579</v>
      </c>
      <c r="AJ31" s="0" t="n">
        <f aca="false">W_PH(AJ$2,$A31)</f>
        <v>1548.07846249393</v>
      </c>
      <c r="AK31" s="0" t="n">
        <f aca="false">W_PH(AK$2,$A31)</f>
        <v>1549.45209989816</v>
      </c>
      <c r="AL31" s="0" t="n">
        <f aca="false">W_PH(AL$2,$A31)</f>
        <v>1550.82183120453</v>
      </c>
      <c r="AM31" s="0" t="n">
        <f aca="false">W_PH(AM$2,$A31)</f>
        <v>1552.18773019185</v>
      </c>
      <c r="AN31" s="0" t="n">
        <f aca="false">W_PH(AN$2,$A31)</f>
        <v>1553.54986835256</v>
      </c>
      <c r="AO31" s="0" t="n">
        <f aca="false">W_PH(AO$2,$A31)</f>
        <v>1554.90831493356</v>
      </c>
      <c r="AP31" s="0" t="n">
        <f aca="false">W_PH(AP$2,$A31)</f>
        <v>1556.26313697714</v>
      </c>
      <c r="AQ31" s="0" t="n">
        <f aca="false">W_PH(AQ$2,$A31)</f>
        <v>1569.62526232395</v>
      </c>
      <c r="AR31" s="0" t="n">
        <f aca="false">W_PH(AR$2,$A31)</f>
        <v>1572.34388959176</v>
      </c>
      <c r="AS31" s="0" t="n">
        <f aca="false">W_PH(AS$2,$A31)</f>
        <v>1573.57271844809</v>
      </c>
    </row>
    <row r="32" customFormat="false" ht="13.8" hidden="false" customHeight="false" outlineLevel="0" collapsed="false">
      <c r="A32" s="0" t="n">
        <v>300</v>
      </c>
      <c r="B32" s="0" t="n">
        <f aca="false">W_PH(B$2,$A32)</f>
        <v>2015</v>
      </c>
      <c r="C32" s="0" t="n">
        <f aca="false">W_PH(C$2,$A32)</f>
        <v>2015</v>
      </c>
      <c r="D32" s="0" t="n">
        <f aca="false">W_PH(D$2,$A32)</f>
        <v>2015</v>
      </c>
      <c r="E32" s="0" t="n">
        <f aca="false">W_PH(E$2,$A32)</f>
        <v>2015</v>
      </c>
      <c r="F32" s="0" t="n">
        <f aca="false">W_PH(F$2,$A32)</f>
        <v>2015</v>
      </c>
      <c r="G32" s="0" t="n">
        <f aca="false">W_PH(G$2,$A32)</f>
        <v>2015</v>
      </c>
      <c r="H32" s="0" t="n">
        <f aca="false">W_PH(H$2,$A32)</f>
        <v>2015</v>
      </c>
      <c r="I32" s="0" t="n">
        <f aca="false">W_PH(I$2,$A32)</f>
        <v>2015</v>
      </c>
      <c r="J32" s="0" t="n">
        <f aca="false">W_PH(J$2,$A32)</f>
        <v>2015</v>
      </c>
      <c r="K32" s="0" t="n">
        <f aca="false">W_PH(K$2,$A32)</f>
        <v>2015</v>
      </c>
      <c r="L32" s="0" t="n">
        <f aca="false">W_PH(L$2,$A32)</f>
        <v>2015</v>
      </c>
      <c r="M32" s="0" t="n">
        <f aca="false">W_PH(M$2,$A32)</f>
        <v>2015</v>
      </c>
      <c r="N32" s="0" t="n">
        <f aca="false">W_PH(N$2,$A32)</f>
        <v>2015</v>
      </c>
      <c r="O32" s="0" t="n">
        <f aca="false">W_PH(O$2,$A32)</f>
        <v>2015</v>
      </c>
      <c r="P32" s="0" t="n">
        <f aca="false">W_PH(P$2,$A32)</f>
        <v>2015</v>
      </c>
      <c r="Q32" s="0" t="n">
        <f aca="false">W_PH(Q$2,$A32)</f>
        <v>2015</v>
      </c>
      <c r="R32" s="0" t="n">
        <f aca="false">W_PH(R$2,$A32)</f>
        <v>1557.66948965685</v>
      </c>
      <c r="S32" s="0" t="n">
        <f aca="false">W_PH(S$2,$A32)</f>
        <v>1557.68729124324</v>
      </c>
      <c r="T32" s="0" t="n">
        <f aca="false">W_PH(T$2,$A32)</f>
        <v>1557.7050922068</v>
      </c>
      <c r="U32" s="0" t="n">
        <f aca="false">W_PH(U$2,$A32)</f>
        <v>1557.72289254767</v>
      </c>
      <c r="V32" s="0" t="n">
        <f aca="false">W_PH(V$2,$A32)</f>
        <v>1557.74069226598</v>
      </c>
      <c r="W32" s="0" t="n">
        <f aca="false">W_PH(W$2,$A32)</f>
        <v>1557.75849136187</v>
      </c>
      <c r="X32" s="0" t="n">
        <f aca="false">W_PH(X$2,$A32)</f>
        <v>1557.77628983546</v>
      </c>
      <c r="Y32" s="0" t="n">
        <f aca="false">W_PH(Y$2,$A32)</f>
        <v>1557.95424037509</v>
      </c>
      <c r="Z32" s="0" t="n">
        <f aca="false">W_PH(Z$2,$A32)</f>
        <v>1558.13212883334</v>
      </c>
      <c r="AA32" s="0" t="n">
        <f aca="false">W_PH(AA$2,$A32)</f>
        <v>1558.30995534396</v>
      </c>
      <c r="AB32" s="0" t="n">
        <f aca="false">W_PH(AB$2,$A32)</f>
        <v>1558.4877200403</v>
      </c>
      <c r="AC32" s="0" t="n">
        <f aca="false">W_PH(AC$2,$A32)</f>
        <v>1558.66542305529</v>
      </c>
      <c r="AD32" s="0" t="n">
        <f aca="false">W_PH(AD$2,$A32)</f>
        <v>1558.84306452147</v>
      </c>
      <c r="AE32" s="0" t="n">
        <f aca="false">W_PH(AE$2,$A32)</f>
        <v>1559.02064457098</v>
      </c>
      <c r="AF32" s="0" t="n">
        <f aca="false">W_PH(AF$2,$A32)</f>
        <v>1559.19816333554</v>
      </c>
      <c r="AG32" s="0" t="n">
        <f aca="false">W_PH(AG$2,$A32)</f>
        <v>1559.37562094651</v>
      </c>
      <c r="AH32" s="0" t="n">
        <f aca="false">W_PH(AH$2,$A32)</f>
        <v>1561.14686221639</v>
      </c>
      <c r="AI32" s="0" t="n">
        <f aca="false">W_PH(AI$2,$A32)</f>
        <v>1562.91212963658</v>
      </c>
      <c r="AJ32" s="0" t="n">
        <f aca="false">W_PH(AJ$2,$A32)</f>
        <v>1564.6715479932</v>
      </c>
      <c r="AK32" s="0" t="n">
        <f aca="false">W_PH(AK$2,$A32)</f>
        <v>1566.42523814901</v>
      </c>
      <c r="AL32" s="0" t="n">
        <f aca="false">W_PH(AL$2,$A32)</f>
        <v>1568.1733170826</v>
      </c>
      <c r="AM32" s="0" t="n">
        <f aca="false">W_PH(AM$2,$A32)</f>
        <v>1569.91589792935</v>
      </c>
      <c r="AN32" s="0" t="n">
        <f aca="false">W_PH(AN$2,$A32)</f>
        <v>1571.65309002434</v>
      </c>
      <c r="AO32" s="0" t="n">
        <f aca="false">W_PH(AO$2,$A32)</f>
        <v>1573.38499894679</v>
      </c>
      <c r="AP32" s="0" t="n">
        <f aca="false">W_PH(AP$2,$A32)</f>
        <v>1575.11172656616</v>
      </c>
      <c r="AQ32" s="0" t="n">
        <f aca="false">W_PH(AQ$2,$A32)</f>
        <v>1592.11388891234</v>
      </c>
      <c r="AR32" s="0" t="n">
        <f aca="false">W_PH(AR$2,$A32)</f>
        <v>1595.56726301018</v>
      </c>
      <c r="AS32" s="0" t="n">
        <f aca="false">W_PH(AS$2,$A32)</f>
        <v>1597.12757599612</v>
      </c>
    </row>
    <row r="33" customFormat="false" ht="13.8" hidden="false" customHeight="false" outlineLevel="0" collapsed="false">
      <c r="A33" s="0" t="n">
        <v>400</v>
      </c>
      <c r="B33" s="0" t="n">
        <f aca="false">W_PH(B$2,$A33)</f>
        <v>2015</v>
      </c>
      <c r="C33" s="0" t="n">
        <f aca="false">W_PH(C$2,$A33)</f>
        <v>2015</v>
      </c>
      <c r="D33" s="0" t="n">
        <f aca="false">W_PH(D$2,$A33)</f>
        <v>2015</v>
      </c>
      <c r="E33" s="0" t="n">
        <f aca="false">W_PH(E$2,$A33)</f>
        <v>2015</v>
      </c>
      <c r="F33" s="0" t="n">
        <f aca="false">W_PH(F$2,$A33)</f>
        <v>2015</v>
      </c>
      <c r="G33" s="0" t="n">
        <f aca="false">W_PH(G$2,$A33)</f>
        <v>2015</v>
      </c>
      <c r="H33" s="0" t="n">
        <f aca="false">W_PH(H$2,$A33)</f>
        <v>2015</v>
      </c>
      <c r="I33" s="0" t="n">
        <f aca="false">W_PH(I$2,$A33)</f>
        <v>2015</v>
      </c>
      <c r="J33" s="0" t="n">
        <f aca="false">W_PH(J$2,$A33)</f>
        <v>2015</v>
      </c>
      <c r="K33" s="0" t="n">
        <f aca="false">W_PH(K$2,$A33)</f>
        <v>2015</v>
      </c>
      <c r="L33" s="0" t="n">
        <f aca="false">W_PH(L$2,$A33)</f>
        <v>2015</v>
      </c>
      <c r="M33" s="0" t="n">
        <f aca="false">W_PH(M$2,$A33)</f>
        <v>2015</v>
      </c>
      <c r="N33" s="0" t="n">
        <f aca="false">W_PH(N$2,$A33)</f>
        <v>2015</v>
      </c>
      <c r="O33" s="0" t="n">
        <f aca="false">W_PH(O$2,$A33)</f>
        <v>2015</v>
      </c>
      <c r="P33" s="0" t="n">
        <f aca="false">W_PH(P$2,$A33)</f>
        <v>2015</v>
      </c>
      <c r="Q33" s="0" t="n">
        <f aca="false">W_PH(Q$2,$A33)</f>
        <v>2015</v>
      </c>
      <c r="R33" s="0" t="n">
        <f aca="false">W_PH(R$2,$A33)</f>
        <v>2015</v>
      </c>
      <c r="S33" s="0" t="n">
        <f aca="false">W_PH(S$2,$A33)</f>
        <v>2015</v>
      </c>
      <c r="T33" s="0" t="n">
        <f aca="false">W_PH(T$2,$A33)</f>
        <v>2015</v>
      </c>
      <c r="U33" s="0" t="n">
        <f aca="false">W_PH(U$2,$A33)</f>
        <v>2015</v>
      </c>
      <c r="V33" s="0" t="n">
        <f aca="false">W_PH(V$2,$A33)</f>
        <v>2015</v>
      </c>
      <c r="W33" s="0" t="n">
        <f aca="false">W_PH(W$2,$A33)</f>
        <v>1548.94607745425</v>
      </c>
      <c r="X33" s="0" t="n">
        <f aca="false">W_PH(X$2,$A33)</f>
        <v>1548.96753336333</v>
      </c>
      <c r="Y33" s="0" t="n">
        <f aca="false">W_PH(Y$2,$A33)</f>
        <v>1549.18204315883</v>
      </c>
      <c r="Z33" s="0" t="n">
        <f aca="false">W_PH(Z$2,$A33)</f>
        <v>1549.39646347557</v>
      </c>
      <c r="AA33" s="0" t="n">
        <f aca="false">W_PH(AA$2,$A33)</f>
        <v>1549.61079452609</v>
      </c>
      <c r="AB33" s="0" t="n">
        <f aca="false">W_PH(AB$2,$A33)</f>
        <v>1549.82503652238</v>
      </c>
      <c r="AC33" s="0" t="n">
        <f aca="false">W_PH(AC$2,$A33)</f>
        <v>1550.0391896759</v>
      </c>
      <c r="AD33" s="0" t="n">
        <f aca="false">W_PH(AD$2,$A33)</f>
        <v>1550.25325419754</v>
      </c>
      <c r="AE33" s="0" t="n">
        <f aca="false">W_PH(AE$2,$A33)</f>
        <v>1550.46723029765</v>
      </c>
      <c r="AF33" s="0" t="n">
        <f aca="false">W_PH(AF$2,$A33)</f>
        <v>1550.68111818604</v>
      </c>
      <c r="AG33" s="0" t="n">
        <f aca="false">W_PH(AG$2,$A33)</f>
        <v>1550.89491807197</v>
      </c>
      <c r="AH33" s="0" t="n">
        <f aca="false">W_PH(AH$2,$A33)</f>
        <v>1553.02812243988</v>
      </c>
      <c r="AI33" s="0" t="n">
        <f aca="false">W_PH(AI$2,$A33)</f>
        <v>1555.15275266448</v>
      </c>
      <c r="AJ33" s="0" t="n">
        <f aca="false">W_PH(AJ$2,$A33)</f>
        <v>1557.26900892457</v>
      </c>
      <c r="AK33" s="0" t="n">
        <f aca="false">W_PH(AK$2,$A33)</f>
        <v>1559.37708587981</v>
      </c>
      <c r="AL33" s="0" t="n">
        <f aca="false">W_PH(AL$2,$A33)</f>
        <v>1561.47717266347</v>
      </c>
      <c r="AM33" s="0" t="n">
        <f aca="false">W_PH(AM$2,$A33)</f>
        <v>1563.56945288068</v>
      </c>
      <c r="AN33" s="0" t="n">
        <f aca="false">W_PH(AN$2,$A33)</f>
        <v>1565.6541046121</v>
      </c>
      <c r="AO33" s="0" t="n">
        <f aca="false">W_PH(AO$2,$A33)</f>
        <v>1567.73130042271</v>
      </c>
      <c r="AP33" s="0" t="n">
        <f aca="false">W_PH(AP$2,$A33)</f>
        <v>1569.80120737557</v>
      </c>
      <c r="AQ33" s="0" t="n">
        <f aca="false">W_PH(AQ$2,$A33)</f>
        <v>1590.13225974809</v>
      </c>
      <c r="AR33" s="0" t="n">
        <f aca="false">W_PH(AR$2,$A33)</f>
        <v>1594.25224565687</v>
      </c>
      <c r="AS33" s="0" t="n">
        <f aca="false">W_PH(AS$2,$A33)</f>
        <v>1596.11285578572</v>
      </c>
    </row>
    <row r="34" customFormat="false" ht="13.8" hidden="false" customHeight="false" outlineLevel="0" collapsed="false">
      <c r="A34" s="0" t="n">
        <v>500</v>
      </c>
      <c r="B34" s="0" t="n">
        <f aca="false">W_PH(B$2,$A34)</f>
        <v>2015</v>
      </c>
      <c r="C34" s="0" t="n">
        <f aca="false">W_PH(C$2,$A34)</f>
        <v>2015</v>
      </c>
      <c r="D34" s="0" t="n">
        <f aca="false">W_PH(D$2,$A34)</f>
        <v>2015</v>
      </c>
      <c r="E34" s="0" t="n">
        <f aca="false">W_PH(E$2,$A34)</f>
        <v>2015</v>
      </c>
      <c r="F34" s="0" t="n">
        <f aca="false">W_PH(F$2,$A34)</f>
        <v>2015</v>
      </c>
      <c r="G34" s="0" t="n">
        <f aca="false">W_PH(G$2,$A34)</f>
        <v>2015</v>
      </c>
      <c r="H34" s="0" t="n">
        <f aca="false">W_PH(H$2,$A34)</f>
        <v>2015</v>
      </c>
      <c r="I34" s="0" t="n">
        <f aca="false">W_PH(I$2,$A34)</f>
        <v>2015</v>
      </c>
      <c r="J34" s="0" t="n">
        <f aca="false">W_PH(J$2,$A34)</f>
        <v>2015</v>
      </c>
      <c r="K34" s="0" t="n">
        <f aca="false">W_PH(K$2,$A34)</f>
        <v>2015</v>
      </c>
      <c r="L34" s="0" t="n">
        <f aca="false">W_PH(L$2,$A34)</f>
        <v>2015</v>
      </c>
      <c r="M34" s="0" t="n">
        <f aca="false">W_PH(M$2,$A34)</f>
        <v>2015</v>
      </c>
      <c r="N34" s="0" t="n">
        <f aca="false">W_PH(N$2,$A34)</f>
        <v>2015</v>
      </c>
      <c r="O34" s="0" t="n">
        <f aca="false">W_PH(O$2,$A34)</f>
        <v>2015</v>
      </c>
      <c r="P34" s="0" t="n">
        <f aca="false">W_PH(P$2,$A34)</f>
        <v>2015</v>
      </c>
      <c r="Q34" s="0" t="n">
        <f aca="false">W_PH(Q$2,$A34)</f>
        <v>2015</v>
      </c>
      <c r="R34" s="0" t="n">
        <f aca="false">W_PH(R$2,$A34)</f>
        <v>2015</v>
      </c>
      <c r="S34" s="0" t="n">
        <f aca="false">W_PH(S$2,$A34)</f>
        <v>2015</v>
      </c>
      <c r="T34" s="0" t="n">
        <f aca="false">W_PH(T$2,$A34)</f>
        <v>2015</v>
      </c>
      <c r="U34" s="0" t="n">
        <f aca="false">W_PH(U$2,$A34)</f>
        <v>2015</v>
      </c>
      <c r="V34" s="0" t="n">
        <f aca="false">W_PH(V$2,$A34)</f>
        <v>2015</v>
      </c>
      <c r="W34" s="0" t="n">
        <f aca="false">W_PH(W$2,$A34)</f>
        <v>2015</v>
      </c>
      <c r="X34" s="0" t="n">
        <f aca="false">W_PH(X$2,$A34)</f>
        <v>2015</v>
      </c>
      <c r="Y34" s="0" t="n">
        <f aca="false">W_PH(Y$2,$A34)</f>
        <v>1522.30937519644</v>
      </c>
      <c r="Z34" s="0" t="n">
        <f aca="false">W_PH(Z$2,$A34)</f>
        <v>1522.56059227475</v>
      </c>
      <c r="AA34" s="0" t="n">
        <f aca="false">W_PH(AA$2,$A34)</f>
        <v>1522.81168009404</v>
      </c>
      <c r="AB34" s="0" t="n">
        <f aca="false">W_PH(AB$2,$A34)</f>
        <v>1523.06263896965</v>
      </c>
      <c r="AC34" s="0" t="n">
        <f aca="false">W_PH(AC$2,$A34)</f>
        <v>1523.31346921637</v>
      </c>
      <c r="AD34" s="0" t="n">
        <f aca="false">W_PH(AD$2,$A34)</f>
        <v>1523.56417114835</v>
      </c>
      <c r="AE34" s="0" t="n">
        <f aca="false">W_PH(AE$2,$A34)</f>
        <v>1523.81474507921</v>
      </c>
      <c r="AF34" s="0" t="n">
        <f aca="false">W_PH(AF$2,$A34)</f>
        <v>1524.06519132193</v>
      </c>
      <c r="AG34" s="0" t="n">
        <f aca="false">W_PH(AG$2,$A34)</f>
        <v>1524.31551018892</v>
      </c>
      <c r="AH34" s="0" t="n">
        <f aca="false">W_PH(AH$2,$A34)</f>
        <v>1526.81176149634</v>
      </c>
      <c r="AI34" s="0" t="n">
        <f aca="false">W_PH(AI$2,$A34)</f>
        <v>1529.29561441226</v>
      </c>
      <c r="AJ34" s="0" t="n">
        <f aca="false">W_PH(AJ$2,$A34)</f>
        <v>1531.76737129856</v>
      </c>
      <c r="AK34" s="0" t="n">
        <f aca="false">W_PH(AK$2,$A34)</f>
        <v>1534.22732822982</v>
      </c>
      <c r="AL34" s="0" t="n">
        <f aca="false">W_PH(AL$2,$A34)</f>
        <v>1536.67577484812</v>
      </c>
      <c r="AM34" s="0" t="n">
        <f aca="false">W_PH(AM$2,$A34)</f>
        <v>1539.11299423016</v>
      </c>
      <c r="AN34" s="0" t="n">
        <f aca="false">W_PH(AN$2,$A34)</f>
        <v>1541.53926276612</v>
      </c>
      <c r="AO34" s="0" t="n">
        <f aca="false">W_PH(AO$2,$A34)</f>
        <v>1543.95485005027</v>
      </c>
      <c r="AP34" s="0" t="n">
        <f aca="false">W_PH(AP$2,$A34)</f>
        <v>1546.36001878281</v>
      </c>
      <c r="AQ34" s="0" t="n">
        <f aca="false">W_PH(AQ$2,$A34)</f>
        <v>1569.89140687466</v>
      </c>
      <c r="AR34" s="0" t="n">
        <f aca="false">W_PH(AR$2,$A34)</f>
        <v>1574.64198040649</v>
      </c>
      <c r="AS34" s="0" t="n">
        <f aca="false">W_PH(AS$2,$A34)</f>
        <v>1576.78566493275</v>
      </c>
    </row>
    <row r="35" customFormat="false" ht="13.8" hidden="false" customHeight="false" outlineLevel="0" collapsed="false">
      <c r="A35" s="0" t="n">
        <v>600</v>
      </c>
      <c r="B35" s="0" t="n">
        <f aca="false">W_PH(B$2,$A35)</f>
        <v>2015</v>
      </c>
      <c r="C35" s="0" t="n">
        <f aca="false">W_PH(C$2,$A35)</f>
        <v>2015</v>
      </c>
      <c r="D35" s="0" t="n">
        <f aca="false">W_PH(D$2,$A35)</f>
        <v>2015</v>
      </c>
      <c r="E35" s="0" t="n">
        <f aca="false">W_PH(E$2,$A35)</f>
        <v>2015</v>
      </c>
      <c r="F35" s="0" t="n">
        <f aca="false">W_PH(F$2,$A35)</f>
        <v>2015</v>
      </c>
      <c r="G35" s="0" t="n">
        <f aca="false">W_PH(G$2,$A35)</f>
        <v>2015</v>
      </c>
      <c r="H35" s="0" t="n">
        <f aca="false">W_PH(H$2,$A35)</f>
        <v>2015</v>
      </c>
      <c r="I35" s="0" t="n">
        <f aca="false">W_PH(I$2,$A35)</f>
        <v>2015</v>
      </c>
      <c r="J35" s="0" t="n">
        <f aca="false">W_PH(J$2,$A35)</f>
        <v>2015</v>
      </c>
      <c r="K35" s="0" t="n">
        <f aca="false">W_PH(K$2,$A35)</f>
        <v>2015</v>
      </c>
      <c r="L35" s="0" t="n">
        <f aca="false">W_PH(L$2,$A35)</f>
        <v>2015</v>
      </c>
      <c r="M35" s="0" t="n">
        <f aca="false">W_PH(M$2,$A35)</f>
        <v>2015</v>
      </c>
      <c r="N35" s="0" t="n">
        <f aca="false">W_PH(N$2,$A35)</f>
        <v>2015</v>
      </c>
      <c r="O35" s="0" t="n">
        <f aca="false">W_PH(O$2,$A35)</f>
        <v>2015</v>
      </c>
      <c r="P35" s="0" t="n">
        <f aca="false">W_PH(P$2,$A35)</f>
        <v>2015</v>
      </c>
      <c r="Q35" s="0" t="n">
        <f aca="false">W_PH(Q$2,$A35)</f>
        <v>2015</v>
      </c>
      <c r="R35" s="0" t="n">
        <f aca="false">W_PH(R$2,$A35)</f>
        <v>2015</v>
      </c>
      <c r="S35" s="0" t="n">
        <f aca="false">W_PH(S$2,$A35)</f>
        <v>2015</v>
      </c>
      <c r="T35" s="0" t="n">
        <f aca="false">W_PH(T$2,$A35)</f>
        <v>2015</v>
      </c>
      <c r="U35" s="0" t="n">
        <f aca="false">W_PH(U$2,$A35)</f>
        <v>2015</v>
      </c>
      <c r="V35" s="0" t="n">
        <f aca="false">W_PH(V$2,$A35)</f>
        <v>2015</v>
      </c>
      <c r="W35" s="0" t="n">
        <f aca="false">W_PH(W$2,$A35)</f>
        <v>2015</v>
      </c>
      <c r="X35" s="0" t="n">
        <f aca="false">W_PH(X$2,$A35)</f>
        <v>2015</v>
      </c>
      <c r="Y35" s="0" t="n">
        <f aca="false">W_PH(Y$2,$A35)</f>
        <v>2015</v>
      </c>
      <c r="Z35" s="0" t="n">
        <f aca="false">W_PH(Z$2,$A35)</f>
        <v>2015</v>
      </c>
      <c r="AA35" s="0" t="n">
        <f aca="false">W_PH(AA$2,$A35)</f>
        <v>1481.64083698493</v>
      </c>
      <c r="AB35" s="0" t="n">
        <f aca="false">W_PH(AB$2,$A35)</f>
        <v>1481.93115244162</v>
      </c>
      <c r="AC35" s="0" t="n">
        <f aca="false">W_PH(AC$2,$A35)</f>
        <v>1482.22128532551</v>
      </c>
      <c r="AD35" s="0" t="n">
        <f aca="false">W_PH(AD$2,$A35)</f>
        <v>1482.51123605538</v>
      </c>
      <c r="AE35" s="0" t="n">
        <f aca="false">W_PH(AE$2,$A35)</f>
        <v>1482.80100504968</v>
      </c>
      <c r="AF35" s="0" t="n">
        <f aca="false">W_PH(AF$2,$A35)</f>
        <v>1483.09059272654</v>
      </c>
      <c r="AG35" s="0" t="n">
        <f aca="false">W_PH(AG$2,$A35)</f>
        <v>1483.37999950372</v>
      </c>
      <c r="AH35" s="0" t="n">
        <f aca="false">W_PH(AH$2,$A35)</f>
        <v>1486.26420944494</v>
      </c>
      <c r="AI35" s="0" t="n">
        <f aca="false">W_PH(AI$2,$A35)</f>
        <v>1489.13078620651</v>
      </c>
      <c r="AJ35" s="0" t="n">
        <f aca="false">W_PH(AJ$2,$A35)</f>
        <v>1491.98014109715</v>
      </c>
      <c r="AK35" s="0" t="n">
        <f aca="false">W_PH(AK$2,$A35)</f>
        <v>1494.81268094171</v>
      </c>
      <c r="AL35" s="0" t="n">
        <f aca="false">W_PH(AL$2,$A35)</f>
        <v>1497.6288076492</v>
      </c>
      <c r="AM35" s="0" t="n">
        <f aca="false">W_PH(AM$2,$A35)</f>
        <v>1500.4289178012</v>
      </c>
      <c r="AN35" s="0" t="n">
        <f aca="false">W_PH(AN$2,$A35)</f>
        <v>1503.21340226066</v>
      </c>
      <c r="AO35" s="0" t="n">
        <f aca="false">W_PH(AO$2,$A35)</f>
        <v>1505.98264580081</v>
      </c>
      <c r="AP35" s="0" t="n">
        <f aca="false">W_PH(AP$2,$A35)</f>
        <v>1508.73702675416</v>
      </c>
      <c r="AQ35" s="0" t="n">
        <f aca="false">W_PH(AQ$2,$A35)</f>
        <v>1535.54141691579</v>
      </c>
      <c r="AR35" s="0" t="n">
        <f aca="false">W_PH(AR$2,$A35)</f>
        <v>1540.92399851241</v>
      </c>
      <c r="AS35" s="0" t="n">
        <f aca="false">W_PH(AS$2,$A35)</f>
        <v>1543.35006045164</v>
      </c>
    </row>
    <row r="36" customFormat="false" ht="13.8" hidden="false" customHeight="false" outlineLevel="0" collapsed="false">
      <c r="A36" s="0" t="n">
        <v>700</v>
      </c>
      <c r="B36" s="0" t="n">
        <f aca="false">W_PH(B$2,$A36)</f>
        <v>2015</v>
      </c>
      <c r="C36" s="0" t="n">
        <f aca="false">W_PH(C$2,$A36)</f>
        <v>2015</v>
      </c>
      <c r="D36" s="0" t="n">
        <f aca="false">W_PH(D$2,$A36)</f>
        <v>2015</v>
      </c>
      <c r="E36" s="0" t="n">
        <f aca="false">W_PH(E$2,$A36)</f>
        <v>2015</v>
      </c>
      <c r="F36" s="0" t="n">
        <f aca="false">W_PH(F$2,$A36)</f>
        <v>2015</v>
      </c>
      <c r="G36" s="0" t="n">
        <f aca="false">W_PH(G$2,$A36)</f>
        <v>2015</v>
      </c>
      <c r="H36" s="0" t="n">
        <f aca="false">W_PH(H$2,$A36)</f>
        <v>2015</v>
      </c>
      <c r="I36" s="0" t="n">
        <f aca="false">W_PH(I$2,$A36)</f>
        <v>2015</v>
      </c>
      <c r="J36" s="0" t="n">
        <f aca="false">W_PH(J$2,$A36)</f>
        <v>2015</v>
      </c>
      <c r="K36" s="0" t="n">
        <f aca="false">W_PH(K$2,$A36)</f>
        <v>2015</v>
      </c>
      <c r="L36" s="0" t="n">
        <f aca="false">W_PH(L$2,$A36)</f>
        <v>2015</v>
      </c>
      <c r="M36" s="0" t="n">
        <f aca="false">W_PH(M$2,$A36)</f>
        <v>2015</v>
      </c>
      <c r="N36" s="0" t="n">
        <f aca="false">W_PH(N$2,$A36)</f>
        <v>2015</v>
      </c>
      <c r="O36" s="0" t="n">
        <f aca="false">W_PH(O$2,$A36)</f>
        <v>2015</v>
      </c>
      <c r="P36" s="0" t="n">
        <f aca="false">W_PH(P$2,$A36)</f>
        <v>2015</v>
      </c>
      <c r="Q36" s="0" t="n">
        <f aca="false">W_PH(Q$2,$A36)</f>
        <v>2015</v>
      </c>
      <c r="R36" s="0" t="n">
        <f aca="false">W_PH(R$2,$A36)</f>
        <v>2015</v>
      </c>
      <c r="S36" s="0" t="n">
        <f aca="false">W_PH(S$2,$A36)</f>
        <v>2015</v>
      </c>
      <c r="T36" s="0" t="n">
        <f aca="false">W_PH(T$2,$A36)</f>
        <v>2015</v>
      </c>
      <c r="U36" s="0" t="n">
        <f aca="false">W_PH(U$2,$A36)</f>
        <v>2015</v>
      </c>
      <c r="V36" s="0" t="n">
        <f aca="false">W_PH(V$2,$A36)</f>
        <v>2015</v>
      </c>
      <c r="W36" s="0" t="n">
        <f aca="false">W_PH(W$2,$A36)</f>
        <v>2015</v>
      </c>
      <c r="X36" s="0" t="n">
        <f aca="false">W_PH(X$2,$A36)</f>
        <v>2015</v>
      </c>
      <c r="Y36" s="0" t="n">
        <f aca="false">W_PH(Y$2,$A36)</f>
        <v>2015</v>
      </c>
      <c r="Z36" s="0" t="n">
        <f aca="false">W_PH(Z$2,$A36)</f>
        <v>2015</v>
      </c>
      <c r="AA36" s="0" t="n">
        <f aca="false">W_PH(AA$2,$A36)</f>
        <v>2015</v>
      </c>
      <c r="AB36" s="0" t="n">
        <f aca="false">W_PH(AB$2,$A36)</f>
        <v>2015</v>
      </c>
      <c r="AC36" s="0" t="n">
        <f aca="false">W_PH(AC$2,$A36)</f>
        <v>2015</v>
      </c>
      <c r="AD36" s="0" t="n">
        <f aca="false">W_PH(AD$2,$A36)</f>
        <v>2015</v>
      </c>
      <c r="AE36" s="0" t="n">
        <f aca="false">W_PH(AE$2,$A36)</f>
        <v>1429.69325911673</v>
      </c>
      <c r="AF36" s="0" t="n">
        <f aca="false">W_PH(AF$2,$A36)</f>
        <v>1430.02650496008</v>
      </c>
      <c r="AG36" s="0" t="n">
        <f aca="false">W_PH(AG$2,$A36)</f>
        <v>1430.35950533706</v>
      </c>
      <c r="AH36" s="0" t="n">
        <f aca="false">W_PH(AH$2,$A36)</f>
        <v>1433.67611347043</v>
      </c>
      <c r="AI36" s="0" t="n">
        <f aca="false">W_PH(AI$2,$A36)</f>
        <v>1436.96870136652</v>
      </c>
      <c r="AJ36" s="0" t="n">
        <f aca="false">W_PH(AJ$2,$A36)</f>
        <v>1440.23775050122</v>
      </c>
      <c r="AK36" s="0" t="n">
        <f aca="false">W_PH(AK$2,$A36)</f>
        <v>1443.48374452438</v>
      </c>
      <c r="AL36" s="0" t="n">
        <f aca="false">W_PH(AL$2,$A36)</f>
        <v>1446.70716840463</v>
      </c>
      <c r="AM36" s="0" t="n">
        <f aca="false">W_PH(AM$2,$A36)</f>
        <v>1449.90850759551</v>
      </c>
      <c r="AN36" s="0" t="n">
        <f aca="false">W_PH(AN$2,$A36)</f>
        <v>1453.08824722394</v>
      </c>
      <c r="AO36" s="0" t="n">
        <f aca="false">W_PH(AO$2,$A36)</f>
        <v>1456.24687130166</v>
      </c>
      <c r="AP36" s="0" t="n">
        <f aca="false">W_PH(AP$2,$A36)</f>
        <v>1459.38486196023</v>
      </c>
      <c r="AQ36" s="0" t="n">
        <f aca="false">W_PH(AQ$2,$A36)</f>
        <v>1489.73324841523</v>
      </c>
      <c r="AR36" s="0" t="n">
        <f aca="false">W_PH(AR$2,$A36)</f>
        <v>1495.78783998613</v>
      </c>
      <c r="AS36" s="0" t="n">
        <f aca="false">W_PH(AS$2,$A36)</f>
        <v>1498.51274576577</v>
      </c>
    </row>
    <row r="37" customFormat="false" ht="13.8" hidden="false" customHeight="false" outlineLevel="0" collapsed="false">
      <c r="A37" s="0" t="n">
        <v>800</v>
      </c>
      <c r="B37" s="0" t="n">
        <f aca="false">W_PH(B$2,$A37)</f>
        <v>2015</v>
      </c>
      <c r="C37" s="0" t="n">
        <f aca="false">W_PH(C$2,$A37)</f>
        <v>2015</v>
      </c>
      <c r="D37" s="0" t="n">
        <f aca="false">W_PH(D$2,$A37)</f>
        <v>2015</v>
      </c>
      <c r="E37" s="0" t="n">
        <f aca="false">W_PH(E$2,$A37)</f>
        <v>2015</v>
      </c>
      <c r="F37" s="0" t="n">
        <f aca="false">W_PH(F$2,$A37)</f>
        <v>2015</v>
      </c>
      <c r="G37" s="0" t="n">
        <f aca="false">W_PH(G$2,$A37)</f>
        <v>2015</v>
      </c>
      <c r="H37" s="0" t="n">
        <f aca="false">W_PH(H$2,$A37)</f>
        <v>2015</v>
      </c>
      <c r="I37" s="0" t="n">
        <f aca="false">W_PH(I$2,$A37)</f>
        <v>2015</v>
      </c>
      <c r="J37" s="0" t="n">
        <f aca="false">W_PH(J$2,$A37)</f>
        <v>2015</v>
      </c>
      <c r="K37" s="0" t="n">
        <f aca="false">W_PH(K$2,$A37)</f>
        <v>2015</v>
      </c>
      <c r="L37" s="0" t="n">
        <f aca="false">W_PH(L$2,$A37)</f>
        <v>2015</v>
      </c>
      <c r="M37" s="0" t="n">
        <f aca="false">W_PH(M$2,$A37)</f>
        <v>2015</v>
      </c>
      <c r="N37" s="0" t="n">
        <f aca="false">W_PH(N$2,$A37)</f>
        <v>2015</v>
      </c>
      <c r="O37" s="0" t="n">
        <f aca="false">W_PH(O$2,$A37)</f>
        <v>2015</v>
      </c>
      <c r="P37" s="0" t="n">
        <f aca="false">W_PH(P$2,$A37)</f>
        <v>2015</v>
      </c>
      <c r="Q37" s="0" t="n">
        <f aca="false">W_PH(Q$2,$A37)</f>
        <v>2015</v>
      </c>
      <c r="R37" s="0" t="n">
        <f aca="false">W_PH(R$2,$A37)</f>
        <v>2015</v>
      </c>
      <c r="S37" s="0" t="n">
        <f aca="false">W_PH(S$2,$A37)</f>
        <v>2015</v>
      </c>
      <c r="T37" s="0" t="n">
        <f aca="false">W_PH(T$2,$A37)</f>
        <v>2015</v>
      </c>
      <c r="U37" s="0" t="n">
        <f aca="false">W_PH(U$2,$A37)</f>
        <v>2015</v>
      </c>
      <c r="V37" s="0" t="n">
        <f aca="false">W_PH(V$2,$A37)</f>
        <v>2015</v>
      </c>
      <c r="W37" s="0" t="n">
        <f aca="false">W_PH(W$2,$A37)</f>
        <v>2015</v>
      </c>
      <c r="X37" s="0" t="n">
        <f aca="false">W_PH(X$2,$A37)</f>
        <v>2015</v>
      </c>
      <c r="Y37" s="0" t="n">
        <f aca="false">W_PH(Y$2,$A37)</f>
        <v>2015</v>
      </c>
      <c r="Z37" s="0" t="n">
        <f aca="false">W_PH(Z$2,$A37)</f>
        <v>2015</v>
      </c>
      <c r="AA37" s="0" t="n">
        <f aca="false">W_PH(AA$2,$A37)</f>
        <v>2015</v>
      </c>
      <c r="AB37" s="0" t="n">
        <f aca="false">W_PH(AB$2,$A37)</f>
        <v>2015</v>
      </c>
      <c r="AC37" s="0" t="n">
        <f aca="false">W_PH(AC$2,$A37)</f>
        <v>2015</v>
      </c>
      <c r="AD37" s="0" t="n">
        <f aca="false">W_PH(AD$2,$A37)</f>
        <v>2015</v>
      </c>
      <c r="AE37" s="0" t="n">
        <f aca="false">W_PH(AE$2,$A37)</f>
        <v>2015</v>
      </c>
      <c r="AF37" s="0" t="n">
        <f aca="false">W_PH(AF$2,$A37)</f>
        <v>2015</v>
      </c>
      <c r="AG37" s="0" t="n">
        <f aca="false">W_PH(AG$2,$A37)</f>
        <v>2015</v>
      </c>
      <c r="AH37" s="0" t="n">
        <f aca="false">W_PH(AH$2,$A37)</f>
        <v>1370.39287789988</v>
      </c>
      <c r="AI37" s="0" t="n">
        <f aca="false">W_PH(AI$2,$A37)</f>
        <v>1374.16513003192</v>
      </c>
      <c r="AJ37" s="0" t="n">
        <f aca="false">W_PH(AJ$2,$A37)</f>
        <v>1377.90713994935</v>
      </c>
      <c r="AK37" s="0" t="n">
        <f aca="false">W_PH(AK$2,$A37)</f>
        <v>1381.61937413416</v>
      </c>
      <c r="AL37" s="0" t="n">
        <f aca="false">W_PH(AL$2,$A37)</f>
        <v>1385.30231197244</v>
      </c>
      <c r="AM37" s="0" t="n">
        <f aca="false">W_PH(AM$2,$A37)</f>
        <v>1388.95644455443</v>
      </c>
      <c r="AN37" s="0" t="n">
        <f aca="false">W_PH(AN$2,$A37)</f>
        <v>1392.58227348272</v>
      </c>
      <c r="AO37" s="0" t="n">
        <f aca="false">W_PH(AO$2,$A37)</f>
        <v>1396.18030969037</v>
      </c>
      <c r="AP37" s="0" t="n">
        <f aca="false">W_PH(AP$2,$A37)</f>
        <v>1399.75107227041</v>
      </c>
      <c r="AQ37" s="0" t="n">
        <f aca="false">W_PH(AQ$2,$A37)</f>
        <v>1434.07641270569</v>
      </c>
      <c r="AR37" s="0" t="n">
        <f aca="false">W_PH(AR$2,$A37)</f>
        <v>1440.87740780683</v>
      </c>
      <c r="AS37" s="0" t="n">
        <f aca="false">W_PH(AS$2,$A37)</f>
        <v>1443.93312271042</v>
      </c>
    </row>
    <row r="38" customFormat="false" ht="13.8" hidden="false" customHeight="false" outlineLevel="0" collapsed="false">
      <c r="A38" s="0" t="n">
        <v>900</v>
      </c>
      <c r="B38" s="0" t="n">
        <f aca="false">W_PH(B$2,$A38)</f>
        <v>2015</v>
      </c>
      <c r="C38" s="0" t="n">
        <f aca="false">W_PH(C$2,$A38)</f>
        <v>2015</v>
      </c>
      <c r="D38" s="0" t="n">
        <f aca="false">W_PH(D$2,$A38)</f>
        <v>2015</v>
      </c>
      <c r="E38" s="0" t="n">
        <f aca="false">W_PH(E$2,$A38)</f>
        <v>2015</v>
      </c>
      <c r="F38" s="0" t="n">
        <f aca="false">W_PH(F$2,$A38)</f>
        <v>2015</v>
      </c>
      <c r="G38" s="0" t="n">
        <f aca="false">W_PH(G$2,$A38)</f>
        <v>2015</v>
      </c>
      <c r="H38" s="0" t="n">
        <f aca="false">W_PH(H$2,$A38)</f>
        <v>2015</v>
      </c>
      <c r="I38" s="0" t="n">
        <f aca="false">W_PH(I$2,$A38)</f>
        <v>2015</v>
      </c>
      <c r="J38" s="0" t="n">
        <f aca="false">W_PH(J$2,$A38)</f>
        <v>2015</v>
      </c>
      <c r="K38" s="0" t="n">
        <f aca="false">W_PH(K$2,$A38)</f>
        <v>2015</v>
      </c>
      <c r="L38" s="0" t="n">
        <f aca="false">W_PH(L$2,$A38)</f>
        <v>2015</v>
      </c>
      <c r="M38" s="0" t="n">
        <f aca="false">W_PH(M$2,$A38)</f>
        <v>2015</v>
      </c>
      <c r="N38" s="0" t="n">
        <f aca="false">W_PH(N$2,$A38)</f>
        <v>2015</v>
      </c>
      <c r="O38" s="0" t="n">
        <f aca="false">W_PH(O$2,$A38)</f>
        <v>2015</v>
      </c>
      <c r="P38" s="0" t="n">
        <f aca="false">W_PH(P$2,$A38)</f>
        <v>2015</v>
      </c>
      <c r="Q38" s="0" t="n">
        <f aca="false">W_PH(Q$2,$A38)</f>
        <v>2015</v>
      </c>
      <c r="R38" s="0" t="n">
        <f aca="false">W_PH(R$2,$A38)</f>
        <v>2015</v>
      </c>
      <c r="S38" s="0" t="n">
        <f aca="false">W_PH(S$2,$A38)</f>
        <v>2015</v>
      </c>
      <c r="T38" s="0" t="n">
        <f aca="false">W_PH(T$2,$A38)</f>
        <v>2015</v>
      </c>
      <c r="U38" s="0" t="n">
        <f aca="false">W_PH(U$2,$A38)</f>
        <v>2015</v>
      </c>
      <c r="V38" s="0" t="n">
        <f aca="false">W_PH(V$2,$A38)</f>
        <v>2015</v>
      </c>
      <c r="W38" s="0" t="n">
        <f aca="false">W_PH(W$2,$A38)</f>
        <v>2015</v>
      </c>
      <c r="X38" s="0" t="n">
        <f aca="false">W_PH(X$2,$A38)</f>
        <v>2015</v>
      </c>
      <c r="Y38" s="0" t="n">
        <f aca="false">W_PH(Y$2,$A38)</f>
        <v>2015</v>
      </c>
      <c r="Z38" s="0" t="n">
        <f aca="false">W_PH(Z$2,$A38)</f>
        <v>2015</v>
      </c>
      <c r="AA38" s="0" t="n">
        <f aca="false">W_PH(AA$2,$A38)</f>
        <v>2015</v>
      </c>
      <c r="AB38" s="0" t="n">
        <f aca="false">W_PH(AB$2,$A38)</f>
        <v>2015</v>
      </c>
      <c r="AC38" s="0" t="n">
        <f aca="false">W_PH(AC$2,$A38)</f>
        <v>2015</v>
      </c>
      <c r="AD38" s="0" t="n">
        <f aca="false">W_PH(AD$2,$A38)</f>
        <v>2015</v>
      </c>
      <c r="AE38" s="0" t="n">
        <f aca="false">W_PH(AE$2,$A38)</f>
        <v>2015</v>
      </c>
      <c r="AF38" s="0" t="n">
        <f aca="false">W_PH(AF$2,$A38)</f>
        <v>2015</v>
      </c>
      <c r="AG38" s="0" t="n">
        <f aca="false">W_PH(AG$2,$A38)</f>
        <v>2015</v>
      </c>
      <c r="AH38" s="0" t="n">
        <f aca="false">W_PH(AH$2,$A38)</f>
        <v>1297.30027534857</v>
      </c>
      <c r="AI38" s="0" t="n">
        <f aca="false">W_PH(AI$2,$A38)</f>
        <v>1301.60464787597</v>
      </c>
      <c r="AJ38" s="0" t="n">
        <f aca="false">W_PH(AJ$2,$A38)</f>
        <v>1305.87268096073</v>
      </c>
      <c r="AK38" s="0" t="n">
        <f aca="false">W_PH(AK$2,$A38)</f>
        <v>1310.10471558955</v>
      </c>
      <c r="AL38" s="0" t="n">
        <f aca="false">W_PH(AL$2,$A38)</f>
        <v>1314.30111829948</v>
      </c>
      <c r="AM38" s="0" t="n">
        <f aca="false">W_PH(AM$2,$A38)</f>
        <v>1318.46228001244</v>
      </c>
      <c r="AN38" s="0" t="n">
        <f aca="false">W_PH(AN$2,$A38)</f>
        <v>1322.58861480373</v>
      </c>
      <c r="AO38" s="0" t="n">
        <f aca="false">W_PH(AO$2,$A38)</f>
        <v>1326.68055862252</v>
      </c>
      <c r="AP38" s="0" t="n">
        <f aca="false">W_PH(AP$2,$A38)</f>
        <v>1330.73856798019</v>
      </c>
      <c r="AQ38" s="0" t="n">
        <f aca="false">W_PH(AQ$2,$A38)</f>
        <v>1369.56472668506</v>
      </c>
      <c r="AR38" s="0" t="n">
        <f aca="false">W_PH(AR$2,$A38)</f>
        <v>1377.21134935823</v>
      </c>
      <c r="AS38" s="0" t="n">
        <f aca="false">W_PH(AS$2,$A38)</f>
        <v>1380.64149267547</v>
      </c>
    </row>
    <row r="39" customFormat="false" ht="13.8" hidden="false" customHeight="false" outlineLevel="0" collapsed="false">
      <c r="A39" s="0" t="n">
        <v>1000</v>
      </c>
      <c r="B39" s="0" t="n">
        <f aca="false">W_PH(B$2,$A39)</f>
        <v>2015</v>
      </c>
      <c r="C39" s="0" t="n">
        <f aca="false">W_PH(C$2,$A39)</f>
        <v>2015</v>
      </c>
      <c r="D39" s="0" t="n">
        <f aca="false">W_PH(D$2,$A39)</f>
        <v>2015</v>
      </c>
      <c r="E39" s="0" t="n">
        <f aca="false">W_PH(E$2,$A39)</f>
        <v>2015</v>
      </c>
      <c r="F39" s="0" t="n">
        <f aca="false">W_PH(F$2,$A39)</f>
        <v>2015</v>
      </c>
      <c r="G39" s="0" t="n">
        <f aca="false">W_PH(G$2,$A39)</f>
        <v>2015</v>
      </c>
      <c r="H39" s="0" t="n">
        <f aca="false">W_PH(H$2,$A39)</f>
        <v>2015</v>
      </c>
      <c r="I39" s="0" t="n">
        <f aca="false">W_PH(I$2,$A39)</f>
        <v>2015</v>
      </c>
      <c r="J39" s="0" t="n">
        <f aca="false">W_PH(J$2,$A39)</f>
        <v>2015</v>
      </c>
      <c r="K39" s="0" t="n">
        <f aca="false">W_PH(K$2,$A39)</f>
        <v>2015</v>
      </c>
      <c r="L39" s="0" t="n">
        <f aca="false">W_PH(L$2,$A39)</f>
        <v>2015</v>
      </c>
      <c r="M39" s="0" t="n">
        <f aca="false">W_PH(M$2,$A39)</f>
        <v>2015</v>
      </c>
      <c r="N39" s="0" t="n">
        <f aca="false">W_PH(N$2,$A39)</f>
        <v>2015</v>
      </c>
      <c r="O39" s="0" t="n">
        <f aca="false">W_PH(O$2,$A39)</f>
        <v>2015</v>
      </c>
      <c r="P39" s="0" t="n">
        <f aca="false">W_PH(P$2,$A39)</f>
        <v>2015</v>
      </c>
      <c r="Q39" s="0" t="n">
        <f aca="false">W_PH(Q$2,$A39)</f>
        <v>2015</v>
      </c>
      <c r="R39" s="0" t="n">
        <f aca="false">W_PH(R$2,$A39)</f>
        <v>2015</v>
      </c>
      <c r="S39" s="0" t="n">
        <f aca="false">W_PH(S$2,$A39)</f>
        <v>2015</v>
      </c>
      <c r="T39" s="0" t="n">
        <f aca="false">W_PH(T$2,$A39)</f>
        <v>2015</v>
      </c>
      <c r="U39" s="0" t="n">
        <f aca="false">W_PH(U$2,$A39)</f>
        <v>2015</v>
      </c>
      <c r="V39" s="0" t="n">
        <f aca="false">W_PH(V$2,$A39)</f>
        <v>2015</v>
      </c>
      <c r="W39" s="0" t="n">
        <f aca="false">W_PH(W$2,$A39)</f>
        <v>2015</v>
      </c>
      <c r="X39" s="0" t="n">
        <f aca="false">W_PH(X$2,$A39)</f>
        <v>2015</v>
      </c>
      <c r="Y39" s="0" t="n">
        <f aca="false">W_PH(Y$2,$A39)</f>
        <v>2015</v>
      </c>
      <c r="Z39" s="0" t="n">
        <f aca="false">W_PH(Z$2,$A39)</f>
        <v>2015</v>
      </c>
      <c r="AA39" s="0" t="n">
        <f aca="false">W_PH(AA$2,$A39)</f>
        <v>2015</v>
      </c>
      <c r="AB39" s="0" t="n">
        <f aca="false">W_PH(AB$2,$A39)</f>
        <v>2015</v>
      </c>
      <c r="AC39" s="0" t="n">
        <f aca="false">W_PH(AC$2,$A39)</f>
        <v>2015</v>
      </c>
      <c r="AD39" s="0" t="n">
        <f aca="false">W_PH(AD$2,$A39)</f>
        <v>2015</v>
      </c>
      <c r="AE39" s="0" t="n">
        <f aca="false">W_PH(AE$2,$A39)</f>
        <v>2015</v>
      </c>
      <c r="AF39" s="0" t="n">
        <f aca="false">W_PH(AF$2,$A39)</f>
        <v>2015</v>
      </c>
      <c r="AG39" s="0" t="n">
        <f aca="false">W_PH(AG$2,$A39)</f>
        <v>2015</v>
      </c>
      <c r="AH39" s="0" t="n">
        <f aca="false">W_PH(AH$2,$A39)</f>
        <v>2015</v>
      </c>
      <c r="AI39" s="0" t="n">
        <f aca="false">W_PH(AI$2,$A39)</f>
        <v>1220.00425353162</v>
      </c>
      <c r="AJ39" s="0" t="n">
        <f aca="false">W_PH(AJ$2,$A39)</f>
        <v>1224.85404025415</v>
      </c>
      <c r="AK39" s="0" t="n">
        <f aca="false">W_PH(AK$2,$A39)</f>
        <v>1229.66166100527</v>
      </c>
      <c r="AL39" s="0" t="n">
        <f aca="false">W_PH(AL$2,$A39)</f>
        <v>1234.42738856995</v>
      </c>
      <c r="AM39" s="0" t="n">
        <f aca="false">W_PH(AM$2,$A39)</f>
        <v>1239.15151766802</v>
      </c>
      <c r="AN39" s="0" t="n">
        <f aca="false">W_PH(AN$2,$A39)</f>
        <v>1243.83436689342</v>
      </c>
      <c r="AO39" s="0" t="n">
        <f aca="false">W_PH(AO$2,$A39)</f>
        <v>1248.4762800803</v>
      </c>
      <c r="AP39" s="0" t="n">
        <f aca="false">W_PH(AP$2,$A39)</f>
        <v>1253.07762709352</v>
      </c>
      <c r="AQ39" s="0" t="n">
        <f aca="false">W_PH(AQ$2,$A39)</f>
        <v>1296.95926100157</v>
      </c>
      <c r="AR39" s="0" t="n">
        <f aca="false">W_PH(AR$2,$A39)</f>
        <v>1305.56223276183</v>
      </c>
      <c r="AS39" s="0" t="n">
        <f aca="false">W_PH(AS$2,$A39)</f>
        <v>1309.41629794147</v>
      </c>
    </row>
    <row r="40" customFormat="false" ht="13.8" hidden="false" customHeight="false" outlineLevel="0" collapsed="false">
      <c r="A40" s="0" t="n">
        <v>2000</v>
      </c>
      <c r="B40" s="0" t="n">
        <f aca="false">W_PH(B$2,$A40)</f>
        <v>2015</v>
      </c>
      <c r="C40" s="0" t="n">
        <f aca="false">W_PH(C$2,$A40)</f>
        <v>2015</v>
      </c>
      <c r="D40" s="0" t="n">
        <f aca="false">W_PH(D$2,$A40)</f>
        <v>2015</v>
      </c>
      <c r="E40" s="0" t="n">
        <f aca="false">W_PH(E$2,$A40)</f>
        <v>2015</v>
      </c>
      <c r="F40" s="0" t="n">
        <f aca="false">W_PH(F$2,$A40)</f>
        <v>2015</v>
      </c>
      <c r="G40" s="0" t="n">
        <f aca="false">W_PH(G$2,$A40)</f>
        <v>2015</v>
      </c>
      <c r="H40" s="0" t="n">
        <f aca="false">W_PH(H$2,$A40)</f>
        <v>2015</v>
      </c>
      <c r="I40" s="0" t="n">
        <f aca="false">W_PH(I$2,$A40)</f>
        <v>2015</v>
      </c>
      <c r="J40" s="0" t="n">
        <f aca="false">W_PH(J$2,$A40)</f>
        <v>2015</v>
      </c>
      <c r="K40" s="0" t="n">
        <f aca="false">W_PH(K$2,$A40)</f>
        <v>2015</v>
      </c>
      <c r="L40" s="0" t="n">
        <f aca="false">W_PH(L$2,$A40)</f>
        <v>2015</v>
      </c>
      <c r="M40" s="0" t="n">
        <f aca="false">W_PH(M$2,$A40)</f>
        <v>2015</v>
      </c>
      <c r="N40" s="0" t="n">
        <f aca="false">W_PH(N$2,$A40)</f>
        <v>2015</v>
      </c>
      <c r="O40" s="0" t="n">
        <f aca="false">W_PH(O$2,$A40)</f>
        <v>2015</v>
      </c>
      <c r="P40" s="0" t="n">
        <f aca="false">W_PH(P$2,$A40)</f>
        <v>2015</v>
      </c>
      <c r="Q40" s="0" t="n">
        <f aca="false">W_PH(Q$2,$A40)</f>
        <v>2015</v>
      </c>
      <c r="R40" s="0" t="n">
        <f aca="false">W_PH(R$2,$A40)</f>
        <v>2015</v>
      </c>
      <c r="S40" s="0" t="n">
        <f aca="false">W_PH(S$2,$A40)</f>
        <v>2015</v>
      </c>
      <c r="T40" s="0" t="n">
        <f aca="false">W_PH(T$2,$A40)</f>
        <v>2015</v>
      </c>
      <c r="U40" s="0" t="n">
        <f aca="false">W_PH(U$2,$A40)</f>
        <v>2015</v>
      </c>
      <c r="V40" s="0" t="n">
        <f aca="false">W_PH(V$2,$A40)</f>
        <v>2015</v>
      </c>
      <c r="W40" s="0" t="n">
        <f aca="false">W_PH(W$2,$A40)</f>
        <v>2015</v>
      </c>
      <c r="X40" s="0" t="n">
        <f aca="false">W_PH(X$2,$A40)</f>
        <v>2015</v>
      </c>
      <c r="Y40" s="0" t="n">
        <f aca="false">W_PH(Y$2,$A40)</f>
        <v>2015</v>
      </c>
      <c r="Z40" s="0" t="n">
        <f aca="false">W_PH(Z$2,$A40)</f>
        <v>2015</v>
      </c>
      <c r="AA40" s="0" t="n">
        <f aca="false">W_PH(AA$2,$A40)</f>
        <v>2015</v>
      </c>
      <c r="AB40" s="0" t="n">
        <f aca="false">W_PH(AB$2,$A40)</f>
        <v>2015</v>
      </c>
      <c r="AC40" s="0" t="n">
        <f aca="false">W_PH(AC$2,$A40)</f>
        <v>2015</v>
      </c>
      <c r="AD40" s="0" t="n">
        <f aca="false">W_PH(AD$2,$A40)</f>
        <v>2015</v>
      </c>
      <c r="AE40" s="0" t="n">
        <f aca="false">W_PH(AE$2,$A40)</f>
        <v>2015</v>
      </c>
      <c r="AF40" s="0" t="n">
        <f aca="false">W_PH(AF$2,$A40)</f>
        <v>2015</v>
      </c>
      <c r="AG40" s="0" t="n">
        <f aca="false">W_PH(AG$2,$A40)</f>
        <v>2015</v>
      </c>
      <c r="AH40" s="0" t="n">
        <f aca="false">W_PH(AH$2,$A40)</f>
        <v>2015</v>
      </c>
      <c r="AI40" s="0" t="n">
        <f aca="false">W_PH(AI$2,$A40)</f>
        <v>2015</v>
      </c>
      <c r="AJ40" s="0" t="n">
        <f aca="false">W_PH(AJ$2,$A40)</f>
        <v>2015</v>
      </c>
      <c r="AK40" s="0" t="n">
        <f aca="false">W_PH(AK$2,$A40)</f>
        <v>2015</v>
      </c>
      <c r="AL40" s="0" t="n">
        <f aca="false">W_PH(AL$2,$A40)</f>
        <v>2015</v>
      </c>
      <c r="AM40" s="0" t="n">
        <f aca="false">W_PH(AM$2,$A40)</f>
        <v>2015</v>
      </c>
      <c r="AN40" s="0" t="n">
        <f aca="false">W_PH(AN$2,$A40)</f>
        <v>2015</v>
      </c>
      <c r="AO40" s="0" t="n">
        <f aca="false">W_PH(AO$2,$A40)</f>
        <v>2015</v>
      </c>
      <c r="AP40" s="0" t="n">
        <f aca="false">W_PH(AP$2,$A40)</f>
        <v>2015</v>
      </c>
      <c r="AQ40" s="0" t="n">
        <f aca="false">W_PH(AQ$2,$A40)</f>
        <v>2015</v>
      </c>
      <c r="AR40" s="0" t="n">
        <f aca="false">W_PH(AR$2,$A40)</f>
        <v>322.136561899464</v>
      </c>
      <c r="AS40" s="0" t="n">
        <f aca="false">W_PH(AS$2,$A40)</f>
        <v>343.483349530469</v>
      </c>
    </row>
    <row r="41" customFormat="false" ht="13.8" hidden="false" customHeight="false" outlineLevel="0" collapsed="false">
      <c r="A41" s="0" t="n">
        <v>2010</v>
      </c>
      <c r="B41" s="0" t="n">
        <f aca="false">W_PH(B$2,$A41)</f>
        <v>2015</v>
      </c>
      <c r="C41" s="0" t="n">
        <f aca="false">W_PH(C$2,$A41)</f>
        <v>2015</v>
      </c>
      <c r="D41" s="0" t="n">
        <f aca="false">W_PH(D$2,$A41)</f>
        <v>2015</v>
      </c>
      <c r="E41" s="0" t="n">
        <f aca="false">W_PH(E$2,$A41)</f>
        <v>2015</v>
      </c>
      <c r="F41" s="0" t="n">
        <f aca="false">W_PH(F$2,$A41)</f>
        <v>2015</v>
      </c>
      <c r="G41" s="0" t="n">
        <f aca="false">W_PH(G$2,$A41)</f>
        <v>2015</v>
      </c>
      <c r="H41" s="0" t="n">
        <f aca="false">W_PH(H$2,$A41)</f>
        <v>2015</v>
      </c>
      <c r="I41" s="0" t="n">
        <f aca="false">W_PH(I$2,$A41)</f>
        <v>2015</v>
      </c>
      <c r="J41" s="0" t="n">
        <f aca="false">W_PH(J$2,$A41)</f>
        <v>2015</v>
      </c>
      <c r="K41" s="0" t="n">
        <f aca="false">W_PH(K$2,$A41)</f>
        <v>2015</v>
      </c>
      <c r="L41" s="0" t="n">
        <f aca="false">W_PH(L$2,$A41)</f>
        <v>2015</v>
      </c>
      <c r="M41" s="0" t="n">
        <f aca="false">W_PH(M$2,$A41)</f>
        <v>2015</v>
      </c>
      <c r="N41" s="0" t="n">
        <f aca="false">W_PH(N$2,$A41)</f>
        <v>2015</v>
      </c>
      <c r="O41" s="0" t="n">
        <f aca="false">W_PH(O$2,$A41)</f>
        <v>2015</v>
      </c>
      <c r="P41" s="0" t="n">
        <f aca="false">W_PH(P$2,$A41)</f>
        <v>2015</v>
      </c>
      <c r="Q41" s="0" t="n">
        <f aca="false">W_PH(Q$2,$A41)</f>
        <v>2015</v>
      </c>
      <c r="R41" s="0" t="n">
        <f aca="false">W_PH(R$2,$A41)</f>
        <v>2015</v>
      </c>
      <c r="S41" s="0" t="n">
        <f aca="false">W_PH(S$2,$A41)</f>
        <v>2015</v>
      </c>
      <c r="T41" s="0" t="n">
        <f aca="false">W_PH(T$2,$A41)</f>
        <v>2015</v>
      </c>
      <c r="U41" s="0" t="n">
        <f aca="false">W_PH(U$2,$A41)</f>
        <v>2015</v>
      </c>
      <c r="V41" s="0" t="n">
        <f aca="false">W_PH(V$2,$A41)</f>
        <v>2015</v>
      </c>
      <c r="W41" s="0" t="n">
        <f aca="false">W_PH(W$2,$A41)</f>
        <v>2015</v>
      </c>
      <c r="X41" s="0" t="n">
        <f aca="false">W_PH(X$2,$A41)</f>
        <v>2015</v>
      </c>
      <c r="Y41" s="0" t="n">
        <f aca="false">W_PH(Y$2,$A41)</f>
        <v>2015</v>
      </c>
      <c r="Z41" s="0" t="n">
        <f aca="false">W_PH(Z$2,$A41)</f>
        <v>2015</v>
      </c>
      <c r="AA41" s="0" t="n">
        <f aca="false">W_PH(AA$2,$A41)</f>
        <v>2015</v>
      </c>
      <c r="AB41" s="0" t="n">
        <f aca="false">W_PH(AB$2,$A41)</f>
        <v>2015</v>
      </c>
      <c r="AC41" s="0" t="n">
        <f aca="false">W_PH(AC$2,$A41)</f>
        <v>2015</v>
      </c>
      <c r="AD41" s="0" t="n">
        <f aca="false">W_PH(AD$2,$A41)</f>
        <v>2015</v>
      </c>
      <c r="AE41" s="0" t="n">
        <f aca="false">W_PH(AE$2,$A41)</f>
        <v>2015</v>
      </c>
      <c r="AF41" s="0" t="n">
        <f aca="false">W_PH(AF$2,$A41)</f>
        <v>2015</v>
      </c>
      <c r="AG41" s="0" t="n">
        <f aca="false">W_PH(AG$2,$A41)</f>
        <v>2015</v>
      </c>
      <c r="AH41" s="0" t="n">
        <f aca="false">W_PH(AH$2,$A41)</f>
        <v>2015</v>
      </c>
      <c r="AI41" s="0" t="n">
        <f aca="false">W_PH(AI$2,$A41)</f>
        <v>2015</v>
      </c>
      <c r="AJ41" s="0" t="n">
        <f aca="false">W_PH(AJ$2,$A41)</f>
        <v>2015</v>
      </c>
      <c r="AK41" s="0" t="n">
        <f aca="false">W_PH(AK$2,$A41)</f>
        <v>2015</v>
      </c>
      <c r="AL41" s="0" t="n">
        <f aca="false">W_PH(AL$2,$A41)</f>
        <v>2015</v>
      </c>
      <c r="AM41" s="0" t="n">
        <f aca="false">W_PH(AM$2,$A41)</f>
        <v>2015</v>
      </c>
      <c r="AN41" s="0" t="n">
        <f aca="false">W_PH(AN$2,$A41)</f>
        <v>2015</v>
      </c>
      <c r="AO41" s="0" t="n">
        <f aca="false">W_PH(AO$2,$A41)</f>
        <v>2015</v>
      </c>
      <c r="AP41" s="0" t="n">
        <f aca="false">W_PH(AP$2,$A41)</f>
        <v>2015</v>
      </c>
      <c r="AQ41" s="0" t="n">
        <f aca="false">W_PH(AQ$2,$A41)</f>
        <v>2015</v>
      </c>
      <c r="AR41" s="0" t="n">
        <f aca="false">W_PH(AR$2,$A41)</f>
        <v>319.213584776704</v>
      </c>
      <c r="AS41" s="0" t="n">
        <f aca="false">W_PH(AS$2,$A41)</f>
        <v>339.777904169654</v>
      </c>
    </row>
    <row r="42" customFormat="false" ht="13.8" hidden="false" customHeight="false" outlineLevel="0" collapsed="false">
      <c r="A42" s="0" t="n">
        <v>2020</v>
      </c>
      <c r="B42" s="0" t="n">
        <f aca="false">W_PH(B$2,$A42)</f>
        <v>2015</v>
      </c>
      <c r="C42" s="0" t="n">
        <f aca="false">W_PH(C$2,$A42)</f>
        <v>2015</v>
      </c>
      <c r="D42" s="0" t="n">
        <f aca="false">W_PH(D$2,$A42)</f>
        <v>2015</v>
      </c>
      <c r="E42" s="0" t="n">
        <f aca="false">W_PH(E$2,$A42)</f>
        <v>2015</v>
      </c>
      <c r="F42" s="0" t="n">
        <f aca="false">W_PH(F$2,$A42)</f>
        <v>2015</v>
      </c>
      <c r="G42" s="0" t="n">
        <f aca="false">W_PH(G$2,$A42)</f>
        <v>2015</v>
      </c>
      <c r="H42" s="0" t="n">
        <f aca="false">W_PH(H$2,$A42)</f>
        <v>2015</v>
      </c>
      <c r="I42" s="0" t="n">
        <f aca="false">W_PH(I$2,$A42)</f>
        <v>2015</v>
      </c>
      <c r="J42" s="0" t="n">
        <f aca="false">W_PH(J$2,$A42)</f>
        <v>2015</v>
      </c>
      <c r="K42" s="0" t="n">
        <f aca="false">W_PH(K$2,$A42)</f>
        <v>2015</v>
      </c>
      <c r="L42" s="0" t="n">
        <f aca="false">W_PH(L$2,$A42)</f>
        <v>2015</v>
      </c>
      <c r="M42" s="0" t="n">
        <f aca="false">W_PH(M$2,$A42)</f>
        <v>2015</v>
      </c>
      <c r="N42" s="0" t="n">
        <f aca="false">W_PH(N$2,$A42)</f>
        <v>2015</v>
      </c>
      <c r="O42" s="0" t="n">
        <f aca="false">W_PH(O$2,$A42)</f>
        <v>2015</v>
      </c>
      <c r="P42" s="0" t="n">
        <f aca="false">W_PH(P$2,$A42)</f>
        <v>2015</v>
      </c>
      <c r="Q42" s="0" t="n">
        <f aca="false">W_PH(Q$2,$A42)</f>
        <v>2015</v>
      </c>
      <c r="R42" s="0" t="n">
        <f aca="false">W_PH(R$2,$A42)</f>
        <v>2015</v>
      </c>
      <c r="S42" s="0" t="n">
        <f aca="false">W_PH(S$2,$A42)</f>
        <v>2015</v>
      </c>
      <c r="T42" s="0" t="n">
        <f aca="false">W_PH(T$2,$A42)</f>
        <v>2015</v>
      </c>
      <c r="U42" s="0" t="n">
        <f aca="false">W_PH(U$2,$A42)</f>
        <v>2015</v>
      </c>
      <c r="V42" s="0" t="n">
        <f aca="false">W_PH(V$2,$A42)</f>
        <v>2015</v>
      </c>
      <c r="W42" s="0" t="n">
        <f aca="false">W_PH(W$2,$A42)</f>
        <v>2015</v>
      </c>
      <c r="X42" s="0" t="n">
        <f aca="false">W_PH(X$2,$A42)</f>
        <v>2015</v>
      </c>
      <c r="Y42" s="0" t="n">
        <f aca="false">W_PH(Y$2,$A42)</f>
        <v>2015</v>
      </c>
      <c r="Z42" s="0" t="n">
        <f aca="false">W_PH(Z$2,$A42)</f>
        <v>2015</v>
      </c>
      <c r="AA42" s="0" t="n">
        <f aca="false">W_PH(AA$2,$A42)</f>
        <v>2015</v>
      </c>
      <c r="AB42" s="0" t="n">
        <f aca="false">W_PH(AB$2,$A42)</f>
        <v>2015</v>
      </c>
      <c r="AC42" s="0" t="n">
        <f aca="false">W_PH(AC$2,$A42)</f>
        <v>2015</v>
      </c>
      <c r="AD42" s="0" t="n">
        <f aca="false">W_PH(AD$2,$A42)</f>
        <v>2015</v>
      </c>
      <c r="AE42" s="0" t="n">
        <f aca="false">W_PH(AE$2,$A42)</f>
        <v>2015</v>
      </c>
      <c r="AF42" s="0" t="n">
        <f aca="false">W_PH(AF$2,$A42)</f>
        <v>2015</v>
      </c>
      <c r="AG42" s="0" t="n">
        <f aca="false">W_PH(AG$2,$A42)</f>
        <v>2015</v>
      </c>
      <c r="AH42" s="0" t="n">
        <f aca="false">W_PH(AH$2,$A42)</f>
        <v>2015</v>
      </c>
      <c r="AI42" s="0" t="n">
        <f aca="false">W_PH(AI$2,$A42)</f>
        <v>2015</v>
      </c>
      <c r="AJ42" s="0" t="n">
        <f aca="false">W_PH(AJ$2,$A42)</f>
        <v>2015</v>
      </c>
      <c r="AK42" s="0" t="n">
        <f aca="false">W_PH(AK$2,$A42)</f>
        <v>2015</v>
      </c>
      <c r="AL42" s="0" t="n">
        <f aca="false">W_PH(AL$2,$A42)</f>
        <v>2015</v>
      </c>
      <c r="AM42" s="0" t="n">
        <f aca="false">W_PH(AM$2,$A42)</f>
        <v>2015</v>
      </c>
      <c r="AN42" s="0" t="n">
        <f aca="false">W_PH(AN$2,$A42)</f>
        <v>2015</v>
      </c>
      <c r="AO42" s="0" t="n">
        <f aca="false">W_PH(AO$2,$A42)</f>
        <v>2015</v>
      </c>
      <c r="AP42" s="0" t="n">
        <f aca="false">W_PH(AP$2,$A42)</f>
        <v>2015</v>
      </c>
      <c r="AQ42" s="0" t="n">
        <f aca="false">W_PH(AQ$2,$A42)</f>
        <v>2015</v>
      </c>
      <c r="AR42" s="0" t="n">
        <f aca="false">W_PH(AR$2,$A42)</f>
        <v>316.940717668152</v>
      </c>
      <c r="AS42" s="0" t="n">
        <f aca="false">W_PH(AS$2,$A42)</f>
        <v>336.67203795544</v>
      </c>
    </row>
    <row r="43" customFormat="false" ht="13.8" hidden="false" customHeight="false" outlineLevel="0" collapsed="false">
      <c r="A43" s="0" t="n">
        <v>2030</v>
      </c>
      <c r="B43" s="0" t="n">
        <f aca="false">W_PH(B$2,$A43)</f>
        <v>2015</v>
      </c>
      <c r="C43" s="0" t="n">
        <f aca="false">W_PH(C$2,$A43)</f>
        <v>2015</v>
      </c>
      <c r="D43" s="0" t="n">
        <f aca="false">W_PH(D$2,$A43)</f>
        <v>2015</v>
      </c>
      <c r="E43" s="0" t="n">
        <f aca="false">W_PH(E$2,$A43)</f>
        <v>2015</v>
      </c>
      <c r="F43" s="0" t="n">
        <f aca="false">W_PH(F$2,$A43)</f>
        <v>2015</v>
      </c>
      <c r="G43" s="0" t="n">
        <f aca="false">W_PH(G$2,$A43)</f>
        <v>2015</v>
      </c>
      <c r="H43" s="0" t="n">
        <f aca="false">W_PH(H$2,$A43)</f>
        <v>2015</v>
      </c>
      <c r="I43" s="0" t="n">
        <f aca="false">W_PH(I$2,$A43)</f>
        <v>2015</v>
      </c>
      <c r="J43" s="0" t="n">
        <f aca="false">W_PH(J$2,$A43)</f>
        <v>2015</v>
      </c>
      <c r="K43" s="0" t="n">
        <f aca="false">W_PH(K$2,$A43)</f>
        <v>2015</v>
      </c>
      <c r="L43" s="0" t="n">
        <f aca="false">W_PH(L$2,$A43)</f>
        <v>2015</v>
      </c>
      <c r="M43" s="0" t="n">
        <f aca="false">W_PH(M$2,$A43)</f>
        <v>2015</v>
      </c>
      <c r="N43" s="0" t="n">
        <f aca="false">W_PH(N$2,$A43)</f>
        <v>2015</v>
      </c>
      <c r="O43" s="0" t="n">
        <f aca="false">W_PH(O$2,$A43)</f>
        <v>2015</v>
      </c>
      <c r="P43" s="0" t="n">
        <f aca="false">W_PH(P$2,$A43)</f>
        <v>2015</v>
      </c>
      <c r="Q43" s="0" t="n">
        <f aca="false">W_PH(Q$2,$A43)</f>
        <v>2015</v>
      </c>
      <c r="R43" s="0" t="n">
        <f aca="false">W_PH(R$2,$A43)</f>
        <v>2015</v>
      </c>
      <c r="S43" s="0" t="n">
        <f aca="false">W_PH(S$2,$A43)</f>
        <v>2015</v>
      </c>
      <c r="T43" s="0" t="n">
        <f aca="false">W_PH(T$2,$A43)</f>
        <v>2015</v>
      </c>
      <c r="U43" s="0" t="n">
        <f aca="false">W_PH(U$2,$A43)</f>
        <v>2015</v>
      </c>
      <c r="V43" s="0" t="n">
        <f aca="false">W_PH(V$2,$A43)</f>
        <v>2015</v>
      </c>
      <c r="W43" s="0" t="n">
        <f aca="false">W_PH(W$2,$A43)</f>
        <v>2015</v>
      </c>
      <c r="X43" s="0" t="n">
        <f aca="false">W_PH(X$2,$A43)</f>
        <v>2015</v>
      </c>
      <c r="Y43" s="0" t="n">
        <f aca="false">W_PH(Y$2,$A43)</f>
        <v>2015</v>
      </c>
      <c r="Z43" s="0" t="n">
        <f aca="false">W_PH(Z$2,$A43)</f>
        <v>2015</v>
      </c>
      <c r="AA43" s="0" t="n">
        <f aca="false">W_PH(AA$2,$A43)</f>
        <v>2015</v>
      </c>
      <c r="AB43" s="0" t="n">
        <f aca="false">W_PH(AB$2,$A43)</f>
        <v>2015</v>
      </c>
      <c r="AC43" s="0" t="n">
        <f aca="false">W_PH(AC$2,$A43)</f>
        <v>2015</v>
      </c>
      <c r="AD43" s="0" t="n">
        <f aca="false">W_PH(AD$2,$A43)</f>
        <v>2015</v>
      </c>
      <c r="AE43" s="0" t="n">
        <f aca="false">W_PH(AE$2,$A43)</f>
        <v>2015</v>
      </c>
      <c r="AF43" s="0" t="n">
        <f aca="false">W_PH(AF$2,$A43)</f>
        <v>2015</v>
      </c>
      <c r="AG43" s="0" t="n">
        <f aca="false">W_PH(AG$2,$A43)</f>
        <v>2015</v>
      </c>
      <c r="AH43" s="0" t="n">
        <f aca="false">W_PH(AH$2,$A43)</f>
        <v>2015</v>
      </c>
      <c r="AI43" s="0" t="n">
        <f aca="false">W_PH(AI$2,$A43)</f>
        <v>2015</v>
      </c>
      <c r="AJ43" s="0" t="n">
        <f aca="false">W_PH(AJ$2,$A43)</f>
        <v>2015</v>
      </c>
      <c r="AK43" s="0" t="n">
        <f aca="false">W_PH(AK$2,$A43)</f>
        <v>2015</v>
      </c>
      <c r="AL43" s="0" t="n">
        <f aca="false">W_PH(AL$2,$A43)</f>
        <v>2015</v>
      </c>
      <c r="AM43" s="0" t="n">
        <f aca="false">W_PH(AM$2,$A43)</f>
        <v>2015</v>
      </c>
      <c r="AN43" s="0" t="n">
        <f aca="false">W_PH(AN$2,$A43)</f>
        <v>2015</v>
      </c>
      <c r="AO43" s="0" t="n">
        <f aca="false">W_PH(AO$2,$A43)</f>
        <v>2015</v>
      </c>
      <c r="AP43" s="0" t="n">
        <f aca="false">W_PH(AP$2,$A43)</f>
        <v>2015</v>
      </c>
      <c r="AQ43" s="0" t="n">
        <f aca="false">W_PH(AQ$2,$A43)</f>
        <v>2015</v>
      </c>
      <c r="AR43" s="0" t="n">
        <f aca="false">W_PH(AR$2,$A43)</f>
        <v>315.267244910205</v>
      </c>
      <c r="AS43" s="0" t="n">
        <f aca="false">W_PH(AS$2,$A43)</f>
        <v>334.134682375899</v>
      </c>
    </row>
    <row r="44" customFormat="false" ht="13.8" hidden="false" customHeight="false" outlineLevel="0" collapsed="false">
      <c r="A44" s="0" t="n">
        <v>2040</v>
      </c>
      <c r="B44" s="0" t="n">
        <f aca="false">W_PH(B$2,$A44)</f>
        <v>2015</v>
      </c>
      <c r="C44" s="0" t="n">
        <f aca="false">W_PH(C$2,$A44)</f>
        <v>2015</v>
      </c>
      <c r="D44" s="0" t="n">
        <f aca="false">W_PH(D$2,$A44)</f>
        <v>2015</v>
      </c>
      <c r="E44" s="0" t="n">
        <f aca="false">W_PH(E$2,$A44)</f>
        <v>2015</v>
      </c>
      <c r="F44" s="0" t="n">
        <f aca="false">W_PH(F$2,$A44)</f>
        <v>2015</v>
      </c>
      <c r="G44" s="0" t="n">
        <f aca="false">W_PH(G$2,$A44)</f>
        <v>2015</v>
      </c>
      <c r="H44" s="0" t="n">
        <f aca="false">W_PH(H$2,$A44)</f>
        <v>2015</v>
      </c>
      <c r="I44" s="0" t="n">
        <f aca="false">W_PH(I$2,$A44)</f>
        <v>2015</v>
      </c>
      <c r="J44" s="0" t="n">
        <f aca="false">W_PH(J$2,$A44)</f>
        <v>2015</v>
      </c>
      <c r="K44" s="0" t="n">
        <f aca="false">W_PH(K$2,$A44)</f>
        <v>2015</v>
      </c>
      <c r="L44" s="0" t="n">
        <f aca="false">W_PH(L$2,$A44)</f>
        <v>2015</v>
      </c>
      <c r="M44" s="0" t="n">
        <f aca="false">W_PH(M$2,$A44)</f>
        <v>2015</v>
      </c>
      <c r="N44" s="0" t="n">
        <f aca="false">W_PH(N$2,$A44)</f>
        <v>2015</v>
      </c>
      <c r="O44" s="0" t="n">
        <f aca="false">W_PH(O$2,$A44)</f>
        <v>2015</v>
      </c>
      <c r="P44" s="0" t="n">
        <f aca="false">W_PH(P$2,$A44)</f>
        <v>2015</v>
      </c>
      <c r="Q44" s="0" t="n">
        <f aca="false">W_PH(Q$2,$A44)</f>
        <v>2015</v>
      </c>
      <c r="R44" s="0" t="n">
        <f aca="false">W_PH(R$2,$A44)</f>
        <v>2015</v>
      </c>
      <c r="S44" s="0" t="n">
        <f aca="false">W_PH(S$2,$A44)</f>
        <v>2015</v>
      </c>
      <c r="T44" s="0" t="n">
        <f aca="false">W_PH(T$2,$A44)</f>
        <v>2015</v>
      </c>
      <c r="U44" s="0" t="n">
        <f aca="false">W_PH(U$2,$A44)</f>
        <v>2015</v>
      </c>
      <c r="V44" s="0" t="n">
        <f aca="false">W_PH(V$2,$A44)</f>
        <v>2015</v>
      </c>
      <c r="W44" s="0" t="n">
        <f aca="false">W_PH(W$2,$A44)</f>
        <v>2015</v>
      </c>
      <c r="X44" s="0" t="n">
        <f aca="false">W_PH(X$2,$A44)</f>
        <v>2015</v>
      </c>
      <c r="Y44" s="0" t="n">
        <f aca="false">W_PH(Y$2,$A44)</f>
        <v>2015</v>
      </c>
      <c r="Z44" s="0" t="n">
        <f aca="false">W_PH(Z$2,$A44)</f>
        <v>2015</v>
      </c>
      <c r="AA44" s="0" t="n">
        <f aca="false">W_PH(AA$2,$A44)</f>
        <v>2015</v>
      </c>
      <c r="AB44" s="0" t="n">
        <f aca="false">W_PH(AB$2,$A44)</f>
        <v>2015</v>
      </c>
      <c r="AC44" s="0" t="n">
        <f aca="false">W_PH(AC$2,$A44)</f>
        <v>2015</v>
      </c>
      <c r="AD44" s="0" t="n">
        <f aca="false">W_PH(AD$2,$A44)</f>
        <v>2015</v>
      </c>
      <c r="AE44" s="0" t="n">
        <f aca="false">W_PH(AE$2,$A44)</f>
        <v>2015</v>
      </c>
      <c r="AF44" s="0" t="n">
        <f aca="false">W_PH(AF$2,$A44)</f>
        <v>2015</v>
      </c>
      <c r="AG44" s="0" t="n">
        <f aca="false">W_PH(AG$2,$A44)</f>
        <v>2015</v>
      </c>
      <c r="AH44" s="0" t="n">
        <f aca="false">W_PH(AH$2,$A44)</f>
        <v>2015</v>
      </c>
      <c r="AI44" s="0" t="n">
        <f aca="false">W_PH(AI$2,$A44)</f>
        <v>2015</v>
      </c>
      <c r="AJ44" s="0" t="n">
        <f aca="false">W_PH(AJ$2,$A44)</f>
        <v>2015</v>
      </c>
      <c r="AK44" s="0" t="n">
        <f aca="false">W_PH(AK$2,$A44)</f>
        <v>2015</v>
      </c>
      <c r="AL44" s="0" t="n">
        <f aca="false">W_PH(AL$2,$A44)</f>
        <v>2015</v>
      </c>
      <c r="AM44" s="0" t="n">
        <f aca="false">W_PH(AM$2,$A44)</f>
        <v>2015</v>
      </c>
      <c r="AN44" s="0" t="n">
        <f aca="false">W_PH(AN$2,$A44)</f>
        <v>2015</v>
      </c>
      <c r="AO44" s="0" t="n">
        <f aca="false">W_PH(AO$2,$A44)</f>
        <v>2015</v>
      </c>
      <c r="AP44" s="0" t="n">
        <f aca="false">W_PH(AP$2,$A44)</f>
        <v>2015</v>
      </c>
      <c r="AQ44" s="0" t="n">
        <f aca="false">W_PH(AQ$2,$A44)</f>
        <v>2015</v>
      </c>
      <c r="AR44" s="0" t="n">
        <f aca="false">W_PH(AR$2,$A44)</f>
        <v>314.13847106382</v>
      </c>
      <c r="AS44" s="0" t="n">
        <f aca="false">W_PH(AS$2,$A44)</f>
        <v>332.129822104657</v>
      </c>
    </row>
    <row r="45" customFormat="false" ht="13.8" hidden="false" customHeight="false" outlineLevel="0" collapsed="false">
      <c r="A45" s="0" t="n">
        <v>2050</v>
      </c>
      <c r="B45" s="0" t="n">
        <f aca="false">W_PH(B$2,$A45)</f>
        <v>2015</v>
      </c>
      <c r="C45" s="0" t="n">
        <f aca="false">W_PH(C$2,$A45)</f>
        <v>2015</v>
      </c>
      <c r="D45" s="0" t="n">
        <f aca="false">W_PH(D$2,$A45)</f>
        <v>2015</v>
      </c>
      <c r="E45" s="0" t="n">
        <f aca="false">W_PH(E$2,$A45)</f>
        <v>2015</v>
      </c>
      <c r="F45" s="0" t="n">
        <f aca="false">W_PH(F$2,$A45)</f>
        <v>2015</v>
      </c>
      <c r="G45" s="0" t="n">
        <f aca="false">W_PH(G$2,$A45)</f>
        <v>2015</v>
      </c>
      <c r="H45" s="0" t="n">
        <f aca="false">W_PH(H$2,$A45)</f>
        <v>2015</v>
      </c>
      <c r="I45" s="0" t="n">
        <f aca="false">W_PH(I$2,$A45)</f>
        <v>2015</v>
      </c>
      <c r="J45" s="0" t="n">
        <f aca="false">W_PH(J$2,$A45)</f>
        <v>2015</v>
      </c>
      <c r="K45" s="0" t="n">
        <f aca="false">W_PH(K$2,$A45)</f>
        <v>2015</v>
      </c>
      <c r="L45" s="0" t="n">
        <f aca="false">W_PH(L$2,$A45)</f>
        <v>2015</v>
      </c>
      <c r="M45" s="0" t="n">
        <f aca="false">W_PH(M$2,$A45)</f>
        <v>2015</v>
      </c>
      <c r="N45" s="0" t="n">
        <f aca="false">W_PH(N$2,$A45)</f>
        <v>2015</v>
      </c>
      <c r="O45" s="0" t="n">
        <f aca="false">W_PH(O$2,$A45)</f>
        <v>2015</v>
      </c>
      <c r="P45" s="0" t="n">
        <f aca="false">W_PH(P$2,$A45)</f>
        <v>2015</v>
      </c>
      <c r="Q45" s="0" t="n">
        <f aca="false">W_PH(Q$2,$A45)</f>
        <v>2015</v>
      </c>
      <c r="R45" s="0" t="n">
        <f aca="false">W_PH(R$2,$A45)</f>
        <v>2015</v>
      </c>
      <c r="S45" s="0" t="n">
        <f aca="false">W_PH(S$2,$A45)</f>
        <v>2015</v>
      </c>
      <c r="T45" s="0" t="n">
        <f aca="false">W_PH(T$2,$A45)</f>
        <v>2015</v>
      </c>
      <c r="U45" s="0" t="n">
        <f aca="false">W_PH(U$2,$A45)</f>
        <v>2015</v>
      </c>
      <c r="V45" s="0" t="n">
        <f aca="false">W_PH(V$2,$A45)</f>
        <v>2015</v>
      </c>
      <c r="W45" s="0" t="n">
        <f aca="false">W_PH(W$2,$A45)</f>
        <v>2015</v>
      </c>
      <c r="X45" s="0" t="n">
        <f aca="false">W_PH(X$2,$A45)</f>
        <v>2015</v>
      </c>
      <c r="Y45" s="0" t="n">
        <f aca="false">W_PH(Y$2,$A45)</f>
        <v>2015</v>
      </c>
      <c r="Z45" s="0" t="n">
        <f aca="false">W_PH(Z$2,$A45)</f>
        <v>2015</v>
      </c>
      <c r="AA45" s="0" t="n">
        <f aca="false">W_PH(AA$2,$A45)</f>
        <v>2015</v>
      </c>
      <c r="AB45" s="0" t="n">
        <f aca="false">W_PH(AB$2,$A45)</f>
        <v>2015</v>
      </c>
      <c r="AC45" s="0" t="n">
        <f aca="false">W_PH(AC$2,$A45)</f>
        <v>2015</v>
      </c>
      <c r="AD45" s="0" t="n">
        <f aca="false">W_PH(AD$2,$A45)</f>
        <v>2015</v>
      </c>
      <c r="AE45" s="0" t="n">
        <f aca="false">W_PH(AE$2,$A45)</f>
        <v>2015</v>
      </c>
      <c r="AF45" s="0" t="n">
        <f aca="false">W_PH(AF$2,$A45)</f>
        <v>2015</v>
      </c>
      <c r="AG45" s="0" t="n">
        <f aca="false">W_PH(AG$2,$A45)</f>
        <v>2015</v>
      </c>
      <c r="AH45" s="0" t="n">
        <f aca="false">W_PH(AH$2,$A45)</f>
        <v>2015</v>
      </c>
      <c r="AI45" s="0" t="n">
        <f aca="false">W_PH(AI$2,$A45)</f>
        <v>2015</v>
      </c>
      <c r="AJ45" s="0" t="n">
        <f aca="false">W_PH(AJ$2,$A45)</f>
        <v>2015</v>
      </c>
      <c r="AK45" s="0" t="n">
        <f aca="false">W_PH(AK$2,$A45)</f>
        <v>2015</v>
      </c>
      <c r="AL45" s="0" t="n">
        <f aca="false">W_PH(AL$2,$A45)</f>
        <v>2015</v>
      </c>
      <c r="AM45" s="0" t="n">
        <f aca="false">W_PH(AM$2,$A45)</f>
        <v>2015</v>
      </c>
      <c r="AN45" s="0" t="n">
        <f aca="false">W_PH(AN$2,$A45)</f>
        <v>2015</v>
      </c>
      <c r="AO45" s="0" t="n">
        <f aca="false">W_PH(AO$2,$A45)</f>
        <v>2015</v>
      </c>
      <c r="AP45" s="0" t="n">
        <f aca="false">W_PH(AP$2,$A45)</f>
        <v>2015</v>
      </c>
      <c r="AQ45" s="0" t="n">
        <f aca="false">W_PH(AQ$2,$A45)</f>
        <v>2015</v>
      </c>
      <c r="AR45" s="0" t="n">
        <f aca="false">W_PH(AR$2,$A45)</f>
        <v>313.498523832853</v>
      </c>
      <c r="AS45" s="0" t="n">
        <f aca="false">W_PH(AS$2,$A45)</f>
        <v>330.618605010774</v>
      </c>
    </row>
    <row r="46" customFormat="false" ht="13.8" hidden="false" customHeight="false" outlineLevel="0" collapsed="false">
      <c r="A46" s="0" t="n">
        <v>2060</v>
      </c>
      <c r="B46" s="0" t="n">
        <f aca="false">W_PH(B$2,$A46)</f>
        <v>2015</v>
      </c>
      <c r="C46" s="0" t="n">
        <f aca="false">W_PH(C$2,$A46)</f>
        <v>2015</v>
      </c>
      <c r="D46" s="0" t="n">
        <f aca="false">W_PH(D$2,$A46)</f>
        <v>2015</v>
      </c>
      <c r="E46" s="0" t="n">
        <f aca="false">W_PH(E$2,$A46)</f>
        <v>2015</v>
      </c>
      <c r="F46" s="0" t="n">
        <f aca="false">W_PH(F$2,$A46)</f>
        <v>2015</v>
      </c>
      <c r="G46" s="0" t="n">
        <f aca="false">W_PH(G$2,$A46)</f>
        <v>2015</v>
      </c>
      <c r="H46" s="0" t="n">
        <f aca="false">W_PH(H$2,$A46)</f>
        <v>2015</v>
      </c>
      <c r="I46" s="0" t="n">
        <f aca="false">W_PH(I$2,$A46)</f>
        <v>2015</v>
      </c>
      <c r="J46" s="0" t="n">
        <f aca="false">W_PH(J$2,$A46)</f>
        <v>2015</v>
      </c>
      <c r="K46" s="0" t="n">
        <f aca="false">W_PH(K$2,$A46)</f>
        <v>2015</v>
      </c>
      <c r="L46" s="0" t="n">
        <f aca="false">W_PH(L$2,$A46)</f>
        <v>2015</v>
      </c>
      <c r="M46" s="0" t="n">
        <f aca="false">W_PH(M$2,$A46)</f>
        <v>2015</v>
      </c>
      <c r="N46" s="0" t="n">
        <f aca="false">W_PH(N$2,$A46)</f>
        <v>2015</v>
      </c>
      <c r="O46" s="0" t="n">
        <f aca="false">W_PH(O$2,$A46)</f>
        <v>2015</v>
      </c>
      <c r="P46" s="0" t="n">
        <f aca="false">W_PH(P$2,$A46)</f>
        <v>2015</v>
      </c>
      <c r="Q46" s="0" t="n">
        <f aca="false">W_PH(Q$2,$A46)</f>
        <v>2015</v>
      </c>
      <c r="R46" s="0" t="n">
        <f aca="false">W_PH(R$2,$A46)</f>
        <v>2015</v>
      </c>
      <c r="S46" s="0" t="n">
        <f aca="false">W_PH(S$2,$A46)</f>
        <v>2015</v>
      </c>
      <c r="T46" s="0" t="n">
        <f aca="false">W_PH(T$2,$A46)</f>
        <v>2015</v>
      </c>
      <c r="U46" s="0" t="n">
        <f aca="false">W_PH(U$2,$A46)</f>
        <v>2015</v>
      </c>
      <c r="V46" s="0" t="n">
        <f aca="false">W_PH(V$2,$A46)</f>
        <v>2015</v>
      </c>
      <c r="W46" s="0" t="n">
        <f aca="false">W_PH(W$2,$A46)</f>
        <v>2015</v>
      </c>
      <c r="X46" s="0" t="n">
        <f aca="false">W_PH(X$2,$A46)</f>
        <v>2015</v>
      </c>
      <c r="Y46" s="0" t="n">
        <f aca="false">W_PH(Y$2,$A46)</f>
        <v>2015</v>
      </c>
      <c r="Z46" s="0" t="n">
        <f aca="false">W_PH(Z$2,$A46)</f>
        <v>2015</v>
      </c>
      <c r="AA46" s="0" t="n">
        <f aca="false">W_PH(AA$2,$A46)</f>
        <v>2015</v>
      </c>
      <c r="AB46" s="0" t="n">
        <f aca="false">W_PH(AB$2,$A46)</f>
        <v>2015</v>
      </c>
      <c r="AC46" s="0" t="n">
        <f aca="false">W_PH(AC$2,$A46)</f>
        <v>2015</v>
      </c>
      <c r="AD46" s="0" t="n">
        <f aca="false">W_PH(AD$2,$A46)</f>
        <v>2015</v>
      </c>
      <c r="AE46" s="0" t="n">
        <f aca="false">W_PH(AE$2,$A46)</f>
        <v>2015</v>
      </c>
      <c r="AF46" s="0" t="n">
        <f aca="false">W_PH(AF$2,$A46)</f>
        <v>2015</v>
      </c>
      <c r="AG46" s="0" t="n">
        <f aca="false">W_PH(AG$2,$A46)</f>
        <v>2015</v>
      </c>
      <c r="AH46" s="0" t="n">
        <f aca="false">W_PH(AH$2,$A46)</f>
        <v>2015</v>
      </c>
      <c r="AI46" s="0" t="n">
        <f aca="false">W_PH(AI$2,$A46)</f>
        <v>2015</v>
      </c>
      <c r="AJ46" s="0" t="n">
        <f aca="false">W_PH(AJ$2,$A46)</f>
        <v>2015</v>
      </c>
      <c r="AK46" s="0" t="n">
        <f aca="false">W_PH(AK$2,$A46)</f>
        <v>2015</v>
      </c>
      <c r="AL46" s="0" t="n">
        <f aca="false">W_PH(AL$2,$A46)</f>
        <v>2015</v>
      </c>
      <c r="AM46" s="0" t="n">
        <f aca="false">W_PH(AM$2,$A46)</f>
        <v>2015</v>
      </c>
      <c r="AN46" s="0" t="n">
        <f aca="false">W_PH(AN$2,$A46)</f>
        <v>2015</v>
      </c>
      <c r="AO46" s="0" t="n">
        <f aca="false">W_PH(AO$2,$A46)</f>
        <v>2015</v>
      </c>
      <c r="AP46" s="0" t="n">
        <f aca="false">W_PH(AP$2,$A46)</f>
        <v>2015</v>
      </c>
      <c r="AQ46" s="0" t="n">
        <f aca="false">W_PH(AQ$2,$A46)</f>
        <v>2015</v>
      </c>
      <c r="AR46" s="0" t="n">
        <f aca="false">W_PH(AR$2,$A46)</f>
        <v>313.29273310589</v>
      </c>
      <c r="AS46" s="0" t="n">
        <f aca="false">W_PH(AS$2,$A46)</f>
        <v>329.561347618396</v>
      </c>
    </row>
    <row r="47" customFormat="false" ht="13.8" hidden="false" customHeight="false" outlineLevel="0" collapsed="false">
      <c r="A47" s="0" t="n">
        <v>2070</v>
      </c>
      <c r="B47" s="0" t="n">
        <f aca="false">W_PH(B$2,$A47)</f>
        <v>2015</v>
      </c>
      <c r="C47" s="0" t="n">
        <f aca="false">W_PH(C$2,$A47)</f>
        <v>2015</v>
      </c>
      <c r="D47" s="0" t="n">
        <f aca="false">W_PH(D$2,$A47)</f>
        <v>2015</v>
      </c>
      <c r="E47" s="0" t="n">
        <f aca="false">W_PH(E$2,$A47)</f>
        <v>2015</v>
      </c>
      <c r="F47" s="0" t="n">
        <f aca="false">W_PH(F$2,$A47)</f>
        <v>2015</v>
      </c>
      <c r="G47" s="0" t="n">
        <f aca="false">W_PH(G$2,$A47)</f>
        <v>2015</v>
      </c>
      <c r="H47" s="0" t="n">
        <f aca="false">W_PH(H$2,$A47)</f>
        <v>2015</v>
      </c>
      <c r="I47" s="0" t="n">
        <f aca="false">W_PH(I$2,$A47)</f>
        <v>2015</v>
      </c>
      <c r="J47" s="0" t="n">
        <f aca="false">W_PH(J$2,$A47)</f>
        <v>2015</v>
      </c>
      <c r="K47" s="0" t="n">
        <f aca="false">W_PH(K$2,$A47)</f>
        <v>2015</v>
      </c>
      <c r="L47" s="0" t="n">
        <f aca="false">W_PH(L$2,$A47)</f>
        <v>2015</v>
      </c>
      <c r="M47" s="0" t="n">
        <f aca="false">W_PH(M$2,$A47)</f>
        <v>2015</v>
      </c>
      <c r="N47" s="0" t="n">
        <f aca="false">W_PH(N$2,$A47)</f>
        <v>2015</v>
      </c>
      <c r="O47" s="0" t="n">
        <f aca="false">W_PH(O$2,$A47)</f>
        <v>2015</v>
      </c>
      <c r="P47" s="0" t="n">
        <f aca="false">W_PH(P$2,$A47)</f>
        <v>2015</v>
      </c>
      <c r="Q47" s="0" t="n">
        <f aca="false">W_PH(Q$2,$A47)</f>
        <v>2015</v>
      </c>
      <c r="R47" s="0" t="n">
        <f aca="false">W_PH(R$2,$A47)</f>
        <v>2015</v>
      </c>
      <c r="S47" s="0" t="n">
        <f aca="false">W_PH(S$2,$A47)</f>
        <v>2015</v>
      </c>
      <c r="T47" s="0" t="n">
        <f aca="false">W_PH(T$2,$A47)</f>
        <v>2015</v>
      </c>
      <c r="U47" s="0" t="n">
        <f aca="false">W_PH(U$2,$A47)</f>
        <v>2015</v>
      </c>
      <c r="V47" s="0" t="n">
        <f aca="false">W_PH(V$2,$A47)</f>
        <v>2015</v>
      </c>
      <c r="W47" s="0" t="n">
        <f aca="false">W_PH(W$2,$A47)</f>
        <v>2015</v>
      </c>
      <c r="X47" s="0" t="n">
        <f aca="false">W_PH(X$2,$A47)</f>
        <v>2015</v>
      </c>
      <c r="Y47" s="0" t="n">
        <f aca="false">W_PH(Y$2,$A47)</f>
        <v>2015</v>
      </c>
      <c r="Z47" s="0" t="n">
        <f aca="false">W_PH(Z$2,$A47)</f>
        <v>2015</v>
      </c>
      <c r="AA47" s="0" t="n">
        <f aca="false">W_PH(AA$2,$A47)</f>
        <v>2015</v>
      </c>
      <c r="AB47" s="0" t="n">
        <f aca="false">W_PH(AB$2,$A47)</f>
        <v>2015</v>
      </c>
      <c r="AC47" s="0" t="n">
        <f aca="false">W_PH(AC$2,$A47)</f>
        <v>2015</v>
      </c>
      <c r="AD47" s="0" t="n">
        <f aca="false">W_PH(AD$2,$A47)</f>
        <v>2015</v>
      </c>
      <c r="AE47" s="0" t="n">
        <f aca="false">W_PH(AE$2,$A47)</f>
        <v>2015</v>
      </c>
      <c r="AF47" s="0" t="n">
        <f aca="false">W_PH(AF$2,$A47)</f>
        <v>2015</v>
      </c>
      <c r="AG47" s="0" t="n">
        <f aca="false">W_PH(AG$2,$A47)</f>
        <v>2015</v>
      </c>
      <c r="AH47" s="0" t="n">
        <f aca="false">W_PH(AH$2,$A47)</f>
        <v>2015</v>
      </c>
      <c r="AI47" s="0" t="n">
        <f aca="false">W_PH(AI$2,$A47)</f>
        <v>2015</v>
      </c>
      <c r="AJ47" s="0" t="n">
        <f aca="false">W_PH(AJ$2,$A47)</f>
        <v>2015</v>
      </c>
      <c r="AK47" s="0" t="n">
        <f aca="false">W_PH(AK$2,$A47)</f>
        <v>2015</v>
      </c>
      <c r="AL47" s="0" t="n">
        <f aca="false">W_PH(AL$2,$A47)</f>
        <v>2015</v>
      </c>
      <c r="AM47" s="0" t="n">
        <f aca="false">W_PH(AM$2,$A47)</f>
        <v>2015</v>
      </c>
      <c r="AN47" s="0" t="n">
        <f aca="false">W_PH(AN$2,$A47)</f>
        <v>2015</v>
      </c>
      <c r="AO47" s="0" t="n">
        <f aca="false">W_PH(AO$2,$A47)</f>
        <v>2015</v>
      </c>
      <c r="AP47" s="0" t="n">
        <f aca="false">W_PH(AP$2,$A47)</f>
        <v>2015</v>
      </c>
      <c r="AQ47" s="0" t="n">
        <f aca="false">W_PH(AQ$2,$A47)</f>
        <v>2015</v>
      </c>
      <c r="AR47" s="0" t="n">
        <f aca="false">W_PH(AR$2,$A47)</f>
        <v>313.469264509869</v>
      </c>
      <c r="AS47" s="0" t="n">
        <f aca="false">W_PH(AS$2,$A47)</f>
        <v>328.919147506427</v>
      </c>
    </row>
    <row r="48" customFormat="false" ht="13.8" hidden="false" customHeight="false" outlineLevel="0" collapsed="false">
      <c r="A48" s="0" t="n">
        <v>2080</v>
      </c>
      <c r="B48" s="0" t="n">
        <f aca="false">W_PH(B$2,$A48)</f>
        <v>2015</v>
      </c>
      <c r="C48" s="0" t="n">
        <f aca="false">W_PH(C$2,$A48)</f>
        <v>2015</v>
      </c>
      <c r="D48" s="0" t="n">
        <f aca="false">W_PH(D$2,$A48)</f>
        <v>2015</v>
      </c>
      <c r="E48" s="0" t="n">
        <f aca="false">W_PH(E$2,$A48)</f>
        <v>2015</v>
      </c>
      <c r="F48" s="0" t="n">
        <f aca="false">W_PH(F$2,$A48)</f>
        <v>2015</v>
      </c>
      <c r="G48" s="0" t="n">
        <f aca="false">W_PH(G$2,$A48)</f>
        <v>2015</v>
      </c>
      <c r="H48" s="0" t="n">
        <f aca="false">W_PH(H$2,$A48)</f>
        <v>2015</v>
      </c>
      <c r="I48" s="0" t="n">
        <f aca="false">W_PH(I$2,$A48)</f>
        <v>2015</v>
      </c>
      <c r="J48" s="0" t="n">
        <f aca="false">W_PH(J$2,$A48)</f>
        <v>2015</v>
      </c>
      <c r="K48" s="0" t="n">
        <f aca="false">W_PH(K$2,$A48)</f>
        <v>2015</v>
      </c>
      <c r="L48" s="0" t="n">
        <f aca="false">W_PH(L$2,$A48)</f>
        <v>2015</v>
      </c>
      <c r="M48" s="0" t="n">
        <f aca="false">W_PH(M$2,$A48)</f>
        <v>2015</v>
      </c>
      <c r="N48" s="0" t="n">
        <f aca="false">W_PH(N$2,$A48)</f>
        <v>2015</v>
      </c>
      <c r="O48" s="0" t="n">
        <f aca="false">W_PH(O$2,$A48)</f>
        <v>2015</v>
      </c>
      <c r="P48" s="0" t="n">
        <f aca="false">W_PH(P$2,$A48)</f>
        <v>2015</v>
      </c>
      <c r="Q48" s="0" t="n">
        <f aca="false">W_PH(Q$2,$A48)</f>
        <v>2015</v>
      </c>
      <c r="R48" s="0" t="n">
        <f aca="false">W_PH(R$2,$A48)</f>
        <v>2015</v>
      </c>
      <c r="S48" s="0" t="n">
        <f aca="false">W_PH(S$2,$A48)</f>
        <v>2015</v>
      </c>
      <c r="T48" s="0" t="n">
        <f aca="false">W_PH(T$2,$A48)</f>
        <v>2015</v>
      </c>
      <c r="U48" s="0" t="n">
        <f aca="false">W_PH(U$2,$A48)</f>
        <v>2015</v>
      </c>
      <c r="V48" s="0" t="n">
        <f aca="false">W_PH(V$2,$A48)</f>
        <v>2015</v>
      </c>
      <c r="W48" s="0" t="n">
        <f aca="false">W_PH(W$2,$A48)</f>
        <v>2015</v>
      </c>
      <c r="X48" s="0" t="n">
        <f aca="false">W_PH(X$2,$A48)</f>
        <v>2015</v>
      </c>
      <c r="Y48" s="0" t="n">
        <f aca="false">W_PH(Y$2,$A48)</f>
        <v>2015</v>
      </c>
      <c r="Z48" s="0" t="n">
        <f aca="false">W_PH(Z$2,$A48)</f>
        <v>2015</v>
      </c>
      <c r="AA48" s="0" t="n">
        <f aca="false">W_PH(AA$2,$A48)</f>
        <v>2015</v>
      </c>
      <c r="AB48" s="0" t="n">
        <f aca="false">W_PH(AB$2,$A48)</f>
        <v>2015</v>
      </c>
      <c r="AC48" s="0" t="n">
        <f aca="false">W_PH(AC$2,$A48)</f>
        <v>2015</v>
      </c>
      <c r="AD48" s="0" t="n">
        <f aca="false">W_PH(AD$2,$A48)</f>
        <v>2015</v>
      </c>
      <c r="AE48" s="0" t="n">
        <f aca="false">W_PH(AE$2,$A48)</f>
        <v>2015</v>
      </c>
      <c r="AF48" s="0" t="n">
        <f aca="false">W_PH(AF$2,$A48)</f>
        <v>2015</v>
      </c>
      <c r="AG48" s="0" t="n">
        <f aca="false">W_PH(AG$2,$A48)</f>
        <v>2015</v>
      </c>
      <c r="AH48" s="0" t="n">
        <f aca="false">W_PH(AH$2,$A48)</f>
        <v>2015</v>
      </c>
      <c r="AI48" s="0" t="n">
        <f aca="false">W_PH(AI$2,$A48)</f>
        <v>2015</v>
      </c>
      <c r="AJ48" s="0" t="n">
        <f aca="false">W_PH(AJ$2,$A48)</f>
        <v>2015</v>
      </c>
      <c r="AK48" s="0" t="n">
        <f aca="false">W_PH(AK$2,$A48)</f>
        <v>2015</v>
      </c>
      <c r="AL48" s="0" t="n">
        <f aca="false">W_PH(AL$2,$A48)</f>
        <v>2015</v>
      </c>
      <c r="AM48" s="0" t="n">
        <f aca="false">W_PH(AM$2,$A48)</f>
        <v>2015</v>
      </c>
      <c r="AN48" s="0" t="n">
        <f aca="false">W_PH(AN$2,$A48)</f>
        <v>2015</v>
      </c>
      <c r="AO48" s="0" t="n">
        <f aca="false">W_PH(AO$2,$A48)</f>
        <v>2015</v>
      </c>
      <c r="AP48" s="0" t="n">
        <f aca="false">W_PH(AP$2,$A48)</f>
        <v>2015</v>
      </c>
      <c r="AQ48" s="0" t="n">
        <f aca="false">W_PH(AQ$2,$A48)</f>
        <v>2015</v>
      </c>
      <c r="AR48" s="0" t="n">
        <f aca="false">W_PH(AR$2,$A48)</f>
        <v>313.979606678451</v>
      </c>
      <c r="AS48" s="0" t="n">
        <f aca="false">W_PH(AS$2,$A48)</f>
        <v>328.654737299032</v>
      </c>
    </row>
    <row r="49" customFormat="false" ht="13.8" hidden="false" customHeight="false" outlineLevel="0" collapsed="false">
      <c r="A49" s="0" t="n">
        <v>2090</v>
      </c>
      <c r="B49" s="0" t="n">
        <f aca="false">W_PH(B$2,$A49)</f>
        <v>2015</v>
      </c>
      <c r="C49" s="0" t="n">
        <f aca="false">W_PH(C$2,$A49)</f>
        <v>2015</v>
      </c>
      <c r="D49" s="0" t="n">
        <f aca="false">W_PH(D$2,$A49)</f>
        <v>2015</v>
      </c>
      <c r="E49" s="0" t="n">
        <f aca="false">W_PH(E$2,$A49)</f>
        <v>2015</v>
      </c>
      <c r="F49" s="0" t="n">
        <f aca="false">W_PH(F$2,$A49)</f>
        <v>2015</v>
      </c>
      <c r="G49" s="0" t="n">
        <f aca="false">W_PH(G$2,$A49)</f>
        <v>2015</v>
      </c>
      <c r="H49" s="0" t="n">
        <f aca="false">W_PH(H$2,$A49)</f>
        <v>2015</v>
      </c>
      <c r="I49" s="0" t="n">
        <f aca="false">W_PH(I$2,$A49)</f>
        <v>2015</v>
      </c>
      <c r="J49" s="0" t="n">
        <f aca="false">W_PH(J$2,$A49)</f>
        <v>2015</v>
      </c>
      <c r="K49" s="0" t="n">
        <f aca="false">W_PH(K$2,$A49)</f>
        <v>2015</v>
      </c>
      <c r="L49" s="0" t="n">
        <f aca="false">W_PH(L$2,$A49)</f>
        <v>2015</v>
      </c>
      <c r="M49" s="0" t="n">
        <f aca="false">W_PH(M$2,$A49)</f>
        <v>2015</v>
      </c>
      <c r="N49" s="0" t="n">
        <f aca="false">W_PH(N$2,$A49)</f>
        <v>2015</v>
      </c>
      <c r="O49" s="0" t="n">
        <f aca="false">W_PH(O$2,$A49)</f>
        <v>2015</v>
      </c>
      <c r="P49" s="0" t="n">
        <f aca="false">W_PH(P$2,$A49)</f>
        <v>2015</v>
      </c>
      <c r="Q49" s="0" t="n">
        <f aca="false">W_PH(Q$2,$A49)</f>
        <v>2015</v>
      </c>
      <c r="R49" s="0" t="n">
        <f aca="false">W_PH(R$2,$A49)</f>
        <v>2015</v>
      </c>
      <c r="S49" s="0" t="n">
        <f aca="false">W_PH(S$2,$A49)</f>
        <v>2015</v>
      </c>
      <c r="T49" s="0" t="n">
        <f aca="false">W_PH(T$2,$A49)</f>
        <v>2015</v>
      </c>
      <c r="U49" s="0" t="n">
        <f aca="false">W_PH(U$2,$A49)</f>
        <v>2015</v>
      </c>
      <c r="V49" s="0" t="n">
        <f aca="false">W_PH(V$2,$A49)</f>
        <v>2015</v>
      </c>
      <c r="W49" s="0" t="n">
        <f aca="false">W_PH(W$2,$A49)</f>
        <v>2015</v>
      </c>
      <c r="X49" s="0" t="n">
        <f aca="false">W_PH(X$2,$A49)</f>
        <v>2015</v>
      </c>
      <c r="Y49" s="0" t="n">
        <f aca="false">W_PH(Y$2,$A49)</f>
        <v>2015</v>
      </c>
      <c r="Z49" s="0" t="n">
        <f aca="false">W_PH(Z$2,$A49)</f>
        <v>2015</v>
      </c>
      <c r="AA49" s="0" t="n">
        <f aca="false">W_PH(AA$2,$A49)</f>
        <v>2015</v>
      </c>
      <c r="AB49" s="0" t="n">
        <f aca="false">W_PH(AB$2,$A49)</f>
        <v>2015</v>
      </c>
      <c r="AC49" s="0" t="n">
        <f aca="false">W_PH(AC$2,$A49)</f>
        <v>2015</v>
      </c>
      <c r="AD49" s="0" t="n">
        <f aca="false">W_PH(AD$2,$A49)</f>
        <v>2015</v>
      </c>
      <c r="AE49" s="0" t="n">
        <f aca="false">W_PH(AE$2,$A49)</f>
        <v>2015</v>
      </c>
      <c r="AF49" s="0" t="n">
        <f aca="false">W_PH(AF$2,$A49)</f>
        <v>2015</v>
      </c>
      <c r="AG49" s="0" t="n">
        <f aca="false">W_PH(AG$2,$A49)</f>
        <v>2015</v>
      </c>
      <c r="AH49" s="0" t="n">
        <f aca="false">W_PH(AH$2,$A49)</f>
        <v>2015</v>
      </c>
      <c r="AI49" s="0" t="n">
        <f aca="false">W_PH(AI$2,$A49)</f>
        <v>2015</v>
      </c>
      <c r="AJ49" s="0" t="n">
        <f aca="false">W_PH(AJ$2,$A49)</f>
        <v>2015</v>
      </c>
      <c r="AK49" s="0" t="n">
        <f aca="false">W_PH(AK$2,$A49)</f>
        <v>2015</v>
      </c>
      <c r="AL49" s="0" t="n">
        <f aca="false">W_PH(AL$2,$A49)</f>
        <v>2015</v>
      </c>
      <c r="AM49" s="0" t="n">
        <f aca="false">W_PH(AM$2,$A49)</f>
        <v>2015</v>
      </c>
      <c r="AN49" s="0" t="n">
        <f aca="false">W_PH(AN$2,$A49)</f>
        <v>2015</v>
      </c>
      <c r="AO49" s="0" t="n">
        <f aca="false">W_PH(AO$2,$A49)</f>
        <v>2015</v>
      </c>
      <c r="AP49" s="0" t="n">
        <f aca="false">W_PH(AP$2,$A49)</f>
        <v>2015</v>
      </c>
      <c r="AQ49" s="0" t="n">
        <f aca="false">W_PH(AQ$2,$A49)</f>
        <v>2015</v>
      </c>
      <c r="AR49" s="0" t="n">
        <f aca="false">W_PH(AR$2,$A49)</f>
        <v>314.778991749028</v>
      </c>
      <c r="AS49" s="0" t="n">
        <f aca="false">W_PH(AS$2,$A49)</f>
        <v>328.732095750873</v>
      </c>
    </row>
    <row r="50" customFormat="false" ht="13.8" hidden="false" customHeight="false" outlineLevel="0" collapsed="false">
      <c r="A50" s="0" t="n">
        <v>2100</v>
      </c>
      <c r="B50" s="0" t="n">
        <f aca="false">W_PH(B$2,$A50)</f>
        <v>2015</v>
      </c>
      <c r="C50" s="0" t="n">
        <f aca="false">W_PH(C$2,$A50)</f>
        <v>2015</v>
      </c>
      <c r="D50" s="0" t="n">
        <f aca="false">W_PH(D$2,$A50)</f>
        <v>2015</v>
      </c>
      <c r="E50" s="0" t="n">
        <f aca="false">W_PH(E$2,$A50)</f>
        <v>2015</v>
      </c>
      <c r="F50" s="0" t="n">
        <f aca="false">W_PH(F$2,$A50)</f>
        <v>2015</v>
      </c>
      <c r="G50" s="0" t="n">
        <f aca="false">W_PH(G$2,$A50)</f>
        <v>2015</v>
      </c>
      <c r="H50" s="0" t="n">
        <f aca="false">W_PH(H$2,$A50)</f>
        <v>2015</v>
      </c>
      <c r="I50" s="0" t="n">
        <f aca="false">W_PH(I$2,$A50)</f>
        <v>2015</v>
      </c>
      <c r="J50" s="0" t="n">
        <f aca="false">W_PH(J$2,$A50)</f>
        <v>2015</v>
      </c>
      <c r="K50" s="0" t="n">
        <f aca="false">W_PH(K$2,$A50)</f>
        <v>2015</v>
      </c>
      <c r="L50" s="0" t="n">
        <f aca="false">W_PH(L$2,$A50)</f>
        <v>2015</v>
      </c>
      <c r="M50" s="0" t="n">
        <f aca="false">W_PH(M$2,$A50)</f>
        <v>2015</v>
      </c>
      <c r="N50" s="0" t="n">
        <f aca="false">W_PH(N$2,$A50)</f>
        <v>2015</v>
      </c>
      <c r="O50" s="0" t="n">
        <f aca="false">W_PH(O$2,$A50)</f>
        <v>2015</v>
      </c>
      <c r="P50" s="0" t="n">
        <f aca="false">W_PH(P$2,$A50)</f>
        <v>2015</v>
      </c>
      <c r="Q50" s="0" t="n">
        <f aca="false">W_PH(Q$2,$A50)</f>
        <v>2015</v>
      </c>
      <c r="R50" s="0" t="n">
        <f aca="false">W_PH(R$2,$A50)</f>
        <v>2015</v>
      </c>
      <c r="S50" s="0" t="n">
        <f aca="false">W_PH(S$2,$A50)</f>
        <v>2015</v>
      </c>
      <c r="T50" s="0" t="n">
        <f aca="false">W_PH(T$2,$A50)</f>
        <v>2015</v>
      </c>
      <c r="U50" s="0" t="n">
        <f aca="false">W_PH(U$2,$A50)</f>
        <v>2015</v>
      </c>
      <c r="V50" s="0" t="n">
        <f aca="false">W_PH(V$2,$A50)</f>
        <v>2015</v>
      </c>
      <c r="W50" s="0" t="n">
        <f aca="false">W_PH(W$2,$A50)</f>
        <v>2015</v>
      </c>
      <c r="X50" s="0" t="n">
        <f aca="false">W_PH(X$2,$A50)</f>
        <v>2015</v>
      </c>
      <c r="Y50" s="0" t="n">
        <f aca="false">W_PH(Y$2,$A50)</f>
        <v>2015</v>
      </c>
      <c r="Z50" s="0" t="n">
        <f aca="false">W_PH(Z$2,$A50)</f>
        <v>2015</v>
      </c>
      <c r="AA50" s="0" t="n">
        <f aca="false">W_PH(AA$2,$A50)</f>
        <v>2015</v>
      </c>
      <c r="AB50" s="0" t="n">
        <f aca="false">W_PH(AB$2,$A50)</f>
        <v>2015</v>
      </c>
      <c r="AC50" s="0" t="n">
        <f aca="false">W_PH(AC$2,$A50)</f>
        <v>2015</v>
      </c>
      <c r="AD50" s="0" t="n">
        <f aca="false">W_PH(AD$2,$A50)</f>
        <v>2015</v>
      </c>
      <c r="AE50" s="0" t="n">
        <f aca="false">W_PH(AE$2,$A50)</f>
        <v>2015</v>
      </c>
      <c r="AF50" s="0" t="n">
        <f aca="false">W_PH(AF$2,$A50)</f>
        <v>2015</v>
      </c>
      <c r="AG50" s="0" t="n">
        <f aca="false">W_PH(AG$2,$A50)</f>
        <v>2015</v>
      </c>
      <c r="AH50" s="0" t="n">
        <f aca="false">W_PH(AH$2,$A50)</f>
        <v>2015</v>
      </c>
      <c r="AI50" s="0" t="n">
        <f aca="false">W_PH(AI$2,$A50)</f>
        <v>2015</v>
      </c>
      <c r="AJ50" s="0" t="n">
        <f aca="false">W_PH(AJ$2,$A50)</f>
        <v>2015</v>
      </c>
      <c r="AK50" s="0" t="n">
        <f aca="false">W_PH(AK$2,$A50)</f>
        <v>2015</v>
      </c>
      <c r="AL50" s="0" t="n">
        <f aca="false">W_PH(AL$2,$A50)</f>
        <v>2015</v>
      </c>
      <c r="AM50" s="0" t="n">
        <f aca="false">W_PH(AM$2,$A50)</f>
        <v>2015</v>
      </c>
      <c r="AN50" s="0" t="n">
        <f aca="false">W_PH(AN$2,$A50)</f>
        <v>2015</v>
      </c>
      <c r="AO50" s="0" t="n">
        <f aca="false">W_PH(AO$2,$A50)</f>
        <v>2015</v>
      </c>
      <c r="AP50" s="0" t="n">
        <f aca="false">W_PH(AP$2,$A50)</f>
        <v>2015</v>
      </c>
      <c r="AQ50" s="0" t="n">
        <f aca="false">W_PH(AQ$2,$A50)</f>
        <v>2015</v>
      </c>
      <c r="AR50" s="0" t="n">
        <f aca="false">W_PH(AR$2,$A50)</f>
        <v>315.833669293419</v>
      </c>
      <c r="AS50" s="0" t="n">
        <f aca="false">W_PH(AS$2,$A50)</f>
        <v>329.09630903232</v>
      </c>
    </row>
    <row r="51" customFormat="false" ht="13.8" hidden="false" customHeight="false" outlineLevel="0" collapsed="false">
      <c r="A51" s="0" t="n">
        <v>2110</v>
      </c>
      <c r="B51" s="0" t="n">
        <f aca="false">W_PH(B$2,$A51)</f>
        <v>2015</v>
      </c>
      <c r="C51" s="0" t="n">
        <f aca="false">W_PH(C$2,$A51)</f>
        <v>2015</v>
      </c>
      <c r="D51" s="0" t="n">
        <f aca="false">W_PH(D$2,$A51)</f>
        <v>2015</v>
      </c>
      <c r="E51" s="0" t="n">
        <f aca="false">W_PH(E$2,$A51)</f>
        <v>2015</v>
      </c>
      <c r="F51" s="0" t="n">
        <f aca="false">W_PH(F$2,$A51)</f>
        <v>2015</v>
      </c>
      <c r="G51" s="0" t="n">
        <f aca="false">W_PH(G$2,$A51)</f>
        <v>2015</v>
      </c>
      <c r="H51" s="0" t="n">
        <f aca="false">W_PH(H$2,$A51)</f>
        <v>2015</v>
      </c>
      <c r="I51" s="0" t="n">
        <f aca="false">W_PH(I$2,$A51)</f>
        <v>2015</v>
      </c>
      <c r="J51" s="0" t="n">
        <f aca="false">W_PH(J$2,$A51)</f>
        <v>2015</v>
      </c>
      <c r="K51" s="0" t="n">
        <f aca="false">W_PH(K$2,$A51)</f>
        <v>2015</v>
      </c>
      <c r="L51" s="0" t="n">
        <f aca="false">W_PH(L$2,$A51)</f>
        <v>2015</v>
      </c>
      <c r="M51" s="0" t="n">
        <f aca="false">W_PH(M$2,$A51)</f>
        <v>2015</v>
      </c>
      <c r="N51" s="0" t="n">
        <f aca="false">W_PH(N$2,$A51)</f>
        <v>2015</v>
      </c>
      <c r="O51" s="0" t="n">
        <f aca="false">W_PH(O$2,$A51)</f>
        <v>2015</v>
      </c>
      <c r="P51" s="0" t="n">
        <f aca="false">W_PH(P$2,$A51)</f>
        <v>2015</v>
      </c>
      <c r="Q51" s="0" t="n">
        <f aca="false">W_PH(Q$2,$A51)</f>
        <v>2015</v>
      </c>
      <c r="R51" s="0" t="n">
        <f aca="false">W_PH(R$2,$A51)</f>
        <v>2015</v>
      </c>
      <c r="S51" s="0" t="n">
        <f aca="false">W_PH(S$2,$A51)</f>
        <v>2015</v>
      </c>
      <c r="T51" s="0" t="n">
        <f aca="false">W_PH(T$2,$A51)</f>
        <v>2015</v>
      </c>
      <c r="U51" s="0" t="n">
        <f aca="false">W_PH(U$2,$A51)</f>
        <v>2015</v>
      </c>
      <c r="V51" s="0" t="n">
        <f aca="false">W_PH(V$2,$A51)</f>
        <v>2015</v>
      </c>
      <c r="W51" s="0" t="n">
        <f aca="false">W_PH(W$2,$A51)</f>
        <v>2015</v>
      </c>
      <c r="X51" s="0" t="n">
        <f aca="false">W_PH(X$2,$A51)</f>
        <v>2015</v>
      </c>
      <c r="Y51" s="0" t="n">
        <f aca="false">W_PH(Y$2,$A51)</f>
        <v>2015</v>
      </c>
      <c r="Z51" s="0" t="n">
        <f aca="false">W_PH(Z$2,$A51)</f>
        <v>2015</v>
      </c>
      <c r="AA51" s="0" t="n">
        <f aca="false">W_PH(AA$2,$A51)</f>
        <v>2015</v>
      </c>
      <c r="AB51" s="0" t="n">
        <f aca="false">W_PH(AB$2,$A51)</f>
        <v>2015</v>
      </c>
      <c r="AC51" s="0" t="n">
        <f aca="false">W_PH(AC$2,$A51)</f>
        <v>2015</v>
      </c>
      <c r="AD51" s="0" t="n">
        <f aca="false">W_PH(AD$2,$A51)</f>
        <v>2015</v>
      </c>
      <c r="AE51" s="0" t="n">
        <f aca="false">W_PH(AE$2,$A51)</f>
        <v>2015</v>
      </c>
      <c r="AF51" s="0" t="n">
        <f aca="false">W_PH(AF$2,$A51)</f>
        <v>2015</v>
      </c>
      <c r="AG51" s="0" t="n">
        <f aca="false">W_PH(AG$2,$A51)</f>
        <v>2015</v>
      </c>
      <c r="AH51" s="0" t="n">
        <f aca="false">W_PH(AH$2,$A51)</f>
        <v>2015</v>
      </c>
      <c r="AI51" s="0" t="n">
        <f aca="false">W_PH(AI$2,$A51)</f>
        <v>2015</v>
      </c>
      <c r="AJ51" s="0" t="n">
        <f aca="false">W_PH(AJ$2,$A51)</f>
        <v>2015</v>
      </c>
      <c r="AK51" s="0" t="n">
        <f aca="false">W_PH(AK$2,$A51)</f>
        <v>2015</v>
      </c>
      <c r="AL51" s="0" t="n">
        <f aca="false">W_PH(AL$2,$A51)</f>
        <v>2015</v>
      </c>
      <c r="AM51" s="0" t="n">
        <f aca="false">W_PH(AM$2,$A51)</f>
        <v>2015</v>
      </c>
      <c r="AN51" s="0" t="n">
        <f aca="false">W_PH(AN$2,$A51)</f>
        <v>2015</v>
      </c>
      <c r="AO51" s="0" t="n">
        <f aca="false">W_PH(AO$2,$A51)</f>
        <v>2015</v>
      </c>
      <c r="AP51" s="0" t="n">
        <f aca="false">W_PH(AP$2,$A51)</f>
        <v>2015</v>
      </c>
      <c r="AQ51" s="0" t="n">
        <f aca="false">W_PH(AQ$2,$A51)</f>
        <v>2015</v>
      </c>
      <c r="AR51" s="0" t="n">
        <f aca="false">W_PH(AR$2,$A51)</f>
        <v>317.107826229067</v>
      </c>
      <c r="AS51" s="0" t="n">
        <f aca="false">W_PH(AS$2,$A51)</f>
        <v>329.727763859166</v>
      </c>
    </row>
    <row r="52" customFormat="false" ht="13.8" hidden="false" customHeight="false" outlineLevel="0" collapsed="false">
      <c r="A52" s="0" t="n">
        <v>2120</v>
      </c>
      <c r="B52" s="0" t="n">
        <f aca="false">W_PH(B$2,$A52)</f>
        <v>2015</v>
      </c>
      <c r="C52" s="0" t="n">
        <f aca="false">W_PH(C$2,$A52)</f>
        <v>2015</v>
      </c>
      <c r="D52" s="0" t="n">
        <f aca="false">W_PH(D$2,$A52)</f>
        <v>2015</v>
      </c>
      <c r="E52" s="0" t="n">
        <f aca="false">W_PH(E$2,$A52)</f>
        <v>2015</v>
      </c>
      <c r="F52" s="0" t="n">
        <f aca="false">W_PH(F$2,$A52)</f>
        <v>2015</v>
      </c>
      <c r="G52" s="0" t="n">
        <f aca="false">W_PH(G$2,$A52)</f>
        <v>2015</v>
      </c>
      <c r="H52" s="0" t="n">
        <f aca="false">W_PH(H$2,$A52)</f>
        <v>2015</v>
      </c>
      <c r="I52" s="0" t="n">
        <f aca="false">W_PH(I$2,$A52)</f>
        <v>2015</v>
      </c>
      <c r="J52" s="0" t="n">
        <f aca="false">W_PH(J$2,$A52)</f>
        <v>2015</v>
      </c>
      <c r="K52" s="0" t="n">
        <f aca="false">W_PH(K$2,$A52)</f>
        <v>2015</v>
      </c>
      <c r="L52" s="0" t="n">
        <f aca="false">W_PH(L$2,$A52)</f>
        <v>2015</v>
      </c>
      <c r="M52" s="0" t="n">
        <f aca="false">W_PH(M$2,$A52)</f>
        <v>2015</v>
      </c>
      <c r="N52" s="0" t="n">
        <f aca="false">W_PH(N$2,$A52)</f>
        <v>2015</v>
      </c>
      <c r="O52" s="0" t="n">
        <f aca="false">W_PH(O$2,$A52)</f>
        <v>2015</v>
      </c>
      <c r="P52" s="0" t="n">
        <f aca="false">W_PH(P$2,$A52)</f>
        <v>2015</v>
      </c>
      <c r="Q52" s="0" t="n">
        <f aca="false">W_PH(Q$2,$A52)</f>
        <v>2015</v>
      </c>
      <c r="R52" s="0" t="n">
        <f aca="false">W_PH(R$2,$A52)</f>
        <v>2015</v>
      </c>
      <c r="S52" s="0" t="n">
        <f aca="false">W_PH(S$2,$A52)</f>
        <v>2015</v>
      </c>
      <c r="T52" s="0" t="n">
        <f aca="false">W_PH(T$2,$A52)</f>
        <v>2015</v>
      </c>
      <c r="U52" s="0" t="n">
        <f aca="false">W_PH(U$2,$A52)</f>
        <v>2015</v>
      </c>
      <c r="V52" s="0" t="n">
        <f aca="false">W_PH(V$2,$A52)</f>
        <v>2015</v>
      </c>
      <c r="W52" s="0" t="n">
        <f aca="false">W_PH(W$2,$A52)</f>
        <v>2015</v>
      </c>
      <c r="X52" s="0" t="n">
        <f aca="false">W_PH(X$2,$A52)</f>
        <v>2015</v>
      </c>
      <c r="Y52" s="0" t="n">
        <f aca="false">W_PH(Y$2,$A52)</f>
        <v>2015</v>
      </c>
      <c r="Z52" s="0" t="n">
        <f aca="false">W_PH(Z$2,$A52)</f>
        <v>2015</v>
      </c>
      <c r="AA52" s="0" t="n">
        <f aca="false">W_PH(AA$2,$A52)</f>
        <v>2015</v>
      </c>
      <c r="AB52" s="0" t="n">
        <f aca="false">W_PH(AB$2,$A52)</f>
        <v>2015</v>
      </c>
      <c r="AC52" s="0" t="n">
        <f aca="false">W_PH(AC$2,$A52)</f>
        <v>2015</v>
      </c>
      <c r="AD52" s="0" t="n">
        <f aca="false">W_PH(AD$2,$A52)</f>
        <v>2015</v>
      </c>
      <c r="AE52" s="0" t="n">
        <f aca="false">W_PH(AE$2,$A52)</f>
        <v>2015</v>
      </c>
      <c r="AF52" s="0" t="n">
        <f aca="false">W_PH(AF$2,$A52)</f>
        <v>2015</v>
      </c>
      <c r="AG52" s="0" t="n">
        <f aca="false">W_PH(AG$2,$A52)</f>
        <v>2015</v>
      </c>
      <c r="AH52" s="0" t="n">
        <f aca="false">W_PH(AH$2,$A52)</f>
        <v>2015</v>
      </c>
      <c r="AI52" s="0" t="n">
        <f aca="false">W_PH(AI$2,$A52)</f>
        <v>2015</v>
      </c>
      <c r="AJ52" s="0" t="n">
        <f aca="false">W_PH(AJ$2,$A52)</f>
        <v>2015</v>
      </c>
      <c r="AK52" s="0" t="n">
        <f aca="false">W_PH(AK$2,$A52)</f>
        <v>2015</v>
      </c>
      <c r="AL52" s="0" t="n">
        <f aca="false">W_PH(AL$2,$A52)</f>
        <v>2015</v>
      </c>
      <c r="AM52" s="0" t="n">
        <f aca="false">W_PH(AM$2,$A52)</f>
        <v>2015</v>
      </c>
      <c r="AN52" s="0" t="n">
        <f aca="false">W_PH(AN$2,$A52)</f>
        <v>2015</v>
      </c>
      <c r="AO52" s="0" t="n">
        <f aca="false">W_PH(AO$2,$A52)</f>
        <v>2015</v>
      </c>
      <c r="AP52" s="0" t="n">
        <f aca="false">W_PH(AP$2,$A52)</f>
        <v>2015</v>
      </c>
      <c r="AQ52" s="0" t="n">
        <f aca="false">W_PH(AQ$2,$A52)</f>
        <v>2015</v>
      </c>
      <c r="AR52" s="0" t="n">
        <f aca="false">W_PH(AR$2,$A52)</f>
        <v>318.572163576279</v>
      </c>
      <c r="AS52" s="0" t="n">
        <f aca="false">W_PH(AS$2,$A52)</f>
        <v>330.594277122879</v>
      </c>
    </row>
    <row r="53" customFormat="false" ht="13.8" hidden="false" customHeight="false" outlineLevel="0" collapsed="false">
      <c r="A53" s="0" t="n">
        <v>2130</v>
      </c>
      <c r="B53" s="0" t="n">
        <f aca="false">W_PH(B$2,$A53)</f>
        <v>2015</v>
      </c>
      <c r="C53" s="0" t="n">
        <f aca="false">W_PH(C$2,$A53)</f>
        <v>2015</v>
      </c>
      <c r="D53" s="0" t="n">
        <f aca="false">W_PH(D$2,$A53)</f>
        <v>2015</v>
      </c>
      <c r="E53" s="0" t="n">
        <f aca="false">W_PH(E$2,$A53)</f>
        <v>2015</v>
      </c>
      <c r="F53" s="0" t="n">
        <f aca="false">W_PH(F$2,$A53)</f>
        <v>2015</v>
      </c>
      <c r="G53" s="0" t="n">
        <f aca="false">W_PH(G$2,$A53)</f>
        <v>2015</v>
      </c>
      <c r="H53" s="0" t="n">
        <f aca="false">W_PH(H$2,$A53)</f>
        <v>2015</v>
      </c>
      <c r="I53" s="0" t="n">
        <f aca="false">W_PH(I$2,$A53)</f>
        <v>2015</v>
      </c>
      <c r="J53" s="0" t="n">
        <f aca="false">W_PH(J$2,$A53)</f>
        <v>2015</v>
      </c>
      <c r="K53" s="0" t="n">
        <f aca="false">W_PH(K$2,$A53)</f>
        <v>2015</v>
      </c>
      <c r="L53" s="0" t="n">
        <f aca="false">W_PH(L$2,$A53)</f>
        <v>2015</v>
      </c>
      <c r="M53" s="0" t="n">
        <f aca="false">W_PH(M$2,$A53)</f>
        <v>2015</v>
      </c>
      <c r="N53" s="0" t="n">
        <f aca="false">W_PH(N$2,$A53)</f>
        <v>2015</v>
      </c>
      <c r="O53" s="0" t="n">
        <f aca="false">W_PH(O$2,$A53)</f>
        <v>2015</v>
      </c>
      <c r="P53" s="0" t="n">
        <f aca="false">W_PH(P$2,$A53)</f>
        <v>2015</v>
      </c>
      <c r="Q53" s="0" t="n">
        <f aca="false">W_PH(Q$2,$A53)</f>
        <v>2015</v>
      </c>
      <c r="R53" s="0" t="n">
        <f aca="false">W_PH(R$2,$A53)</f>
        <v>2015</v>
      </c>
      <c r="S53" s="0" t="n">
        <f aca="false">W_PH(S$2,$A53)</f>
        <v>2015</v>
      </c>
      <c r="T53" s="0" t="n">
        <f aca="false">W_PH(T$2,$A53)</f>
        <v>2015</v>
      </c>
      <c r="U53" s="0" t="n">
        <f aca="false">W_PH(U$2,$A53)</f>
        <v>2015</v>
      </c>
      <c r="V53" s="0" t="n">
        <f aca="false">W_PH(V$2,$A53)</f>
        <v>2015</v>
      </c>
      <c r="W53" s="0" t="n">
        <f aca="false">W_PH(W$2,$A53)</f>
        <v>2015</v>
      </c>
      <c r="X53" s="0" t="n">
        <f aca="false">W_PH(X$2,$A53)</f>
        <v>2015</v>
      </c>
      <c r="Y53" s="0" t="n">
        <f aca="false">W_PH(Y$2,$A53)</f>
        <v>2015</v>
      </c>
      <c r="Z53" s="0" t="n">
        <f aca="false">W_PH(Z$2,$A53)</f>
        <v>2015</v>
      </c>
      <c r="AA53" s="0" t="n">
        <f aca="false">W_PH(AA$2,$A53)</f>
        <v>2015</v>
      </c>
      <c r="AB53" s="0" t="n">
        <f aca="false">W_PH(AB$2,$A53)</f>
        <v>2015</v>
      </c>
      <c r="AC53" s="0" t="n">
        <f aca="false">W_PH(AC$2,$A53)</f>
        <v>2015</v>
      </c>
      <c r="AD53" s="0" t="n">
        <f aca="false">W_PH(AD$2,$A53)</f>
        <v>2015</v>
      </c>
      <c r="AE53" s="0" t="n">
        <f aca="false">W_PH(AE$2,$A53)</f>
        <v>2015</v>
      </c>
      <c r="AF53" s="0" t="n">
        <f aca="false">W_PH(AF$2,$A53)</f>
        <v>2015</v>
      </c>
      <c r="AG53" s="0" t="n">
        <f aca="false">W_PH(AG$2,$A53)</f>
        <v>2015</v>
      </c>
      <c r="AH53" s="0" t="n">
        <f aca="false">W_PH(AH$2,$A53)</f>
        <v>2015</v>
      </c>
      <c r="AI53" s="0" t="n">
        <f aca="false">W_PH(AI$2,$A53)</f>
        <v>2015</v>
      </c>
      <c r="AJ53" s="0" t="n">
        <f aca="false">W_PH(AJ$2,$A53)</f>
        <v>2015</v>
      </c>
      <c r="AK53" s="0" t="n">
        <f aca="false">W_PH(AK$2,$A53)</f>
        <v>2015</v>
      </c>
      <c r="AL53" s="0" t="n">
        <f aca="false">W_PH(AL$2,$A53)</f>
        <v>2015</v>
      </c>
      <c r="AM53" s="0" t="n">
        <f aca="false">W_PH(AM$2,$A53)</f>
        <v>2015</v>
      </c>
      <c r="AN53" s="0" t="n">
        <f aca="false">W_PH(AN$2,$A53)</f>
        <v>2015</v>
      </c>
      <c r="AO53" s="0" t="n">
        <f aca="false">W_PH(AO$2,$A53)</f>
        <v>2015</v>
      </c>
      <c r="AP53" s="0" t="n">
        <f aca="false">W_PH(AP$2,$A53)</f>
        <v>2015</v>
      </c>
      <c r="AQ53" s="0" t="n">
        <f aca="false">W_PH(AQ$2,$A53)</f>
        <v>2015</v>
      </c>
      <c r="AR53" s="0" t="n">
        <f aca="false">W_PH(AR$2,$A53)</f>
        <v>320.201605666026</v>
      </c>
      <c r="AS53" s="0" t="n">
        <f aca="false">W_PH(AS$2,$A53)</f>
        <v>331.668375087078</v>
      </c>
    </row>
    <row r="54" customFormat="false" ht="13.8" hidden="false" customHeight="false" outlineLevel="0" collapsed="false">
      <c r="A54" s="0" t="n">
        <v>2140</v>
      </c>
      <c r="B54" s="0" t="n">
        <f aca="false">W_PH(B$2,$A54)</f>
        <v>2015</v>
      </c>
      <c r="C54" s="0" t="n">
        <f aca="false">W_PH(C$2,$A54)</f>
        <v>2015</v>
      </c>
      <c r="D54" s="0" t="n">
        <f aca="false">W_PH(D$2,$A54)</f>
        <v>2015</v>
      </c>
      <c r="E54" s="0" t="n">
        <f aca="false">W_PH(E$2,$A54)</f>
        <v>2015</v>
      </c>
      <c r="F54" s="0" t="n">
        <f aca="false">W_PH(F$2,$A54)</f>
        <v>2015</v>
      </c>
      <c r="G54" s="0" t="n">
        <f aca="false">W_PH(G$2,$A54)</f>
        <v>2015</v>
      </c>
      <c r="H54" s="0" t="n">
        <f aca="false">W_PH(H$2,$A54)</f>
        <v>2015</v>
      </c>
      <c r="I54" s="0" t="n">
        <f aca="false">W_PH(I$2,$A54)</f>
        <v>2015</v>
      </c>
      <c r="J54" s="0" t="n">
        <f aca="false">W_PH(J$2,$A54)</f>
        <v>2015</v>
      </c>
      <c r="K54" s="0" t="n">
        <f aca="false">W_PH(K$2,$A54)</f>
        <v>2015</v>
      </c>
      <c r="L54" s="0" t="n">
        <f aca="false">W_PH(L$2,$A54)</f>
        <v>2015</v>
      </c>
      <c r="M54" s="0" t="n">
        <f aca="false">W_PH(M$2,$A54)</f>
        <v>2015</v>
      </c>
      <c r="N54" s="0" t="n">
        <f aca="false">W_PH(N$2,$A54)</f>
        <v>2015</v>
      </c>
      <c r="O54" s="0" t="n">
        <f aca="false">W_PH(O$2,$A54)</f>
        <v>2015</v>
      </c>
      <c r="P54" s="0" t="n">
        <f aca="false">W_PH(P$2,$A54)</f>
        <v>2015</v>
      </c>
      <c r="Q54" s="0" t="n">
        <f aca="false">W_PH(Q$2,$A54)</f>
        <v>2015</v>
      </c>
      <c r="R54" s="0" t="n">
        <f aca="false">W_PH(R$2,$A54)</f>
        <v>2015</v>
      </c>
      <c r="S54" s="0" t="n">
        <f aca="false">W_PH(S$2,$A54)</f>
        <v>2015</v>
      </c>
      <c r="T54" s="0" t="n">
        <f aca="false">W_PH(T$2,$A54)</f>
        <v>2015</v>
      </c>
      <c r="U54" s="0" t="n">
        <f aca="false">W_PH(U$2,$A54)</f>
        <v>2015</v>
      </c>
      <c r="V54" s="0" t="n">
        <f aca="false">W_PH(V$2,$A54)</f>
        <v>2015</v>
      </c>
      <c r="W54" s="0" t="n">
        <f aca="false">W_PH(W$2,$A54)</f>
        <v>2015</v>
      </c>
      <c r="X54" s="0" t="n">
        <f aca="false">W_PH(X$2,$A54)</f>
        <v>2015</v>
      </c>
      <c r="Y54" s="0" t="n">
        <f aca="false">W_PH(Y$2,$A54)</f>
        <v>2015</v>
      </c>
      <c r="Z54" s="0" t="n">
        <f aca="false">W_PH(Z$2,$A54)</f>
        <v>2015</v>
      </c>
      <c r="AA54" s="0" t="n">
        <f aca="false">W_PH(AA$2,$A54)</f>
        <v>2015</v>
      </c>
      <c r="AB54" s="0" t="n">
        <f aca="false">W_PH(AB$2,$A54)</f>
        <v>2015</v>
      </c>
      <c r="AC54" s="0" t="n">
        <f aca="false">W_PH(AC$2,$A54)</f>
        <v>2015</v>
      </c>
      <c r="AD54" s="0" t="n">
        <f aca="false">W_PH(AD$2,$A54)</f>
        <v>2015</v>
      </c>
      <c r="AE54" s="0" t="n">
        <f aca="false">W_PH(AE$2,$A54)</f>
        <v>2015</v>
      </c>
      <c r="AF54" s="0" t="n">
        <f aca="false">W_PH(AF$2,$A54)</f>
        <v>2015</v>
      </c>
      <c r="AG54" s="0" t="n">
        <f aca="false">W_PH(AG$2,$A54)</f>
        <v>2015</v>
      </c>
      <c r="AH54" s="0" t="n">
        <f aca="false">W_PH(AH$2,$A54)</f>
        <v>2015</v>
      </c>
      <c r="AI54" s="0" t="n">
        <f aca="false">W_PH(AI$2,$A54)</f>
        <v>2015</v>
      </c>
      <c r="AJ54" s="0" t="n">
        <f aca="false">W_PH(AJ$2,$A54)</f>
        <v>2015</v>
      </c>
      <c r="AK54" s="0" t="n">
        <f aca="false">W_PH(AK$2,$A54)</f>
        <v>2015</v>
      </c>
      <c r="AL54" s="0" t="n">
        <f aca="false">W_PH(AL$2,$A54)</f>
        <v>2015</v>
      </c>
      <c r="AM54" s="0" t="n">
        <f aca="false">W_PH(AM$2,$A54)</f>
        <v>2015</v>
      </c>
      <c r="AN54" s="0" t="n">
        <f aca="false">W_PH(AN$2,$A54)</f>
        <v>2015</v>
      </c>
      <c r="AO54" s="0" t="n">
        <f aca="false">W_PH(AO$2,$A54)</f>
        <v>2015</v>
      </c>
      <c r="AP54" s="0" t="n">
        <f aca="false">W_PH(AP$2,$A54)</f>
        <v>2015</v>
      </c>
      <c r="AQ54" s="0" t="n">
        <f aca="false">W_PH(AQ$2,$A54)</f>
        <v>2015</v>
      </c>
      <c r="AR54" s="0" t="n">
        <f aca="false">W_PH(AR$2,$A54)</f>
        <v>321.974768100399</v>
      </c>
      <c r="AS54" s="0" t="n">
        <f aca="false">W_PH(AS$2,$A54)</f>
        <v>332.925948324226</v>
      </c>
    </row>
    <row r="55" customFormat="false" ht="13.8" hidden="false" customHeight="false" outlineLevel="0" collapsed="false">
      <c r="A55" s="0" t="n">
        <v>2150</v>
      </c>
      <c r="B55" s="0" t="n">
        <f aca="false">W_PH(B$2,$A55)</f>
        <v>2015</v>
      </c>
      <c r="C55" s="0" t="n">
        <f aca="false">W_PH(C$2,$A55)</f>
        <v>2015</v>
      </c>
      <c r="D55" s="0" t="n">
        <f aca="false">W_PH(D$2,$A55)</f>
        <v>2015</v>
      </c>
      <c r="E55" s="0" t="n">
        <f aca="false">W_PH(E$2,$A55)</f>
        <v>2015</v>
      </c>
      <c r="F55" s="0" t="n">
        <f aca="false">W_PH(F$2,$A55)</f>
        <v>2015</v>
      </c>
      <c r="G55" s="0" t="n">
        <f aca="false">W_PH(G$2,$A55)</f>
        <v>2015</v>
      </c>
      <c r="H55" s="0" t="n">
        <f aca="false">W_PH(H$2,$A55)</f>
        <v>2015</v>
      </c>
      <c r="I55" s="0" t="n">
        <f aca="false">W_PH(I$2,$A55)</f>
        <v>2015</v>
      </c>
      <c r="J55" s="0" t="n">
        <f aca="false">W_PH(J$2,$A55)</f>
        <v>2015</v>
      </c>
      <c r="K55" s="0" t="n">
        <f aca="false">W_PH(K$2,$A55)</f>
        <v>2015</v>
      </c>
      <c r="L55" s="0" t="n">
        <f aca="false">W_PH(L$2,$A55)</f>
        <v>2015</v>
      </c>
      <c r="M55" s="0" t="n">
        <f aca="false">W_PH(M$2,$A55)</f>
        <v>2015</v>
      </c>
      <c r="N55" s="0" t="n">
        <f aca="false">W_PH(N$2,$A55)</f>
        <v>2015</v>
      </c>
      <c r="O55" s="0" t="n">
        <f aca="false">W_PH(O$2,$A55)</f>
        <v>2015</v>
      </c>
      <c r="P55" s="0" t="n">
        <f aca="false">W_PH(P$2,$A55)</f>
        <v>2015</v>
      </c>
      <c r="Q55" s="0" t="n">
        <f aca="false">W_PH(Q$2,$A55)</f>
        <v>2015</v>
      </c>
      <c r="R55" s="0" t="n">
        <f aca="false">W_PH(R$2,$A55)</f>
        <v>2015</v>
      </c>
      <c r="S55" s="0" t="n">
        <f aca="false">W_PH(S$2,$A55)</f>
        <v>2015</v>
      </c>
      <c r="T55" s="0" t="n">
        <f aca="false">W_PH(T$2,$A55)</f>
        <v>2015</v>
      </c>
      <c r="U55" s="0" t="n">
        <f aca="false">W_PH(U$2,$A55)</f>
        <v>2015</v>
      </c>
      <c r="V55" s="0" t="n">
        <f aca="false">W_PH(V$2,$A55)</f>
        <v>2015</v>
      </c>
      <c r="W55" s="0" t="n">
        <f aca="false">W_PH(W$2,$A55)</f>
        <v>2015</v>
      </c>
      <c r="X55" s="0" t="n">
        <f aca="false">W_PH(X$2,$A55)</f>
        <v>2015</v>
      </c>
      <c r="Y55" s="0" t="n">
        <f aca="false">W_PH(Y$2,$A55)</f>
        <v>2015</v>
      </c>
      <c r="Z55" s="0" t="n">
        <f aca="false">W_PH(Z$2,$A55)</f>
        <v>2015</v>
      </c>
      <c r="AA55" s="0" t="n">
        <f aca="false">W_PH(AA$2,$A55)</f>
        <v>2015</v>
      </c>
      <c r="AB55" s="0" t="n">
        <f aca="false">W_PH(AB$2,$A55)</f>
        <v>2015</v>
      </c>
      <c r="AC55" s="0" t="n">
        <f aca="false">W_PH(AC$2,$A55)</f>
        <v>2015</v>
      </c>
      <c r="AD55" s="0" t="n">
        <f aca="false">W_PH(AD$2,$A55)</f>
        <v>2015</v>
      </c>
      <c r="AE55" s="0" t="n">
        <f aca="false">W_PH(AE$2,$A55)</f>
        <v>2015</v>
      </c>
      <c r="AF55" s="0" t="n">
        <f aca="false">W_PH(AF$2,$A55)</f>
        <v>2015</v>
      </c>
      <c r="AG55" s="0" t="n">
        <f aca="false">W_PH(AG$2,$A55)</f>
        <v>2015</v>
      </c>
      <c r="AH55" s="0" t="n">
        <f aca="false">W_PH(AH$2,$A55)</f>
        <v>2015</v>
      </c>
      <c r="AI55" s="0" t="n">
        <f aca="false">W_PH(AI$2,$A55)</f>
        <v>2015</v>
      </c>
      <c r="AJ55" s="0" t="n">
        <f aca="false">W_PH(AJ$2,$A55)</f>
        <v>2015</v>
      </c>
      <c r="AK55" s="0" t="n">
        <f aca="false">W_PH(AK$2,$A55)</f>
        <v>2015</v>
      </c>
      <c r="AL55" s="0" t="n">
        <f aca="false">W_PH(AL$2,$A55)</f>
        <v>2015</v>
      </c>
      <c r="AM55" s="0" t="n">
        <f aca="false">W_PH(AM$2,$A55)</f>
        <v>2015</v>
      </c>
      <c r="AN55" s="0" t="n">
        <f aca="false">W_PH(AN$2,$A55)</f>
        <v>2015</v>
      </c>
      <c r="AO55" s="0" t="n">
        <f aca="false">W_PH(AO$2,$A55)</f>
        <v>2015</v>
      </c>
      <c r="AP55" s="0" t="n">
        <f aca="false">W_PH(AP$2,$A55)</f>
        <v>2015</v>
      </c>
      <c r="AQ55" s="0" t="n">
        <f aca="false">W_PH(AQ$2,$A55)</f>
        <v>2015</v>
      </c>
      <c r="AR55" s="0" t="n">
        <f aca="false">W_PH(AR$2,$A55)</f>
        <v>323.873462965247</v>
      </c>
      <c r="AS55" s="0" t="n">
        <f aca="false">W_PH(AS$2,$A55)</f>
        <v>334.34593042718</v>
      </c>
    </row>
    <row r="56" customFormat="false" ht="13.8" hidden="false" customHeight="false" outlineLevel="0" collapsed="false">
      <c r="A56" s="0" t="n">
        <v>2160</v>
      </c>
      <c r="B56" s="0" t="n">
        <f aca="false">W_PH(B$2,$A56)</f>
        <v>2015</v>
      </c>
      <c r="C56" s="0" t="n">
        <f aca="false">W_PH(C$2,$A56)</f>
        <v>2015</v>
      </c>
      <c r="D56" s="0" t="n">
        <f aca="false">W_PH(D$2,$A56)</f>
        <v>2015</v>
      </c>
      <c r="E56" s="0" t="n">
        <f aca="false">W_PH(E$2,$A56)</f>
        <v>2015</v>
      </c>
      <c r="F56" s="0" t="n">
        <f aca="false">W_PH(F$2,$A56)</f>
        <v>2015</v>
      </c>
      <c r="G56" s="0" t="n">
        <f aca="false">W_PH(G$2,$A56)</f>
        <v>2015</v>
      </c>
      <c r="H56" s="0" t="n">
        <f aca="false">W_PH(H$2,$A56)</f>
        <v>2015</v>
      </c>
      <c r="I56" s="0" t="n">
        <f aca="false">W_PH(I$2,$A56)</f>
        <v>2015</v>
      </c>
      <c r="J56" s="0" t="n">
        <f aca="false">W_PH(J$2,$A56)</f>
        <v>2015</v>
      </c>
      <c r="K56" s="0" t="n">
        <f aca="false">W_PH(K$2,$A56)</f>
        <v>2015</v>
      </c>
      <c r="L56" s="0" t="n">
        <f aca="false">W_PH(L$2,$A56)</f>
        <v>2015</v>
      </c>
      <c r="M56" s="0" t="n">
        <f aca="false">W_PH(M$2,$A56)</f>
        <v>2015</v>
      </c>
      <c r="N56" s="0" t="n">
        <f aca="false">W_PH(N$2,$A56)</f>
        <v>2015</v>
      </c>
      <c r="O56" s="0" t="n">
        <f aca="false">W_PH(O$2,$A56)</f>
        <v>2015</v>
      </c>
      <c r="P56" s="0" t="n">
        <f aca="false">W_PH(P$2,$A56)</f>
        <v>2015</v>
      </c>
      <c r="Q56" s="0" t="n">
        <f aca="false">W_PH(Q$2,$A56)</f>
        <v>2015</v>
      </c>
      <c r="R56" s="0" t="n">
        <f aca="false">W_PH(R$2,$A56)</f>
        <v>2015</v>
      </c>
      <c r="S56" s="0" t="n">
        <f aca="false">W_PH(S$2,$A56)</f>
        <v>2015</v>
      </c>
      <c r="T56" s="0" t="n">
        <f aca="false">W_PH(T$2,$A56)</f>
        <v>2015</v>
      </c>
      <c r="U56" s="0" t="n">
        <f aca="false">W_PH(U$2,$A56)</f>
        <v>2015</v>
      </c>
      <c r="V56" s="0" t="n">
        <f aca="false">W_PH(V$2,$A56)</f>
        <v>2015</v>
      </c>
      <c r="W56" s="0" t="n">
        <f aca="false">W_PH(W$2,$A56)</f>
        <v>2015</v>
      </c>
      <c r="X56" s="0" t="n">
        <f aca="false">W_PH(X$2,$A56)</f>
        <v>2015</v>
      </c>
      <c r="Y56" s="0" t="n">
        <f aca="false">W_PH(Y$2,$A56)</f>
        <v>2015</v>
      </c>
      <c r="Z56" s="0" t="n">
        <f aca="false">W_PH(Z$2,$A56)</f>
        <v>2015</v>
      </c>
      <c r="AA56" s="0" t="n">
        <f aca="false">W_PH(AA$2,$A56)</f>
        <v>2015</v>
      </c>
      <c r="AB56" s="0" t="n">
        <f aca="false">W_PH(AB$2,$A56)</f>
        <v>2015</v>
      </c>
      <c r="AC56" s="0" t="n">
        <f aca="false">W_PH(AC$2,$A56)</f>
        <v>2015</v>
      </c>
      <c r="AD56" s="0" t="n">
        <f aca="false">W_PH(AD$2,$A56)</f>
        <v>2015</v>
      </c>
      <c r="AE56" s="0" t="n">
        <f aca="false">W_PH(AE$2,$A56)</f>
        <v>2015</v>
      </c>
      <c r="AF56" s="0" t="n">
        <f aca="false">W_PH(AF$2,$A56)</f>
        <v>2015</v>
      </c>
      <c r="AG56" s="0" t="n">
        <f aca="false">W_PH(AG$2,$A56)</f>
        <v>2015</v>
      </c>
      <c r="AH56" s="0" t="n">
        <f aca="false">W_PH(AH$2,$A56)</f>
        <v>2015</v>
      </c>
      <c r="AI56" s="0" t="n">
        <f aca="false">W_PH(AI$2,$A56)</f>
        <v>2015</v>
      </c>
      <c r="AJ56" s="0" t="n">
        <f aca="false">W_PH(AJ$2,$A56)</f>
        <v>2015</v>
      </c>
      <c r="AK56" s="0" t="n">
        <f aca="false">W_PH(AK$2,$A56)</f>
        <v>2015</v>
      </c>
      <c r="AL56" s="0" t="n">
        <f aca="false">W_PH(AL$2,$A56)</f>
        <v>2015</v>
      </c>
      <c r="AM56" s="0" t="n">
        <f aca="false">W_PH(AM$2,$A56)</f>
        <v>2015</v>
      </c>
      <c r="AN56" s="0" t="n">
        <f aca="false">W_PH(AN$2,$A56)</f>
        <v>2015</v>
      </c>
      <c r="AO56" s="0" t="n">
        <f aca="false">W_PH(AO$2,$A56)</f>
        <v>2015</v>
      </c>
      <c r="AP56" s="0" t="n">
        <f aca="false">W_PH(AP$2,$A56)</f>
        <v>2015</v>
      </c>
      <c r="AQ56" s="0" t="n">
        <f aca="false">W_PH(AQ$2,$A56)</f>
        <v>2015</v>
      </c>
      <c r="AR56" s="0" t="n">
        <f aca="false">W_PH(AR$2,$A56)</f>
        <v>325.882248954844</v>
      </c>
      <c r="AS56" s="0" t="n">
        <f aca="false">W_PH(AS$2,$A56)</f>
        <v>335.909974801851</v>
      </c>
    </row>
    <row r="57" customFormat="false" ht="13.8" hidden="false" customHeight="false" outlineLevel="0" collapsed="false">
      <c r="A57" s="0" t="n">
        <v>2170</v>
      </c>
      <c r="B57" s="0" t="n">
        <f aca="false">W_PH(B$2,$A57)</f>
        <v>2015</v>
      </c>
      <c r="C57" s="0" t="n">
        <f aca="false">W_PH(C$2,$A57)</f>
        <v>2015</v>
      </c>
      <c r="D57" s="0" t="n">
        <f aca="false">W_PH(D$2,$A57)</f>
        <v>2015</v>
      </c>
      <c r="E57" s="0" t="n">
        <f aca="false">W_PH(E$2,$A57)</f>
        <v>2015</v>
      </c>
      <c r="F57" s="0" t="n">
        <f aca="false">W_PH(F$2,$A57)</f>
        <v>2015</v>
      </c>
      <c r="G57" s="0" t="n">
        <f aca="false">W_PH(G$2,$A57)</f>
        <v>2015</v>
      </c>
      <c r="H57" s="0" t="n">
        <f aca="false">W_PH(H$2,$A57)</f>
        <v>2015</v>
      </c>
      <c r="I57" s="0" t="n">
        <f aca="false">W_PH(I$2,$A57)</f>
        <v>2015</v>
      </c>
      <c r="J57" s="0" t="n">
        <f aca="false">W_PH(J$2,$A57)</f>
        <v>2015</v>
      </c>
      <c r="K57" s="0" t="n">
        <f aca="false">W_PH(K$2,$A57)</f>
        <v>2015</v>
      </c>
      <c r="L57" s="0" t="n">
        <f aca="false">W_PH(L$2,$A57)</f>
        <v>2015</v>
      </c>
      <c r="M57" s="0" t="n">
        <f aca="false">W_PH(M$2,$A57)</f>
        <v>2015</v>
      </c>
      <c r="N57" s="0" t="n">
        <f aca="false">W_PH(N$2,$A57)</f>
        <v>2015</v>
      </c>
      <c r="O57" s="0" t="n">
        <f aca="false">W_PH(O$2,$A57)</f>
        <v>2015</v>
      </c>
      <c r="P57" s="0" t="n">
        <f aca="false">W_PH(P$2,$A57)</f>
        <v>2015</v>
      </c>
      <c r="Q57" s="0" t="n">
        <f aca="false">W_PH(Q$2,$A57)</f>
        <v>2015</v>
      </c>
      <c r="R57" s="0" t="n">
        <f aca="false">W_PH(R$2,$A57)</f>
        <v>2015</v>
      </c>
      <c r="S57" s="0" t="n">
        <f aca="false">W_PH(S$2,$A57)</f>
        <v>2015</v>
      </c>
      <c r="T57" s="0" t="n">
        <f aca="false">W_PH(T$2,$A57)</f>
        <v>2015</v>
      </c>
      <c r="U57" s="0" t="n">
        <f aca="false">W_PH(U$2,$A57)</f>
        <v>2015</v>
      </c>
      <c r="V57" s="0" t="n">
        <f aca="false">W_PH(V$2,$A57)</f>
        <v>2015</v>
      </c>
      <c r="W57" s="0" t="n">
        <f aca="false">W_PH(W$2,$A57)</f>
        <v>2015</v>
      </c>
      <c r="X57" s="0" t="n">
        <f aca="false">W_PH(X$2,$A57)</f>
        <v>2015</v>
      </c>
      <c r="Y57" s="0" t="n">
        <f aca="false">W_PH(Y$2,$A57)</f>
        <v>2015</v>
      </c>
      <c r="Z57" s="0" t="n">
        <f aca="false">W_PH(Z$2,$A57)</f>
        <v>2015</v>
      </c>
      <c r="AA57" s="0" t="n">
        <f aca="false">W_PH(AA$2,$A57)</f>
        <v>2015</v>
      </c>
      <c r="AB57" s="0" t="n">
        <f aca="false">W_PH(AB$2,$A57)</f>
        <v>2015</v>
      </c>
      <c r="AC57" s="0" t="n">
        <f aca="false">W_PH(AC$2,$A57)</f>
        <v>2015</v>
      </c>
      <c r="AD57" s="0" t="n">
        <f aca="false">W_PH(AD$2,$A57)</f>
        <v>2015</v>
      </c>
      <c r="AE57" s="0" t="n">
        <f aca="false">W_PH(AE$2,$A57)</f>
        <v>2015</v>
      </c>
      <c r="AF57" s="0" t="n">
        <f aca="false">W_PH(AF$2,$A57)</f>
        <v>2015</v>
      </c>
      <c r="AG57" s="0" t="n">
        <f aca="false">W_PH(AG$2,$A57)</f>
        <v>2015</v>
      </c>
      <c r="AH57" s="0" t="n">
        <f aca="false">W_PH(AH$2,$A57)</f>
        <v>2015</v>
      </c>
      <c r="AI57" s="0" t="n">
        <f aca="false">W_PH(AI$2,$A57)</f>
        <v>2015</v>
      </c>
      <c r="AJ57" s="0" t="n">
        <f aca="false">W_PH(AJ$2,$A57)</f>
        <v>2015</v>
      </c>
      <c r="AK57" s="0" t="n">
        <f aca="false">W_PH(AK$2,$A57)</f>
        <v>2015</v>
      </c>
      <c r="AL57" s="0" t="n">
        <f aca="false">W_PH(AL$2,$A57)</f>
        <v>2015</v>
      </c>
      <c r="AM57" s="0" t="n">
        <f aca="false">W_PH(AM$2,$A57)</f>
        <v>2015</v>
      </c>
      <c r="AN57" s="0" t="n">
        <f aca="false">W_PH(AN$2,$A57)</f>
        <v>2015</v>
      </c>
      <c r="AO57" s="0" t="n">
        <f aca="false">W_PH(AO$2,$A57)</f>
        <v>2015</v>
      </c>
      <c r="AP57" s="0" t="n">
        <f aca="false">W_PH(AP$2,$A57)</f>
        <v>2015</v>
      </c>
      <c r="AQ57" s="0" t="n">
        <f aca="false">W_PH(AQ$2,$A57)</f>
        <v>2015</v>
      </c>
      <c r="AR57" s="0" t="n">
        <f aca="false">W_PH(AR$2,$A57)</f>
        <v>327.988029341321</v>
      </c>
      <c r="AS57" s="0" t="n">
        <f aca="false">W_PH(AS$2,$A57)</f>
        <v>337.602141654304</v>
      </c>
    </row>
    <row r="58" customFormat="false" ht="13.8" hidden="false" customHeight="false" outlineLevel="0" collapsed="false">
      <c r="A58" s="0" t="n">
        <v>2180</v>
      </c>
      <c r="B58" s="0" t="n">
        <f aca="false">W_PH(B$2,$A58)</f>
        <v>2015</v>
      </c>
      <c r="C58" s="0" t="n">
        <f aca="false">W_PH(C$2,$A58)</f>
        <v>2015</v>
      </c>
      <c r="D58" s="0" t="n">
        <f aca="false">W_PH(D$2,$A58)</f>
        <v>2015</v>
      </c>
      <c r="E58" s="0" t="n">
        <f aca="false">W_PH(E$2,$A58)</f>
        <v>2015</v>
      </c>
      <c r="F58" s="0" t="n">
        <f aca="false">W_PH(F$2,$A58)</f>
        <v>2015</v>
      </c>
      <c r="G58" s="0" t="n">
        <f aca="false">W_PH(G$2,$A58)</f>
        <v>2015</v>
      </c>
      <c r="H58" s="0" t="n">
        <f aca="false">W_PH(H$2,$A58)</f>
        <v>2015</v>
      </c>
      <c r="I58" s="0" t="n">
        <f aca="false">W_PH(I$2,$A58)</f>
        <v>2015</v>
      </c>
      <c r="J58" s="0" t="n">
        <f aca="false">W_PH(J$2,$A58)</f>
        <v>2015</v>
      </c>
      <c r="K58" s="0" t="n">
        <f aca="false">W_PH(K$2,$A58)</f>
        <v>2015</v>
      </c>
      <c r="L58" s="0" t="n">
        <f aca="false">W_PH(L$2,$A58)</f>
        <v>2015</v>
      </c>
      <c r="M58" s="0" t="n">
        <f aca="false">W_PH(M$2,$A58)</f>
        <v>2015</v>
      </c>
      <c r="N58" s="0" t="n">
        <f aca="false">W_PH(N$2,$A58)</f>
        <v>2015</v>
      </c>
      <c r="O58" s="0" t="n">
        <f aca="false">W_PH(O$2,$A58)</f>
        <v>2015</v>
      </c>
      <c r="P58" s="0" t="n">
        <f aca="false">W_PH(P$2,$A58)</f>
        <v>2015</v>
      </c>
      <c r="Q58" s="0" t="n">
        <f aca="false">W_PH(Q$2,$A58)</f>
        <v>2015</v>
      </c>
      <c r="R58" s="0" t="n">
        <f aca="false">W_PH(R$2,$A58)</f>
        <v>2015</v>
      </c>
      <c r="S58" s="0" t="n">
        <f aca="false">W_PH(S$2,$A58)</f>
        <v>2015</v>
      </c>
      <c r="T58" s="0" t="n">
        <f aca="false">W_PH(T$2,$A58)</f>
        <v>2015</v>
      </c>
      <c r="U58" s="0" t="n">
        <f aca="false">W_PH(U$2,$A58)</f>
        <v>2015</v>
      </c>
      <c r="V58" s="0" t="n">
        <f aca="false">W_PH(V$2,$A58)</f>
        <v>2015</v>
      </c>
      <c r="W58" s="0" t="n">
        <f aca="false">W_PH(W$2,$A58)</f>
        <v>2015</v>
      </c>
      <c r="X58" s="0" t="n">
        <f aca="false">W_PH(X$2,$A58)</f>
        <v>2015</v>
      </c>
      <c r="Y58" s="0" t="n">
        <f aca="false">W_PH(Y$2,$A58)</f>
        <v>2015</v>
      </c>
      <c r="Z58" s="0" t="n">
        <f aca="false">W_PH(Z$2,$A58)</f>
        <v>2015</v>
      </c>
      <c r="AA58" s="0" t="n">
        <f aca="false">W_PH(AA$2,$A58)</f>
        <v>2015</v>
      </c>
      <c r="AB58" s="0" t="n">
        <f aca="false">W_PH(AB$2,$A58)</f>
        <v>2015</v>
      </c>
      <c r="AC58" s="0" t="n">
        <f aca="false">W_PH(AC$2,$A58)</f>
        <v>2015</v>
      </c>
      <c r="AD58" s="0" t="n">
        <f aca="false">W_PH(AD$2,$A58)</f>
        <v>2015</v>
      </c>
      <c r="AE58" s="0" t="n">
        <f aca="false">W_PH(AE$2,$A58)</f>
        <v>2015</v>
      </c>
      <c r="AF58" s="0" t="n">
        <f aca="false">W_PH(AF$2,$A58)</f>
        <v>2015</v>
      </c>
      <c r="AG58" s="0" t="n">
        <f aca="false">W_PH(AG$2,$A58)</f>
        <v>2015</v>
      </c>
      <c r="AH58" s="0" t="n">
        <f aca="false">W_PH(AH$2,$A58)</f>
        <v>2015</v>
      </c>
      <c r="AI58" s="0" t="n">
        <f aca="false">W_PH(AI$2,$A58)</f>
        <v>2015</v>
      </c>
      <c r="AJ58" s="0" t="n">
        <f aca="false">W_PH(AJ$2,$A58)</f>
        <v>2015</v>
      </c>
      <c r="AK58" s="0" t="n">
        <f aca="false">W_PH(AK$2,$A58)</f>
        <v>2015</v>
      </c>
      <c r="AL58" s="0" t="n">
        <f aca="false">W_PH(AL$2,$A58)</f>
        <v>2015</v>
      </c>
      <c r="AM58" s="0" t="n">
        <f aca="false">W_PH(AM$2,$A58)</f>
        <v>2015</v>
      </c>
      <c r="AN58" s="0" t="n">
        <f aca="false">W_PH(AN$2,$A58)</f>
        <v>2015</v>
      </c>
      <c r="AO58" s="0" t="n">
        <f aca="false">W_PH(AO$2,$A58)</f>
        <v>2015</v>
      </c>
      <c r="AP58" s="0" t="n">
        <f aca="false">W_PH(AP$2,$A58)</f>
        <v>2015</v>
      </c>
      <c r="AQ58" s="0" t="n">
        <f aca="false">W_PH(AQ$2,$A58)</f>
        <v>2015</v>
      </c>
      <c r="AR58" s="0" t="n">
        <f aca="false">W_PH(AR$2,$A58)</f>
        <v>330.179697501267</v>
      </c>
      <c r="AS58" s="0" t="n">
        <f aca="false">W_PH(AS$2,$A58)</f>
        <v>339.408603081337</v>
      </c>
    </row>
    <row r="59" customFormat="false" ht="13.8" hidden="false" customHeight="false" outlineLevel="0" collapsed="false">
      <c r="A59" s="0" t="n">
        <v>2190</v>
      </c>
      <c r="B59" s="0" t="n">
        <f aca="false">W_PH(B$2,$A59)</f>
        <v>2015</v>
      </c>
      <c r="C59" s="0" t="n">
        <f aca="false">W_PH(C$2,$A59)</f>
        <v>2015</v>
      </c>
      <c r="D59" s="0" t="n">
        <f aca="false">W_PH(D$2,$A59)</f>
        <v>2015</v>
      </c>
      <c r="E59" s="0" t="n">
        <f aca="false">W_PH(E$2,$A59)</f>
        <v>2015</v>
      </c>
      <c r="F59" s="0" t="n">
        <f aca="false">W_PH(F$2,$A59)</f>
        <v>2015</v>
      </c>
      <c r="G59" s="0" t="n">
        <f aca="false">W_PH(G$2,$A59)</f>
        <v>2015</v>
      </c>
      <c r="H59" s="0" t="n">
        <f aca="false">W_PH(H$2,$A59)</f>
        <v>2015</v>
      </c>
      <c r="I59" s="0" t="n">
        <f aca="false">W_PH(I$2,$A59)</f>
        <v>2015</v>
      </c>
      <c r="J59" s="0" t="n">
        <f aca="false">W_PH(J$2,$A59)</f>
        <v>2015</v>
      </c>
      <c r="K59" s="0" t="n">
        <f aca="false">W_PH(K$2,$A59)</f>
        <v>2015</v>
      </c>
      <c r="L59" s="0" t="n">
        <f aca="false">W_PH(L$2,$A59)</f>
        <v>2015</v>
      </c>
      <c r="M59" s="0" t="n">
        <f aca="false">W_PH(M$2,$A59)</f>
        <v>2015</v>
      </c>
      <c r="N59" s="0" t="n">
        <f aca="false">W_PH(N$2,$A59)</f>
        <v>2015</v>
      </c>
      <c r="O59" s="0" t="n">
        <f aca="false">W_PH(O$2,$A59)</f>
        <v>2015</v>
      </c>
      <c r="P59" s="0" t="n">
        <f aca="false">W_PH(P$2,$A59)</f>
        <v>2015</v>
      </c>
      <c r="Q59" s="0" t="n">
        <f aca="false">W_PH(Q$2,$A59)</f>
        <v>2015</v>
      </c>
      <c r="R59" s="0" t="n">
        <f aca="false">W_PH(R$2,$A59)</f>
        <v>2015</v>
      </c>
      <c r="S59" s="0" t="n">
        <f aca="false">W_PH(S$2,$A59)</f>
        <v>2015</v>
      </c>
      <c r="T59" s="0" t="n">
        <f aca="false">W_PH(T$2,$A59)</f>
        <v>2015</v>
      </c>
      <c r="U59" s="0" t="n">
        <f aca="false">W_PH(U$2,$A59)</f>
        <v>2015</v>
      </c>
      <c r="V59" s="0" t="n">
        <f aca="false">W_PH(V$2,$A59)</f>
        <v>2015</v>
      </c>
      <c r="W59" s="0" t="n">
        <f aca="false">W_PH(W$2,$A59)</f>
        <v>2015</v>
      </c>
      <c r="X59" s="0" t="n">
        <f aca="false">W_PH(X$2,$A59)</f>
        <v>2015</v>
      </c>
      <c r="Y59" s="0" t="n">
        <f aca="false">W_PH(Y$2,$A59)</f>
        <v>2015</v>
      </c>
      <c r="Z59" s="0" t="n">
        <f aca="false">W_PH(Z$2,$A59)</f>
        <v>2015</v>
      </c>
      <c r="AA59" s="0" t="n">
        <f aca="false">W_PH(AA$2,$A59)</f>
        <v>2015</v>
      </c>
      <c r="AB59" s="0" t="n">
        <f aca="false">W_PH(AB$2,$A59)</f>
        <v>2015</v>
      </c>
      <c r="AC59" s="0" t="n">
        <f aca="false">W_PH(AC$2,$A59)</f>
        <v>2015</v>
      </c>
      <c r="AD59" s="0" t="n">
        <f aca="false">W_PH(AD$2,$A59)</f>
        <v>2015</v>
      </c>
      <c r="AE59" s="0" t="n">
        <f aca="false">W_PH(AE$2,$A59)</f>
        <v>2015</v>
      </c>
      <c r="AF59" s="0" t="n">
        <f aca="false">W_PH(AF$2,$A59)</f>
        <v>2015</v>
      </c>
      <c r="AG59" s="0" t="n">
        <f aca="false">W_PH(AG$2,$A59)</f>
        <v>2015</v>
      </c>
      <c r="AH59" s="0" t="n">
        <f aca="false">W_PH(AH$2,$A59)</f>
        <v>2015</v>
      </c>
      <c r="AI59" s="0" t="n">
        <f aca="false">W_PH(AI$2,$A59)</f>
        <v>2015</v>
      </c>
      <c r="AJ59" s="0" t="n">
        <f aca="false">W_PH(AJ$2,$A59)</f>
        <v>2015</v>
      </c>
      <c r="AK59" s="0" t="n">
        <f aca="false">W_PH(AK$2,$A59)</f>
        <v>2015</v>
      </c>
      <c r="AL59" s="0" t="n">
        <f aca="false">W_PH(AL$2,$A59)</f>
        <v>2015</v>
      </c>
      <c r="AM59" s="0" t="n">
        <f aca="false">W_PH(AM$2,$A59)</f>
        <v>2015</v>
      </c>
      <c r="AN59" s="0" t="n">
        <f aca="false">W_PH(AN$2,$A59)</f>
        <v>2015</v>
      </c>
      <c r="AO59" s="0" t="n">
        <f aca="false">W_PH(AO$2,$A59)</f>
        <v>2015</v>
      </c>
      <c r="AP59" s="0" t="n">
        <f aca="false">W_PH(AP$2,$A59)</f>
        <v>2015</v>
      </c>
      <c r="AQ59" s="0" t="n">
        <f aca="false">W_PH(AQ$2,$A59)</f>
        <v>2015</v>
      </c>
      <c r="AR59" s="0" t="n">
        <f aca="false">W_PH(AR$2,$A59)</f>
        <v>332.447827660681</v>
      </c>
      <c r="AS59" s="0" t="n">
        <f aca="false">W_PH(AS$2,$A59)</f>
        <v>341.317370922889</v>
      </c>
    </row>
    <row r="60" customFormat="false" ht="13.8" hidden="false" customHeight="false" outlineLevel="0" collapsed="false">
      <c r="A60" s="0" t="n">
        <v>2200</v>
      </c>
      <c r="B60" s="0" t="n">
        <f aca="false">W_PH(B$2,$A60)</f>
        <v>2015</v>
      </c>
      <c r="C60" s="0" t="n">
        <f aca="false">W_PH(C$2,$A60)</f>
        <v>2015</v>
      </c>
      <c r="D60" s="0" t="n">
        <f aca="false">W_PH(D$2,$A60)</f>
        <v>2015</v>
      </c>
      <c r="E60" s="0" t="n">
        <f aca="false">W_PH(E$2,$A60)</f>
        <v>2015</v>
      </c>
      <c r="F60" s="0" t="n">
        <f aca="false">W_PH(F$2,$A60)</f>
        <v>2015</v>
      </c>
      <c r="G60" s="0" t="n">
        <f aca="false">W_PH(G$2,$A60)</f>
        <v>2015</v>
      </c>
      <c r="H60" s="0" t="n">
        <f aca="false">W_PH(H$2,$A60)</f>
        <v>2015</v>
      </c>
      <c r="I60" s="0" t="n">
        <f aca="false">W_PH(I$2,$A60)</f>
        <v>2015</v>
      </c>
      <c r="J60" s="0" t="n">
        <f aca="false">W_PH(J$2,$A60)</f>
        <v>2015</v>
      </c>
      <c r="K60" s="0" t="n">
        <f aca="false">W_PH(K$2,$A60)</f>
        <v>2015</v>
      </c>
      <c r="L60" s="0" t="n">
        <f aca="false">W_PH(L$2,$A60)</f>
        <v>2015</v>
      </c>
      <c r="M60" s="0" t="n">
        <f aca="false">W_PH(M$2,$A60)</f>
        <v>2015</v>
      </c>
      <c r="N60" s="0" t="n">
        <f aca="false">W_PH(N$2,$A60)</f>
        <v>2015</v>
      </c>
      <c r="O60" s="0" t="n">
        <f aca="false">W_PH(O$2,$A60)</f>
        <v>2015</v>
      </c>
      <c r="P60" s="0" t="n">
        <f aca="false">W_PH(P$2,$A60)</f>
        <v>2015</v>
      </c>
      <c r="Q60" s="0" t="n">
        <f aca="false">W_PH(Q$2,$A60)</f>
        <v>2015</v>
      </c>
      <c r="R60" s="0" t="n">
        <f aca="false">W_PH(R$2,$A60)</f>
        <v>2015</v>
      </c>
      <c r="S60" s="0" t="n">
        <f aca="false">W_PH(S$2,$A60)</f>
        <v>2015</v>
      </c>
      <c r="T60" s="0" t="n">
        <f aca="false">W_PH(T$2,$A60)</f>
        <v>2015</v>
      </c>
      <c r="U60" s="0" t="n">
        <f aca="false">W_PH(U$2,$A60)</f>
        <v>2015</v>
      </c>
      <c r="V60" s="0" t="n">
        <f aca="false">W_PH(V$2,$A60)</f>
        <v>2015</v>
      </c>
      <c r="W60" s="0" t="n">
        <f aca="false">W_PH(W$2,$A60)</f>
        <v>2015</v>
      </c>
      <c r="X60" s="0" t="n">
        <f aca="false">W_PH(X$2,$A60)</f>
        <v>2015</v>
      </c>
      <c r="Y60" s="0" t="n">
        <f aca="false">W_PH(Y$2,$A60)</f>
        <v>2015</v>
      </c>
      <c r="Z60" s="0" t="n">
        <f aca="false">W_PH(Z$2,$A60)</f>
        <v>2015</v>
      </c>
      <c r="AA60" s="0" t="n">
        <f aca="false">W_PH(AA$2,$A60)</f>
        <v>2015</v>
      </c>
      <c r="AB60" s="0" t="n">
        <f aca="false">W_PH(AB$2,$A60)</f>
        <v>2015</v>
      </c>
      <c r="AC60" s="0" t="n">
        <f aca="false">W_PH(AC$2,$A60)</f>
        <v>2015</v>
      </c>
      <c r="AD60" s="0" t="n">
        <f aca="false">W_PH(AD$2,$A60)</f>
        <v>2015</v>
      </c>
      <c r="AE60" s="0" t="n">
        <f aca="false">W_PH(AE$2,$A60)</f>
        <v>2015</v>
      </c>
      <c r="AF60" s="0" t="n">
        <f aca="false">W_PH(AF$2,$A60)</f>
        <v>2015</v>
      </c>
      <c r="AG60" s="0" t="n">
        <f aca="false">W_PH(AG$2,$A60)</f>
        <v>2015</v>
      </c>
      <c r="AH60" s="0" t="n">
        <f aca="false">W_PH(AH$2,$A60)</f>
        <v>2015</v>
      </c>
      <c r="AI60" s="0" t="n">
        <f aca="false">W_PH(AI$2,$A60)</f>
        <v>2015</v>
      </c>
      <c r="AJ60" s="0" t="n">
        <f aca="false">W_PH(AJ$2,$A60)</f>
        <v>2015</v>
      </c>
      <c r="AK60" s="0" t="n">
        <f aca="false">W_PH(AK$2,$A60)</f>
        <v>2015</v>
      </c>
      <c r="AL60" s="0" t="n">
        <f aca="false">W_PH(AL$2,$A60)</f>
        <v>2015</v>
      </c>
      <c r="AM60" s="0" t="n">
        <f aca="false">W_PH(AM$2,$A60)</f>
        <v>2015</v>
      </c>
      <c r="AN60" s="0" t="n">
        <f aca="false">W_PH(AN$2,$A60)</f>
        <v>2015</v>
      </c>
      <c r="AO60" s="0" t="n">
        <f aca="false">W_PH(AO$2,$A60)</f>
        <v>2015</v>
      </c>
      <c r="AP60" s="0" t="n">
        <f aca="false">W_PH(AP$2,$A60)</f>
        <v>2015</v>
      </c>
      <c r="AQ60" s="0" t="n">
        <f aca="false">W_PH(AQ$2,$A60)</f>
        <v>2015</v>
      </c>
      <c r="AR60" s="0" t="n">
        <f aca="false">W_PH(AR$2,$A60)</f>
        <v>334.784407334951</v>
      </c>
      <c r="AS60" s="0" t="n">
        <f aca="false">W_PH(AS$2,$A60)</f>
        <v>343.318049623144</v>
      </c>
    </row>
    <row r="61" customFormat="false" ht="13.8" hidden="false" customHeight="false" outlineLevel="0" collapsed="false">
      <c r="A61" s="0" t="n">
        <v>2210</v>
      </c>
      <c r="B61" s="0" t="n">
        <f aca="false">W_PH(B$2,$A61)</f>
        <v>2015</v>
      </c>
      <c r="C61" s="0" t="n">
        <f aca="false">W_PH(C$2,$A61)</f>
        <v>2015</v>
      </c>
      <c r="D61" s="0" t="n">
        <f aca="false">W_PH(D$2,$A61)</f>
        <v>2015</v>
      </c>
      <c r="E61" s="0" t="n">
        <f aca="false">W_PH(E$2,$A61)</f>
        <v>2015</v>
      </c>
      <c r="F61" s="0" t="n">
        <f aca="false">W_PH(F$2,$A61)</f>
        <v>2015</v>
      </c>
      <c r="G61" s="0" t="n">
        <f aca="false">W_PH(G$2,$A61)</f>
        <v>2015</v>
      </c>
      <c r="H61" s="0" t="n">
        <f aca="false">W_PH(H$2,$A61)</f>
        <v>2015</v>
      </c>
      <c r="I61" s="0" t="n">
        <f aca="false">W_PH(I$2,$A61)</f>
        <v>2015</v>
      </c>
      <c r="J61" s="0" t="n">
        <f aca="false">W_PH(J$2,$A61)</f>
        <v>2015</v>
      </c>
      <c r="K61" s="0" t="n">
        <f aca="false">W_PH(K$2,$A61)</f>
        <v>2015</v>
      </c>
      <c r="L61" s="0" t="n">
        <f aca="false">W_PH(L$2,$A61)</f>
        <v>2015</v>
      </c>
      <c r="M61" s="0" t="n">
        <f aca="false">W_PH(M$2,$A61)</f>
        <v>2015</v>
      </c>
      <c r="N61" s="0" t="n">
        <f aca="false">W_PH(N$2,$A61)</f>
        <v>2015</v>
      </c>
      <c r="O61" s="0" t="n">
        <f aca="false">W_PH(O$2,$A61)</f>
        <v>2015</v>
      </c>
      <c r="P61" s="0" t="n">
        <f aca="false">W_PH(P$2,$A61)</f>
        <v>2015</v>
      </c>
      <c r="Q61" s="0" t="n">
        <f aca="false">W_PH(Q$2,$A61)</f>
        <v>2015</v>
      </c>
      <c r="R61" s="0" t="n">
        <f aca="false">W_PH(R$2,$A61)</f>
        <v>2015</v>
      </c>
      <c r="S61" s="0" t="n">
        <f aca="false">W_PH(S$2,$A61)</f>
        <v>2015</v>
      </c>
      <c r="T61" s="0" t="n">
        <f aca="false">W_PH(T$2,$A61)</f>
        <v>2015</v>
      </c>
      <c r="U61" s="0" t="n">
        <f aca="false">W_PH(U$2,$A61)</f>
        <v>2015</v>
      </c>
      <c r="V61" s="0" t="n">
        <f aca="false">W_PH(V$2,$A61)</f>
        <v>2015</v>
      </c>
      <c r="W61" s="0" t="n">
        <f aca="false">W_PH(W$2,$A61)</f>
        <v>2015</v>
      </c>
      <c r="X61" s="0" t="n">
        <f aca="false">W_PH(X$2,$A61)</f>
        <v>2015</v>
      </c>
      <c r="Y61" s="0" t="n">
        <f aca="false">W_PH(Y$2,$A61)</f>
        <v>2015</v>
      </c>
      <c r="Z61" s="0" t="n">
        <f aca="false">W_PH(Z$2,$A61)</f>
        <v>2015</v>
      </c>
      <c r="AA61" s="0" t="n">
        <f aca="false">W_PH(AA$2,$A61)</f>
        <v>2015</v>
      </c>
      <c r="AB61" s="0" t="n">
        <f aca="false">W_PH(AB$2,$A61)</f>
        <v>2015</v>
      </c>
      <c r="AC61" s="0" t="n">
        <f aca="false">W_PH(AC$2,$A61)</f>
        <v>2015</v>
      </c>
      <c r="AD61" s="0" t="n">
        <f aca="false">W_PH(AD$2,$A61)</f>
        <v>2015</v>
      </c>
      <c r="AE61" s="0" t="n">
        <f aca="false">W_PH(AE$2,$A61)</f>
        <v>2015</v>
      </c>
      <c r="AF61" s="0" t="n">
        <f aca="false">W_PH(AF$2,$A61)</f>
        <v>2015</v>
      </c>
      <c r="AG61" s="0" t="n">
        <f aca="false">W_PH(AG$2,$A61)</f>
        <v>2015</v>
      </c>
      <c r="AH61" s="0" t="n">
        <f aca="false">W_PH(AH$2,$A61)</f>
        <v>2015</v>
      </c>
      <c r="AI61" s="0" t="n">
        <f aca="false">W_PH(AI$2,$A61)</f>
        <v>2015</v>
      </c>
      <c r="AJ61" s="0" t="n">
        <f aca="false">W_PH(AJ$2,$A61)</f>
        <v>2015</v>
      </c>
      <c r="AK61" s="0" t="n">
        <f aca="false">W_PH(AK$2,$A61)</f>
        <v>2015</v>
      </c>
      <c r="AL61" s="0" t="n">
        <f aca="false">W_PH(AL$2,$A61)</f>
        <v>2015</v>
      </c>
      <c r="AM61" s="0" t="n">
        <f aca="false">W_PH(AM$2,$A61)</f>
        <v>2015</v>
      </c>
      <c r="AN61" s="0" t="n">
        <f aca="false">W_PH(AN$2,$A61)</f>
        <v>2015</v>
      </c>
      <c r="AO61" s="0" t="n">
        <f aca="false">W_PH(AO$2,$A61)</f>
        <v>2015</v>
      </c>
      <c r="AP61" s="0" t="n">
        <f aca="false">W_PH(AP$2,$A61)</f>
        <v>2015</v>
      </c>
      <c r="AQ61" s="0" t="n">
        <f aca="false">W_PH(AQ$2,$A61)</f>
        <v>2015</v>
      </c>
      <c r="AR61" s="0" t="n">
        <f aca="false">W_PH(AR$2,$A61)</f>
        <v>337.182607372137</v>
      </c>
      <c r="AS61" s="0" t="n">
        <f aca="false">W_PH(AS$2,$A61)</f>
        <v>345.401614632498</v>
      </c>
    </row>
    <row r="62" customFormat="false" ht="13.8" hidden="false" customHeight="false" outlineLevel="0" collapsed="false">
      <c r="A62" s="0" t="n">
        <v>2220</v>
      </c>
      <c r="B62" s="0" t="n">
        <f aca="false">W_PH(B$2,$A62)</f>
        <v>2015</v>
      </c>
      <c r="C62" s="0" t="n">
        <f aca="false">W_PH(C$2,$A62)</f>
        <v>2015</v>
      </c>
      <c r="D62" s="0" t="n">
        <f aca="false">W_PH(D$2,$A62)</f>
        <v>2015</v>
      </c>
      <c r="E62" s="0" t="n">
        <f aca="false">W_PH(E$2,$A62)</f>
        <v>2015</v>
      </c>
      <c r="F62" s="0" t="n">
        <f aca="false">W_PH(F$2,$A62)</f>
        <v>2015</v>
      </c>
      <c r="G62" s="0" t="n">
        <f aca="false">W_PH(G$2,$A62)</f>
        <v>2015</v>
      </c>
      <c r="H62" s="0" t="n">
        <f aca="false">W_PH(H$2,$A62)</f>
        <v>2015</v>
      </c>
      <c r="I62" s="0" t="n">
        <f aca="false">W_PH(I$2,$A62)</f>
        <v>2015</v>
      </c>
      <c r="J62" s="0" t="n">
        <f aca="false">W_PH(J$2,$A62)</f>
        <v>2015</v>
      </c>
      <c r="K62" s="0" t="n">
        <f aca="false">W_PH(K$2,$A62)</f>
        <v>2015</v>
      </c>
      <c r="L62" s="0" t="n">
        <f aca="false">W_PH(L$2,$A62)</f>
        <v>2015</v>
      </c>
      <c r="M62" s="0" t="n">
        <f aca="false">W_PH(M$2,$A62)</f>
        <v>2015</v>
      </c>
      <c r="N62" s="0" t="n">
        <f aca="false">W_PH(N$2,$A62)</f>
        <v>2015</v>
      </c>
      <c r="O62" s="0" t="n">
        <f aca="false">W_PH(O$2,$A62)</f>
        <v>2015</v>
      </c>
      <c r="P62" s="0" t="n">
        <f aca="false">W_PH(P$2,$A62)</f>
        <v>2015</v>
      </c>
      <c r="Q62" s="0" t="n">
        <f aca="false">W_PH(Q$2,$A62)</f>
        <v>2015</v>
      </c>
      <c r="R62" s="0" t="n">
        <f aca="false">W_PH(R$2,$A62)</f>
        <v>2015</v>
      </c>
      <c r="S62" s="0" t="n">
        <f aca="false">W_PH(S$2,$A62)</f>
        <v>2015</v>
      </c>
      <c r="T62" s="0" t="n">
        <f aca="false">W_PH(T$2,$A62)</f>
        <v>2015</v>
      </c>
      <c r="U62" s="0" t="n">
        <f aca="false">W_PH(U$2,$A62)</f>
        <v>2015</v>
      </c>
      <c r="V62" s="0" t="n">
        <f aca="false">W_PH(V$2,$A62)</f>
        <v>2015</v>
      </c>
      <c r="W62" s="0" t="n">
        <f aca="false">W_PH(W$2,$A62)</f>
        <v>2015</v>
      </c>
      <c r="X62" s="0" t="n">
        <f aca="false">W_PH(X$2,$A62)</f>
        <v>2015</v>
      </c>
      <c r="Y62" s="0" t="n">
        <f aca="false">W_PH(Y$2,$A62)</f>
        <v>2015</v>
      </c>
      <c r="Z62" s="0" t="n">
        <f aca="false">W_PH(Z$2,$A62)</f>
        <v>2015</v>
      </c>
      <c r="AA62" s="0" t="n">
        <f aca="false">W_PH(AA$2,$A62)</f>
        <v>2015</v>
      </c>
      <c r="AB62" s="0" t="n">
        <f aca="false">W_PH(AB$2,$A62)</f>
        <v>2015</v>
      </c>
      <c r="AC62" s="0" t="n">
        <f aca="false">W_PH(AC$2,$A62)</f>
        <v>2015</v>
      </c>
      <c r="AD62" s="0" t="n">
        <f aca="false">W_PH(AD$2,$A62)</f>
        <v>2015</v>
      </c>
      <c r="AE62" s="0" t="n">
        <f aca="false">W_PH(AE$2,$A62)</f>
        <v>2015</v>
      </c>
      <c r="AF62" s="0" t="n">
        <f aca="false">W_PH(AF$2,$A62)</f>
        <v>2015</v>
      </c>
      <c r="AG62" s="0" t="n">
        <f aca="false">W_PH(AG$2,$A62)</f>
        <v>2015</v>
      </c>
      <c r="AH62" s="0" t="n">
        <f aca="false">W_PH(AH$2,$A62)</f>
        <v>2015</v>
      </c>
      <c r="AI62" s="0" t="n">
        <f aca="false">W_PH(AI$2,$A62)</f>
        <v>2015</v>
      </c>
      <c r="AJ62" s="0" t="n">
        <f aca="false">W_PH(AJ$2,$A62)</f>
        <v>2015</v>
      </c>
      <c r="AK62" s="0" t="n">
        <f aca="false">W_PH(AK$2,$A62)</f>
        <v>2015</v>
      </c>
      <c r="AL62" s="0" t="n">
        <f aca="false">W_PH(AL$2,$A62)</f>
        <v>2015</v>
      </c>
      <c r="AM62" s="0" t="n">
        <f aca="false">W_PH(AM$2,$A62)</f>
        <v>2015</v>
      </c>
      <c r="AN62" s="0" t="n">
        <f aca="false">W_PH(AN$2,$A62)</f>
        <v>2015</v>
      </c>
      <c r="AO62" s="0" t="n">
        <f aca="false">W_PH(AO$2,$A62)</f>
        <v>2015</v>
      </c>
      <c r="AP62" s="0" t="n">
        <f aca="false">W_PH(AP$2,$A62)</f>
        <v>2015</v>
      </c>
      <c r="AQ62" s="0" t="n">
        <f aca="false">W_PH(AQ$2,$A62)</f>
        <v>2015</v>
      </c>
      <c r="AR62" s="0" t="n">
        <f aca="false">W_PH(AR$2,$A62)</f>
        <v>339.636585355914</v>
      </c>
      <c r="AS62" s="0" t="n">
        <f aca="false">W_PH(AS$2,$A62)</f>
        <v>347.560215723176</v>
      </c>
    </row>
    <row r="63" customFormat="false" ht="13.8" hidden="false" customHeight="false" outlineLevel="0" collapsed="false">
      <c r="A63" s="0" t="n">
        <v>2230</v>
      </c>
      <c r="B63" s="0" t="n">
        <f aca="false">W_PH(B$2,$A63)</f>
        <v>2015</v>
      </c>
      <c r="C63" s="0" t="n">
        <f aca="false">W_PH(C$2,$A63)</f>
        <v>2015</v>
      </c>
      <c r="D63" s="0" t="n">
        <f aca="false">W_PH(D$2,$A63)</f>
        <v>2015</v>
      </c>
      <c r="E63" s="0" t="n">
        <f aca="false">W_PH(E$2,$A63)</f>
        <v>2015</v>
      </c>
      <c r="F63" s="0" t="n">
        <f aca="false">W_PH(F$2,$A63)</f>
        <v>2015</v>
      </c>
      <c r="G63" s="0" t="n">
        <f aca="false">W_PH(G$2,$A63)</f>
        <v>2015</v>
      </c>
      <c r="H63" s="0" t="n">
        <f aca="false">W_PH(H$2,$A63)</f>
        <v>2015</v>
      </c>
      <c r="I63" s="0" t="n">
        <f aca="false">W_PH(I$2,$A63)</f>
        <v>2015</v>
      </c>
      <c r="J63" s="0" t="n">
        <f aca="false">W_PH(J$2,$A63)</f>
        <v>2015</v>
      </c>
      <c r="K63" s="0" t="n">
        <f aca="false">W_PH(K$2,$A63)</f>
        <v>2015</v>
      </c>
      <c r="L63" s="0" t="n">
        <f aca="false">W_PH(L$2,$A63)</f>
        <v>2015</v>
      </c>
      <c r="M63" s="0" t="n">
        <f aca="false">W_PH(M$2,$A63)</f>
        <v>2015</v>
      </c>
      <c r="N63" s="0" t="n">
        <f aca="false">W_PH(N$2,$A63)</f>
        <v>2015</v>
      </c>
      <c r="O63" s="0" t="n">
        <f aca="false">W_PH(O$2,$A63)</f>
        <v>2015</v>
      </c>
      <c r="P63" s="0" t="n">
        <f aca="false">W_PH(P$2,$A63)</f>
        <v>2015</v>
      </c>
      <c r="Q63" s="0" t="n">
        <f aca="false">W_PH(Q$2,$A63)</f>
        <v>2015</v>
      </c>
      <c r="R63" s="0" t="n">
        <f aca="false">W_PH(R$2,$A63)</f>
        <v>2015</v>
      </c>
      <c r="S63" s="0" t="n">
        <f aca="false">W_PH(S$2,$A63)</f>
        <v>2015</v>
      </c>
      <c r="T63" s="0" t="n">
        <f aca="false">W_PH(T$2,$A63)</f>
        <v>2015</v>
      </c>
      <c r="U63" s="0" t="n">
        <f aca="false">W_PH(U$2,$A63)</f>
        <v>2015</v>
      </c>
      <c r="V63" s="0" t="n">
        <f aca="false">W_PH(V$2,$A63)</f>
        <v>2015</v>
      </c>
      <c r="W63" s="0" t="n">
        <f aca="false">W_PH(W$2,$A63)</f>
        <v>2015</v>
      </c>
      <c r="X63" s="0" t="n">
        <f aca="false">W_PH(X$2,$A63)</f>
        <v>2015</v>
      </c>
      <c r="Y63" s="0" t="n">
        <f aca="false">W_PH(Y$2,$A63)</f>
        <v>2015</v>
      </c>
      <c r="Z63" s="0" t="n">
        <f aca="false">W_PH(Z$2,$A63)</f>
        <v>2015</v>
      </c>
      <c r="AA63" s="0" t="n">
        <f aca="false">W_PH(AA$2,$A63)</f>
        <v>2015</v>
      </c>
      <c r="AB63" s="0" t="n">
        <f aca="false">W_PH(AB$2,$A63)</f>
        <v>2015</v>
      </c>
      <c r="AC63" s="0" t="n">
        <f aca="false">W_PH(AC$2,$A63)</f>
        <v>2015</v>
      </c>
      <c r="AD63" s="0" t="n">
        <f aca="false">W_PH(AD$2,$A63)</f>
        <v>2015</v>
      </c>
      <c r="AE63" s="0" t="n">
        <f aca="false">W_PH(AE$2,$A63)</f>
        <v>2015</v>
      </c>
      <c r="AF63" s="0" t="n">
        <f aca="false">W_PH(AF$2,$A63)</f>
        <v>2015</v>
      </c>
      <c r="AG63" s="0" t="n">
        <f aca="false">W_PH(AG$2,$A63)</f>
        <v>2015</v>
      </c>
      <c r="AH63" s="0" t="n">
        <f aca="false">W_PH(AH$2,$A63)</f>
        <v>2015</v>
      </c>
      <c r="AI63" s="0" t="n">
        <f aca="false">W_PH(AI$2,$A63)</f>
        <v>2015</v>
      </c>
      <c r="AJ63" s="0" t="n">
        <f aca="false">W_PH(AJ$2,$A63)</f>
        <v>2015</v>
      </c>
      <c r="AK63" s="0" t="n">
        <f aca="false">W_PH(AK$2,$A63)</f>
        <v>2015</v>
      </c>
      <c r="AL63" s="0" t="n">
        <f aca="false">W_PH(AL$2,$A63)</f>
        <v>2015</v>
      </c>
      <c r="AM63" s="0" t="n">
        <f aca="false">W_PH(AM$2,$A63)</f>
        <v>2015</v>
      </c>
      <c r="AN63" s="0" t="n">
        <f aca="false">W_PH(AN$2,$A63)</f>
        <v>2015</v>
      </c>
      <c r="AO63" s="0" t="n">
        <f aca="false">W_PH(AO$2,$A63)</f>
        <v>2015</v>
      </c>
      <c r="AP63" s="0" t="n">
        <f aca="false">W_PH(AP$2,$A63)</f>
        <v>2015</v>
      </c>
      <c r="AQ63" s="0" t="n">
        <f aca="false">W_PH(AQ$2,$A63)</f>
        <v>2015</v>
      </c>
      <c r="AR63" s="0" t="n">
        <f aca="false">W_PH(AR$2,$A63)</f>
        <v>342.141318240199</v>
      </c>
      <c r="AS63" s="0" t="n">
        <f aca="false">W_PH(AS$2,$A63)</f>
        <v>349.787003856813</v>
      </c>
    </row>
    <row r="64" customFormat="false" ht="13.8" hidden="false" customHeight="false" outlineLevel="0" collapsed="false">
      <c r="A64" s="0" t="n">
        <v>2240</v>
      </c>
      <c r="B64" s="0" t="n">
        <f aca="false">W_PH(B$2,$A64)</f>
        <v>2015</v>
      </c>
      <c r="C64" s="0" t="n">
        <f aca="false">W_PH(C$2,$A64)</f>
        <v>2015</v>
      </c>
      <c r="D64" s="0" t="n">
        <f aca="false">W_PH(D$2,$A64)</f>
        <v>2015</v>
      </c>
      <c r="E64" s="0" t="n">
        <f aca="false">W_PH(E$2,$A64)</f>
        <v>2015</v>
      </c>
      <c r="F64" s="0" t="n">
        <f aca="false">W_PH(F$2,$A64)</f>
        <v>2015</v>
      </c>
      <c r="G64" s="0" t="n">
        <f aca="false">W_PH(G$2,$A64)</f>
        <v>2015</v>
      </c>
      <c r="H64" s="0" t="n">
        <f aca="false">W_PH(H$2,$A64)</f>
        <v>2015</v>
      </c>
      <c r="I64" s="0" t="n">
        <f aca="false">W_PH(I$2,$A64)</f>
        <v>2015</v>
      </c>
      <c r="J64" s="0" t="n">
        <f aca="false">W_PH(J$2,$A64)</f>
        <v>2015</v>
      </c>
      <c r="K64" s="0" t="n">
        <f aca="false">W_PH(K$2,$A64)</f>
        <v>2015</v>
      </c>
      <c r="L64" s="0" t="n">
        <f aca="false">W_PH(L$2,$A64)</f>
        <v>2015</v>
      </c>
      <c r="M64" s="0" t="n">
        <f aca="false">W_PH(M$2,$A64)</f>
        <v>2015</v>
      </c>
      <c r="N64" s="0" t="n">
        <f aca="false">W_PH(N$2,$A64)</f>
        <v>2015</v>
      </c>
      <c r="O64" s="0" t="n">
        <f aca="false">W_PH(O$2,$A64)</f>
        <v>2015</v>
      </c>
      <c r="P64" s="0" t="n">
        <f aca="false">W_PH(P$2,$A64)</f>
        <v>2015</v>
      </c>
      <c r="Q64" s="0" t="n">
        <f aca="false">W_PH(Q$2,$A64)</f>
        <v>2015</v>
      </c>
      <c r="R64" s="0" t="n">
        <f aca="false">W_PH(R$2,$A64)</f>
        <v>2015</v>
      </c>
      <c r="S64" s="0" t="n">
        <f aca="false">W_PH(S$2,$A64)</f>
        <v>2015</v>
      </c>
      <c r="T64" s="0" t="n">
        <f aca="false">W_PH(T$2,$A64)</f>
        <v>2015</v>
      </c>
      <c r="U64" s="0" t="n">
        <f aca="false">W_PH(U$2,$A64)</f>
        <v>2015</v>
      </c>
      <c r="V64" s="0" t="n">
        <f aca="false">W_PH(V$2,$A64)</f>
        <v>2015</v>
      </c>
      <c r="W64" s="0" t="n">
        <f aca="false">W_PH(W$2,$A64)</f>
        <v>2015</v>
      </c>
      <c r="X64" s="0" t="n">
        <f aca="false">W_PH(X$2,$A64)</f>
        <v>2015</v>
      </c>
      <c r="Y64" s="0" t="n">
        <f aca="false">W_PH(Y$2,$A64)</f>
        <v>2015</v>
      </c>
      <c r="Z64" s="0" t="n">
        <f aca="false">W_PH(Z$2,$A64)</f>
        <v>2015</v>
      </c>
      <c r="AA64" s="0" t="n">
        <f aca="false">W_PH(AA$2,$A64)</f>
        <v>2015</v>
      </c>
      <c r="AB64" s="0" t="n">
        <f aca="false">W_PH(AB$2,$A64)</f>
        <v>2015</v>
      </c>
      <c r="AC64" s="0" t="n">
        <f aca="false">W_PH(AC$2,$A64)</f>
        <v>2015</v>
      </c>
      <c r="AD64" s="0" t="n">
        <f aca="false">W_PH(AD$2,$A64)</f>
        <v>2015</v>
      </c>
      <c r="AE64" s="0" t="n">
        <f aca="false">W_PH(AE$2,$A64)</f>
        <v>2015</v>
      </c>
      <c r="AF64" s="0" t="n">
        <f aca="false">W_PH(AF$2,$A64)</f>
        <v>2015</v>
      </c>
      <c r="AG64" s="0" t="n">
        <f aca="false">W_PH(AG$2,$A64)</f>
        <v>2015</v>
      </c>
      <c r="AH64" s="0" t="n">
        <f aca="false">W_PH(AH$2,$A64)</f>
        <v>2015</v>
      </c>
      <c r="AI64" s="0" t="n">
        <f aca="false">W_PH(AI$2,$A64)</f>
        <v>2015</v>
      </c>
      <c r="AJ64" s="0" t="n">
        <f aca="false">W_PH(AJ$2,$A64)</f>
        <v>2015</v>
      </c>
      <c r="AK64" s="0" t="n">
        <f aca="false">W_PH(AK$2,$A64)</f>
        <v>2015</v>
      </c>
      <c r="AL64" s="0" t="n">
        <f aca="false">W_PH(AL$2,$A64)</f>
        <v>2015</v>
      </c>
      <c r="AM64" s="0" t="n">
        <f aca="false">W_PH(AM$2,$A64)</f>
        <v>2015</v>
      </c>
      <c r="AN64" s="0" t="n">
        <f aca="false">W_PH(AN$2,$A64)</f>
        <v>2015</v>
      </c>
      <c r="AO64" s="0" t="n">
        <f aca="false">W_PH(AO$2,$A64)</f>
        <v>2015</v>
      </c>
      <c r="AP64" s="0" t="n">
        <f aca="false">W_PH(AP$2,$A64)</f>
        <v>2015</v>
      </c>
      <c r="AQ64" s="0" t="n">
        <f aca="false">W_PH(AQ$2,$A64)</f>
        <v>2015</v>
      </c>
      <c r="AR64" s="0" t="n">
        <f aca="false">W_PH(AR$2,$A64)</f>
        <v>344.692460361374</v>
      </c>
      <c r="AS64" s="0" t="n">
        <f aca="false">W_PH(AS$2,$A64)</f>
        <v>352.075979822112</v>
      </c>
    </row>
    <row r="65" customFormat="false" ht="13.8" hidden="false" customHeight="false" outlineLevel="0" collapsed="false">
      <c r="A65" s="0" t="n">
        <v>2250</v>
      </c>
      <c r="B65" s="0" t="n">
        <f aca="false">W_PH(B$2,$A65)</f>
        <v>2015</v>
      </c>
      <c r="C65" s="0" t="n">
        <f aca="false">W_PH(C$2,$A65)</f>
        <v>2015</v>
      </c>
      <c r="D65" s="0" t="n">
        <f aca="false">W_PH(D$2,$A65)</f>
        <v>2015</v>
      </c>
      <c r="E65" s="0" t="n">
        <f aca="false">W_PH(E$2,$A65)</f>
        <v>2015</v>
      </c>
      <c r="F65" s="0" t="n">
        <f aca="false">W_PH(F$2,$A65)</f>
        <v>2015</v>
      </c>
      <c r="G65" s="0" t="n">
        <f aca="false">W_PH(G$2,$A65)</f>
        <v>2015</v>
      </c>
      <c r="H65" s="0" t="n">
        <f aca="false">W_PH(H$2,$A65)</f>
        <v>2015</v>
      </c>
      <c r="I65" s="0" t="n">
        <f aca="false">W_PH(I$2,$A65)</f>
        <v>2015</v>
      </c>
      <c r="J65" s="0" t="n">
        <f aca="false">W_PH(J$2,$A65)</f>
        <v>2015</v>
      </c>
      <c r="K65" s="0" t="n">
        <f aca="false">W_PH(K$2,$A65)</f>
        <v>2015</v>
      </c>
      <c r="L65" s="0" t="n">
        <f aca="false">W_PH(L$2,$A65)</f>
        <v>2015</v>
      </c>
      <c r="M65" s="0" t="n">
        <f aca="false">W_PH(M$2,$A65)</f>
        <v>2015</v>
      </c>
      <c r="N65" s="0" t="n">
        <f aca="false">W_PH(N$2,$A65)</f>
        <v>2015</v>
      </c>
      <c r="O65" s="0" t="n">
        <f aca="false">W_PH(O$2,$A65)</f>
        <v>2015</v>
      </c>
      <c r="P65" s="0" t="n">
        <f aca="false">W_PH(P$2,$A65)</f>
        <v>2015</v>
      </c>
      <c r="Q65" s="0" t="n">
        <f aca="false">W_PH(Q$2,$A65)</f>
        <v>2015</v>
      </c>
      <c r="R65" s="0" t="n">
        <f aca="false">W_PH(R$2,$A65)</f>
        <v>2015</v>
      </c>
      <c r="S65" s="0" t="n">
        <f aca="false">W_PH(S$2,$A65)</f>
        <v>2015</v>
      </c>
      <c r="T65" s="0" t="n">
        <f aca="false">W_PH(T$2,$A65)</f>
        <v>2015</v>
      </c>
      <c r="U65" s="0" t="n">
        <f aca="false">W_PH(U$2,$A65)</f>
        <v>2015</v>
      </c>
      <c r="V65" s="0" t="n">
        <f aca="false">W_PH(V$2,$A65)</f>
        <v>2015</v>
      </c>
      <c r="W65" s="0" t="n">
        <f aca="false">W_PH(W$2,$A65)</f>
        <v>2015</v>
      </c>
      <c r="X65" s="0" t="n">
        <f aca="false">W_PH(X$2,$A65)</f>
        <v>2015</v>
      </c>
      <c r="Y65" s="0" t="n">
        <f aca="false">W_PH(Y$2,$A65)</f>
        <v>2015</v>
      </c>
      <c r="Z65" s="0" t="n">
        <f aca="false">W_PH(Z$2,$A65)</f>
        <v>2015</v>
      </c>
      <c r="AA65" s="0" t="n">
        <f aca="false">W_PH(AA$2,$A65)</f>
        <v>2015</v>
      </c>
      <c r="AB65" s="0" t="n">
        <f aca="false">W_PH(AB$2,$A65)</f>
        <v>2015</v>
      </c>
      <c r="AC65" s="0" t="n">
        <f aca="false">W_PH(AC$2,$A65)</f>
        <v>2015</v>
      </c>
      <c r="AD65" s="0" t="n">
        <f aca="false">W_PH(AD$2,$A65)</f>
        <v>2015</v>
      </c>
      <c r="AE65" s="0" t="n">
        <f aca="false">W_PH(AE$2,$A65)</f>
        <v>2015</v>
      </c>
      <c r="AF65" s="0" t="n">
        <f aca="false">W_PH(AF$2,$A65)</f>
        <v>2015</v>
      </c>
      <c r="AG65" s="0" t="n">
        <f aca="false">W_PH(AG$2,$A65)</f>
        <v>2015</v>
      </c>
      <c r="AH65" s="0" t="n">
        <f aca="false">W_PH(AH$2,$A65)</f>
        <v>2015</v>
      </c>
      <c r="AI65" s="0" t="n">
        <f aca="false">W_PH(AI$2,$A65)</f>
        <v>2015</v>
      </c>
      <c r="AJ65" s="0" t="n">
        <f aca="false">W_PH(AJ$2,$A65)</f>
        <v>2015</v>
      </c>
      <c r="AK65" s="0" t="n">
        <f aca="false">W_PH(AK$2,$A65)</f>
        <v>2015</v>
      </c>
      <c r="AL65" s="0" t="n">
        <f aca="false">W_PH(AL$2,$A65)</f>
        <v>2015</v>
      </c>
      <c r="AM65" s="0" t="n">
        <f aca="false">W_PH(AM$2,$A65)</f>
        <v>2015</v>
      </c>
      <c r="AN65" s="0" t="n">
        <f aca="false">W_PH(AN$2,$A65)</f>
        <v>2015</v>
      </c>
      <c r="AO65" s="0" t="n">
        <f aca="false">W_PH(AO$2,$A65)</f>
        <v>2015</v>
      </c>
      <c r="AP65" s="0" t="n">
        <f aca="false">W_PH(AP$2,$A65)</f>
        <v>2015</v>
      </c>
      <c r="AQ65" s="0" t="n">
        <f aca="false">W_PH(AQ$2,$A65)</f>
        <v>2015</v>
      </c>
      <c r="AR65" s="0" t="n">
        <f aca="false">W_PH(AR$2,$A65)</f>
        <v>347.286223330132</v>
      </c>
      <c r="AS65" s="0" t="n">
        <f aca="false">W_PH(AS$2,$A65)</f>
        <v>354.421862664479</v>
      </c>
    </row>
    <row r="66" customFormat="false" ht="13.8" hidden="false" customHeight="false" outlineLevel="0" collapsed="false">
      <c r="A66" s="0" t="n">
        <v>2260</v>
      </c>
      <c r="B66" s="0" t="n">
        <f aca="false">W_PH(B$2,$A66)</f>
        <v>2015</v>
      </c>
      <c r="C66" s="0" t="n">
        <f aca="false">W_PH(C$2,$A66)</f>
        <v>2015</v>
      </c>
      <c r="D66" s="0" t="n">
        <f aca="false">W_PH(D$2,$A66)</f>
        <v>2015</v>
      </c>
      <c r="E66" s="0" t="n">
        <f aca="false">W_PH(E$2,$A66)</f>
        <v>2015</v>
      </c>
      <c r="F66" s="0" t="n">
        <f aca="false">W_PH(F$2,$A66)</f>
        <v>2015</v>
      </c>
      <c r="G66" s="0" t="n">
        <f aca="false">W_PH(G$2,$A66)</f>
        <v>2015</v>
      </c>
      <c r="H66" s="0" t="n">
        <f aca="false">W_PH(H$2,$A66)</f>
        <v>2015</v>
      </c>
      <c r="I66" s="0" t="n">
        <f aca="false">W_PH(I$2,$A66)</f>
        <v>2015</v>
      </c>
      <c r="J66" s="0" t="n">
        <f aca="false">W_PH(J$2,$A66)</f>
        <v>2015</v>
      </c>
      <c r="K66" s="0" t="n">
        <f aca="false">W_PH(K$2,$A66)</f>
        <v>2015</v>
      </c>
      <c r="L66" s="0" t="n">
        <f aca="false">W_PH(L$2,$A66)</f>
        <v>2015</v>
      </c>
      <c r="M66" s="0" t="n">
        <f aca="false">W_PH(M$2,$A66)</f>
        <v>2015</v>
      </c>
      <c r="N66" s="0" t="n">
        <f aca="false">W_PH(N$2,$A66)</f>
        <v>2015</v>
      </c>
      <c r="O66" s="0" t="n">
        <f aca="false">W_PH(O$2,$A66)</f>
        <v>2015</v>
      </c>
      <c r="P66" s="0" t="n">
        <f aca="false">W_PH(P$2,$A66)</f>
        <v>2015</v>
      </c>
      <c r="Q66" s="0" t="n">
        <f aca="false">W_PH(Q$2,$A66)</f>
        <v>2015</v>
      </c>
      <c r="R66" s="0" t="n">
        <f aca="false">W_PH(R$2,$A66)</f>
        <v>2015</v>
      </c>
      <c r="S66" s="0" t="n">
        <f aca="false">W_PH(S$2,$A66)</f>
        <v>2015</v>
      </c>
      <c r="T66" s="0" t="n">
        <f aca="false">W_PH(T$2,$A66)</f>
        <v>2015</v>
      </c>
      <c r="U66" s="0" t="n">
        <f aca="false">W_PH(U$2,$A66)</f>
        <v>2015</v>
      </c>
      <c r="V66" s="0" t="n">
        <f aca="false">W_PH(V$2,$A66)</f>
        <v>2015</v>
      </c>
      <c r="W66" s="0" t="n">
        <f aca="false">W_PH(W$2,$A66)</f>
        <v>2015</v>
      </c>
      <c r="X66" s="0" t="n">
        <f aca="false">W_PH(X$2,$A66)</f>
        <v>2015</v>
      </c>
      <c r="Y66" s="0" t="n">
        <f aca="false">W_PH(Y$2,$A66)</f>
        <v>2015</v>
      </c>
      <c r="Z66" s="0" t="n">
        <f aca="false">W_PH(Z$2,$A66)</f>
        <v>2015</v>
      </c>
      <c r="AA66" s="0" t="n">
        <f aca="false">W_PH(AA$2,$A66)</f>
        <v>2015</v>
      </c>
      <c r="AB66" s="0" t="n">
        <f aca="false">W_PH(AB$2,$A66)</f>
        <v>2015</v>
      </c>
      <c r="AC66" s="0" t="n">
        <f aca="false">W_PH(AC$2,$A66)</f>
        <v>2015</v>
      </c>
      <c r="AD66" s="0" t="n">
        <f aca="false">W_PH(AD$2,$A66)</f>
        <v>2015</v>
      </c>
      <c r="AE66" s="0" t="n">
        <f aca="false">W_PH(AE$2,$A66)</f>
        <v>2015</v>
      </c>
      <c r="AF66" s="0" t="n">
        <f aca="false">W_PH(AF$2,$A66)</f>
        <v>2015</v>
      </c>
      <c r="AG66" s="0" t="n">
        <f aca="false">W_PH(AG$2,$A66)</f>
        <v>2015</v>
      </c>
      <c r="AH66" s="0" t="n">
        <f aca="false">W_PH(AH$2,$A66)</f>
        <v>2015</v>
      </c>
      <c r="AI66" s="0" t="n">
        <f aca="false">W_PH(AI$2,$A66)</f>
        <v>2015</v>
      </c>
      <c r="AJ66" s="0" t="n">
        <f aca="false">W_PH(AJ$2,$A66)</f>
        <v>2015</v>
      </c>
      <c r="AK66" s="0" t="n">
        <f aca="false">W_PH(AK$2,$A66)</f>
        <v>2015</v>
      </c>
      <c r="AL66" s="0" t="n">
        <f aca="false">W_PH(AL$2,$A66)</f>
        <v>2015</v>
      </c>
      <c r="AM66" s="0" t="n">
        <f aca="false">W_PH(AM$2,$A66)</f>
        <v>2015</v>
      </c>
      <c r="AN66" s="0" t="n">
        <f aca="false">W_PH(AN$2,$A66)</f>
        <v>2015</v>
      </c>
      <c r="AO66" s="0" t="n">
        <f aca="false">W_PH(AO$2,$A66)</f>
        <v>2015</v>
      </c>
      <c r="AP66" s="0" t="n">
        <f aca="false">W_PH(AP$2,$A66)</f>
        <v>2015</v>
      </c>
      <c r="AQ66" s="0" t="n">
        <f aca="false">W_PH(AQ$2,$A66)</f>
        <v>2015</v>
      </c>
      <c r="AR66" s="0" t="n">
        <f aca="false">W_PH(AR$2,$A66)</f>
        <v>349.919274691997</v>
      </c>
      <c r="AS66" s="0" t="n">
        <f aca="false">W_PH(AS$2,$A66)</f>
        <v>356.81997588738</v>
      </c>
    </row>
    <row r="67" customFormat="false" ht="13.8" hidden="false" customHeight="false" outlineLevel="0" collapsed="false">
      <c r="A67" s="0" t="n">
        <v>2270</v>
      </c>
      <c r="B67" s="0" t="n">
        <f aca="false">W_PH(B$2,$A67)</f>
        <v>2015</v>
      </c>
      <c r="C67" s="0" t="n">
        <f aca="false">W_PH(C$2,$A67)</f>
        <v>2015</v>
      </c>
      <c r="D67" s="0" t="n">
        <f aca="false">W_PH(D$2,$A67)</f>
        <v>2015</v>
      </c>
      <c r="E67" s="0" t="n">
        <f aca="false">W_PH(E$2,$A67)</f>
        <v>2015</v>
      </c>
      <c r="F67" s="0" t="n">
        <f aca="false">W_PH(F$2,$A67)</f>
        <v>2015</v>
      </c>
      <c r="G67" s="0" t="n">
        <f aca="false">W_PH(G$2,$A67)</f>
        <v>2015</v>
      </c>
      <c r="H67" s="0" t="n">
        <f aca="false">W_PH(H$2,$A67)</f>
        <v>2015</v>
      </c>
      <c r="I67" s="0" t="n">
        <f aca="false">W_PH(I$2,$A67)</f>
        <v>2015</v>
      </c>
      <c r="J67" s="0" t="n">
        <f aca="false">W_PH(J$2,$A67)</f>
        <v>2015</v>
      </c>
      <c r="K67" s="0" t="n">
        <f aca="false">W_PH(K$2,$A67)</f>
        <v>2015</v>
      </c>
      <c r="L67" s="0" t="n">
        <f aca="false">W_PH(L$2,$A67)</f>
        <v>2015</v>
      </c>
      <c r="M67" s="0" t="n">
        <f aca="false">W_PH(M$2,$A67)</f>
        <v>2015</v>
      </c>
      <c r="N67" s="0" t="n">
        <f aca="false">W_PH(N$2,$A67)</f>
        <v>2015</v>
      </c>
      <c r="O67" s="0" t="n">
        <f aca="false">W_PH(O$2,$A67)</f>
        <v>2015</v>
      </c>
      <c r="P67" s="0" t="n">
        <f aca="false">W_PH(P$2,$A67)</f>
        <v>2015</v>
      </c>
      <c r="Q67" s="0" t="n">
        <f aca="false">W_PH(Q$2,$A67)</f>
        <v>2015</v>
      </c>
      <c r="R67" s="0" t="n">
        <f aca="false">W_PH(R$2,$A67)</f>
        <v>2015</v>
      </c>
      <c r="S67" s="0" t="n">
        <f aca="false">W_PH(S$2,$A67)</f>
        <v>2015</v>
      </c>
      <c r="T67" s="0" t="n">
        <f aca="false">W_PH(T$2,$A67)</f>
        <v>2015</v>
      </c>
      <c r="U67" s="0" t="n">
        <f aca="false">W_PH(U$2,$A67)</f>
        <v>2015</v>
      </c>
      <c r="V67" s="0" t="n">
        <f aca="false">W_PH(V$2,$A67)</f>
        <v>2015</v>
      </c>
      <c r="W67" s="0" t="n">
        <f aca="false">W_PH(W$2,$A67)</f>
        <v>2015</v>
      </c>
      <c r="X67" s="0" t="n">
        <f aca="false">W_PH(X$2,$A67)</f>
        <v>2015</v>
      </c>
      <c r="Y67" s="0" t="n">
        <f aca="false">W_PH(Y$2,$A67)</f>
        <v>2015</v>
      </c>
      <c r="Z67" s="0" t="n">
        <f aca="false">W_PH(Z$2,$A67)</f>
        <v>2015</v>
      </c>
      <c r="AA67" s="0" t="n">
        <f aca="false">W_PH(AA$2,$A67)</f>
        <v>2015</v>
      </c>
      <c r="AB67" s="0" t="n">
        <f aca="false">W_PH(AB$2,$A67)</f>
        <v>2015</v>
      </c>
      <c r="AC67" s="0" t="n">
        <f aca="false">W_PH(AC$2,$A67)</f>
        <v>2015</v>
      </c>
      <c r="AD67" s="0" t="n">
        <f aca="false">W_PH(AD$2,$A67)</f>
        <v>2015</v>
      </c>
      <c r="AE67" s="0" t="n">
        <f aca="false">W_PH(AE$2,$A67)</f>
        <v>2015</v>
      </c>
      <c r="AF67" s="0" t="n">
        <f aca="false">W_PH(AF$2,$A67)</f>
        <v>2015</v>
      </c>
      <c r="AG67" s="0" t="n">
        <f aca="false">W_PH(AG$2,$A67)</f>
        <v>2015</v>
      </c>
      <c r="AH67" s="0" t="n">
        <f aca="false">W_PH(AH$2,$A67)</f>
        <v>2015</v>
      </c>
      <c r="AI67" s="0" t="n">
        <f aca="false">W_PH(AI$2,$A67)</f>
        <v>2015</v>
      </c>
      <c r="AJ67" s="0" t="n">
        <f aca="false">W_PH(AJ$2,$A67)</f>
        <v>2015</v>
      </c>
      <c r="AK67" s="0" t="n">
        <f aca="false">W_PH(AK$2,$A67)</f>
        <v>2015</v>
      </c>
      <c r="AL67" s="0" t="n">
        <f aca="false">W_PH(AL$2,$A67)</f>
        <v>2015</v>
      </c>
      <c r="AM67" s="0" t="n">
        <f aca="false">W_PH(AM$2,$A67)</f>
        <v>2015</v>
      </c>
      <c r="AN67" s="0" t="n">
        <f aca="false">W_PH(AN$2,$A67)</f>
        <v>2015</v>
      </c>
      <c r="AO67" s="0" t="n">
        <f aca="false">W_PH(AO$2,$A67)</f>
        <v>2015</v>
      </c>
      <c r="AP67" s="0" t="n">
        <f aca="false">W_PH(AP$2,$A67)</f>
        <v>2015</v>
      </c>
      <c r="AQ67" s="0" t="n">
        <f aca="false">W_PH(AQ$2,$A67)</f>
        <v>2015</v>
      </c>
      <c r="AR67" s="0" t="n">
        <f aca="false">W_PH(AR$2,$A67)</f>
        <v>352.588652631003</v>
      </c>
      <c r="AS67" s="0" t="n">
        <f aca="false">W_PH(AS$2,$A67)</f>
        <v>359.266149462987</v>
      </c>
    </row>
    <row r="68" customFormat="false" ht="13.8" hidden="false" customHeight="false" outlineLevel="0" collapsed="false">
      <c r="A68" s="0" t="n">
        <v>2280</v>
      </c>
      <c r="B68" s="0" t="n">
        <f aca="false">W_PH(B$2,$A68)</f>
        <v>2015</v>
      </c>
      <c r="C68" s="0" t="n">
        <f aca="false">W_PH(C$2,$A68)</f>
        <v>2015</v>
      </c>
      <c r="D68" s="0" t="n">
        <f aca="false">W_PH(D$2,$A68)</f>
        <v>2015</v>
      </c>
      <c r="E68" s="0" t="n">
        <f aca="false">W_PH(E$2,$A68)</f>
        <v>2015</v>
      </c>
      <c r="F68" s="0" t="n">
        <f aca="false">W_PH(F$2,$A68)</f>
        <v>2015</v>
      </c>
      <c r="G68" s="0" t="n">
        <f aca="false">W_PH(G$2,$A68)</f>
        <v>2015</v>
      </c>
      <c r="H68" s="0" t="n">
        <f aca="false">W_PH(H$2,$A68)</f>
        <v>2015</v>
      </c>
      <c r="I68" s="0" t="n">
        <f aca="false">W_PH(I$2,$A68)</f>
        <v>2015</v>
      </c>
      <c r="J68" s="0" t="n">
        <f aca="false">W_PH(J$2,$A68)</f>
        <v>2015</v>
      </c>
      <c r="K68" s="0" t="n">
        <f aca="false">W_PH(K$2,$A68)</f>
        <v>2015</v>
      </c>
      <c r="L68" s="0" t="n">
        <f aca="false">W_PH(L$2,$A68)</f>
        <v>2015</v>
      </c>
      <c r="M68" s="0" t="n">
        <f aca="false">W_PH(M$2,$A68)</f>
        <v>2015</v>
      </c>
      <c r="N68" s="0" t="n">
        <f aca="false">W_PH(N$2,$A68)</f>
        <v>2015</v>
      </c>
      <c r="O68" s="0" t="n">
        <f aca="false">W_PH(O$2,$A68)</f>
        <v>2015</v>
      </c>
      <c r="P68" s="0" t="n">
        <f aca="false">W_PH(P$2,$A68)</f>
        <v>2015</v>
      </c>
      <c r="Q68" s="0" t="n">
        <f aca="false">W_PH(Q$2,$A68)</f>
        <v>2015</v>
      </c>
      <c r="R68" s="0" t="n">
        <f aca="false">W_PH(R$2,$A68)</f>
        <v>2015</v>
      </c>
      <c r="S68" s="0" t="n">
        <f aca="false">W_PH(S$2,$A68)</f>
        <v>2015</v>
      </c>
      <c r="T68" s="0" t="n">
        <f aca="false">W_PH(T$2,$A68)</f>
        <v>2015</v>
      </c>
      <c r="U68" s="0" t="n">
        <f aca="false">W_PH(U$2,$A68)</f>
        <v>2015</v>
      </c>
      <c r="V68" s="0" t="n">
        <f aca="false">W_PH(V$2,$A68)</f>
        <v>2015</v>
      </c>
      <c r="W68" s="0" t="n">
        <f aca="false">W_PH(W$2,$A68)</f>
        <v>2015</v>
      </c>
      <c r="X68" s="0" t="n">
        <f aca="false">W_PH(X$2,$A68)</f>
        <v>2015</v>
      </c>
      <c r="Y68" s="0" t="n">
        <f aca="false">W_PH(Y$2,$A68)</f>
        <v>2015</v>
      </c>
      <c r="Z68" s="0" t="n">
        <f aca="false">W_PH(Z$2,$A68)</f>
        <v>2015</v>
      </c>
      <c r="AA68" s="0" t="n">
        <f aca="false">W_PH(AA$2,$A68)</f>
        <v>2015</v>
      </c>
      <c r="AB68" s="0" t="n">
        <f aca="false">W_PH(AB$2,$A68)</f>
        <v>2015</v>
      </c>
      <c r="AC68" s="0" t="n">
        <f aca="false">W_PH(AC$2,$A68)</f>
        <v>2015</v>
      </c>
      <c r="AD68" s="0" t="n">
        <f aca="false">W_PH(AD$2,$A68)</f>
        <v>2015</v>
      </c>
      <c r="AE68" s="0" t="n">
        <f aca="false">W_PH(AE$2,$A68)</f>
        <v>2015</v>
      </c>
      <c r="AF68" s="0" t="n">
        <f aca="false">W_PH(AF$2,$A68)</f>
        <v>2015</v>
      </c>
      <c r="AG68" s="0" t="n">
        <f aca="false">W_PH(AG$2,$A68)</f>
        <v>2015</v>
      </c>
      <c r="AH68" s="0" t="n">
        <f aca="false">W_PH(AH$2,$A68)</f>
        <v>2015</v>
      </c>
      <c r="AI68" s="0" t="n">
        <f aca="false">W_PH(AI$2,$A68)</f>
        <v>2015</v>
      </c>
      <c r="AJ68" s="0" t="n">
        <f aca="false">W_PH(AJ$2,$A68)</f>
        <v>2015</v>
      </c>
      <c r="AK68" s="0" t="n">
        <f aca="false">W_PH(AK$2,$A68)</f>
        <v>2015</v>
      </c>
      <c r="AL68" s="0" t="n">
        <f aca="false">W_PH(AL$2,$A68)</f>
        <v>2015</v>
      </c>
      <c r="AM68" s="0" t="n">
        <f aca="false">W_PH(AM$2,$A68)</f>
        <v>2015</v>
      </c>
      <c r="AN68" s="0" t="n">
        <f aca="false">W_PH(AN$2,$A68)</f>
        <v>2015</v>
      </c>
      <c r="AO68" s="0" t="n">
        <f aca="false">W_PH(AO$2,$A68)</f>
        <v>2015</v>
      </c>
      <c r="AP68" s="0" t="n">
        <f aca="false">W_PH(AP$2,$A68)</f>
        <v>2015</v>
      </c>
      <c r="AQ68" s="0" t="n">
        <f aca="false">W_PH(AQ$2,$A68)</f>
        <v>2015</v>
      </c>
      <c r="AR68" s="0" t="n">
        <f aca="false">W_PH(AR$2,$A68)</f>
        <v>355.291694355138</v>
      </c>
      <c r="AS68" s="0" t="n">
        <f aca="false">W_PH(AS$2,$A68)</f>
        <v>361.756635809323</v>
      </c>
    </row>
    <row r="69" customFormat="false" ht="13.8" hidden="false" customHeight="false" outlineLevel="0" collapsed="false">
      <c r="A69" s="0" t="n">
        <v>2290</v>
      </c>
      <c r="B69" s="0" t="n">
        <f aca="false">W_PH(B$2,$A69)</f>
        <v>2015</v>
      </c>
      <c r="C69" s="0" t="n">
        <f aca="false">W_PH(C$2,$A69)</f>
        <v>2015</v>
      </c>
      <c r="D69" s="0" t="n">
        <f aca="false">W_PH(D$2,$A69)</f>
        <v>2015</v>
      </c>
      <c r="E69" s="0" t="n">
        <f aca="false">W_PH(E$2,$A69)</f>
        <v>2015</v>
      </c>
      <c r="F69" s="0" t="n">
        <f aca="false">W_PH(F$2,$A69)</f>
        <v>2015</v>
      </c>
      <c r="G69" s="0" t="n">
        <f aca="false">W_PH(G$2,$A69)</f>
        <v>2015</v>
      </c>
      <c r="H69" s="0" t="n">
        <f aca="false">W_PH(H$2,$A69)</f>
        <v>2015</v>
      </c>
      <c r="I69" s="0" t="n">
        <f aca="false">W_PH(I$2,$A69)</f>
        <v>2015</v>
      </c>
      <c r="J69" s="0" t="n">
        <f aca="false">W_PH(J$2,$A69)</f>
        <v>2015</v>
      </c>
      <c r="K69" s="0" t="n">
        <f aca="false">W_PH(K$2,$A69)</f>
        <v>2015</v>
      </c>
      <c r="L69" s="0" t="n">
        <f aca="false">W_PH(L$2,$A69)</f>
        <v>2015</v>
      </c>
      <c r="M69" s="0" t="n">
        <f aca="false">W_PH(M$2,$A69)</f>
        <v>2015</v>
      </c>
      <c r="N69" s="0" t="n">
        <f aca="false">W_PH(N$2,$A69)</f>
        <v>2015</v>
      </c>
      <c r="O69" s="0" t="n">
        <f aca="false">W_PH(O$2,$A69)</f>
        <v>2015</v>
      </c>
      <c r="P69" s="0" t="n">
        <f aca="false">W_PH(P$2,$A69)</f>
        <v>2015</v>
      </c>
      <c r="Q69" s="0" t="n">
        <f aca="false">W_PH(Q$2,$A69)</f>
        <v>2015</v>
      </c>
      <c r="R69" s="0" t="n">
        <f aca="false">W_PH(R$2,$A69)</f>
        <v>2015</v>
      </c>
      <c r="S69" s="0" t="n">
        <f aca="false">W_PH(S$2,$A69)</f>
        <v>2015</v>
      </c>
      <c r="T69" s="0" t="n">
        <f aca="false">W_PH(T$2,$A69)</f>
        <v>2015</v>
      </c>
      <c r="U69" s="0" t="n">
        <f aca="false">W_PH(U$2,$A69)</f>
        <v>2015</v>
      </c>
      <c r="V69" s="0" t="n">
        <f aca="false">W_PH(V$2,$A69)</f>
        <v>2015</v>
      </c>
      <c r="W69" s="0" t="n">
        <f aca="false">W_PH(W$2,$A69)</f>
        <v>2015</v>
      </c>
      <c r="X69" s="0" t="n">
        <f aca="false">W_PH(X$2,$A69)</f>
        <v>2015</v>
      </c>
      <c r="Y69" s="0" t="n">
        <f aca="false">W_PH(Y$2,$A69)</f>
        <v>2015</v>
      </c>
      <c r="Z69" s="0" t="n">
        <f aca="false">W_PH(Z$2,$A69)</f>
        <v>2015</v>
      </c>
      <c r="AA69" s="0" t="n">
        <f aca="false">W_PH(AA$2,$A69)</f>
        <v>2015</v>
      </c>
      <c r="AB69" s="0" t="n">
        <f aca="false">W_PH(AB$2,$A69)</f>
        <v>2015</v>
      </c>
      <c r="AC69" s="0" t="n">
        <f aca="false">W_PH(AC$2,$A69)</f>
        <v>2015</v>
      </c>
      <c r="AD69" s="0" t="n">
        <f aca="false">W_PH(AD$2,$A69)</f>
        <v>2015</v>
      </c>
      <c r="AE69" s="0" t="n">
        <f aca="false">W_PH(AE$2,$A69)</f>
        <v>2015</v>
      </c>
      <c r="AF69" s="0" t="n">
        <f aca="false">W_PH(AF$2,$A69)</f>
        <v>2015</v>
      </c>
      <c r="AG69" s="0" t="n">
        <f aca="false">W_PH(AG$2,$A69)</f>
        <v>2015</v>
      </c>
      <c r="AH69" s="0" t="n">
        <f aca="false">W_PH(AH$2,$A69)</f>
        <v>2015</v>
      </c>
      <c r="AI69" s="0" t="n">
        <f aca="false">W_PH(AI$2,$A69)</f>
        <v>2015</v>
      </c>
      <c r="AJ69" s="0" t="n">
        <f aca="false">W_PH(AJ$2,$A69)</f>
        <v>2015</v>
      </c>
      <c r="AK69" s="0" t="n">
        <f aca="false">W_PH(AK$2,$A69)</f>
        <v>2015</v>
      </c>
      <c r="AL69" s="0" t="n">
        <f aca="false">W_PH(AL$2,$A69)</f>
        <v>2015</v>
      </c>
      <c r="AM69" s="0" t="n">
        <f aca="false">W_PH(AM$2,$A69)</f>
        <v>2015</v>
      </c>
      <c r="AN69" s="0" t="n">
        <f aca="false">W_PH(AN$2,$A69)</f>
        <v>2015</v>
      </c>
      <c r="AO69" s="0" t="n">
        <f aca="false">W_PH(AO$2,$A69)</f>
        <v>2015</v>
      </c>
      <c r="AP69" s="0" t="n">
        <f aca="false">W_PH(AP$2,$A69)</f>
        <v>2015</v>
      </c>
      <c r="AQ69" s="0" t="n">
        <f aca="false">W_PH(AQ$2,$A69)</f>
        <v>2015</v>
      </c>
      <c r="AR69" s="0" t="n">
        <f aca="false">W_PH(AR$2,$A69)</f>
        <v>358.025976134916</v>
      </c>
      <c r="AS69" s="0" t="n">
        <f aca="false">W_PH(AS$2,$A69)</f>
        <v>364.288038043616</v>
      </c>
    </row>
    <row r="70" customFormat="false" ht="13.8" hidden="false" customHeight="false" outlineLevel="0" collapsed="false">
      <c r="A70" s="0" t="n">
        <v>2300</v>
      </c>
      <c r="B70" s="0" t="n">
        <f aca="false">W_PH(B$2,$A70)</f>
        <v>2015</v>
      </c>
      <c r="C70" s="0" t="n">
        <f aca="false">W_PH(C$2,$A70)</f>
        <v>2015</v>
      </c>
      <c r="D70" s="0" t="n">
        <f aca="false">W_PH(D$2,$A70)</f>
        <v>2015</v>
      </c>
      <c r="E70" s="0" t="n">
        <f aca="false">W_PH(E$2,$A70)</f>
        <v>2015</v>
      </c>
      <c r="F70" s="0" t="n">
        <f aca="false">W_PH(F$2,$A70)</f>
        <v>2015</v>
      </c>
      <c r="G70" s="0" t="n">
        <f aca="false">W_PH(G$2,$A70)</f>
        <v>2015</v>
      </c>
      <c r="H70" s="0" t="n">
        <f aca="false">W_PH(H$2,$A70)</f>
        <v>2015</v>
      </c>
      <c r="I70" s="0" t="n">
        <f aca="false">W_PH(I$2,$A70)</f>
        <v>2015</v>
      </c>
      <c r="J70" s="0" t="n">
        <f aca="false">W_PH(J$2,$A70)</f>
        <v>2015</v>
      </c>
      <c r="K70" s="0" t="n">
        <f aca="false">W_PH(K$2,$A70)</f>
        <v>2015</v>
      </c>
      <c r="L70" s="0" t="n">
        <f aca="false">W_PH(L$2,$A70)</f>
        <v>2015</v>
      </c>
      <c r="M70" s="0" t="n">
        <f aca="false">W_PH(M$2,$A70)</f>
        <v>2015</v>
      </c>
      <c r="N70" s="0" t="n">
        <f aca="false">W_PH(N$2,$A70)</f>
        <v>2015</v>
      </c>
      <c r="O70" s="0" t="n">
        <f aca="false">W_PH(O$2,$A70)</f>
        <v>2015</v>
      </c>
      <c r="P70" s="0" t="n">
        <f aca="false">W_PH(P$2,$A70)</f>
        <v>2015</v>
      </c>
      <c r="Q70" s="0" t="n">
        <f aca="false">W_PH(Q$2,$A70)</f>
        <v>2015</v>
      </c>
      <c r="R70" s="0" t="n">
        <f aca="false">W_PH(R$2,$A70)</f>
        <v>2015</v>
      </c>
      <c r="S70" s="0" t="n">
        <f aca="false">W_PH(S$2,$A70)</f>
        <v>2015</v>
      </c>
      <c r="T70" s="0" t="n">
        <f aca="false">W_PH(T$2,$A70)</f>
        <v>2015</v>
      </c>
      <c r="U70" s="0" t="n">
        <f aca="false">W_PH(U$2,$A70)</f>
        <v>2015</v>
      </c>
      <c r="V70" s="0" t="n">
        <f aca="false">W_PH(V$2,$A70)</f>
        <v>2015</v>
      </c>
      <c r="W70" s="0" t="n">
        <f aca="false">W_PH(W$2,$A70)</f>
        <v>2015</v>
      </c>
      <c r="X70" s="0" t="n">
        <f aca="false">W_PH(X$2,$A70)</f>
        <v>2015</v>
      </c>
      <c r="Y70" s="0" t="n">
        <f aca="false">W_PH(Y$2,$A70)</f>
        <v>2015</v>
      </c>
      <c r="Z70" s="0" t="n">
        <f aca="false">W_PH(Z$2,$A70)</f>
        <v>2015</v>
      </c>
      <c r="AA70" s="0" t="n">
        <f aca="false">W_PH(AA$2,$A70)</f>
        <v>2015</v>
      </c>
      <c r="AB70" s="0" t="n">
        <f aca="false">W_PH(AB$2,$A70)</f>
        <v>2015</v>
      </c>
      <c r="AC70" s="0" t="n">
        <f aca="false">W_PH(AC$2,$A70)</f>
        <v>2015</v>
      </c>
      <c r="AD70" s="0" t="n">
        <f aca="false">W_PH(AD$2,$A70)</f>
        <v>2015</v>
      </c>
      <c r="AE70" s="0" t="n">
        <f aca="false">W_PH(AE$2,$A70)</f>
        <v>2015</v>
      </c>
      <c r="AF70" s="0" t="n">
        <f aca="false">W_PH(AF$2,$A70)</f>
        <v>2015</v>
      </c>
      <c r="AG70" s="0" t="n">
        <f aca="false">W_PH(AG$2,$A70)</f>
        <v>2015</v>
      </c>
      <c r="AH70" s="0" t="n">
        <f aca="false">W_PH(AH$2,$A70)</f>
        <v>2015</v>
      </c>
      <c r="AI70" s="0" t="n">
        <f aca="false">W_PH(AI$2,$A70)</f>
        <v>2015</v>
      </c>
      <c r="AJ70" s="0" t="n">
        <f aca="false">W_PH(AJ$2,$A70)</f>
        <v>2015</v>
      </c>
      <c r="AK70" s="0" t="n">
        <f aca="false">W_PH(AK$2,$A70)</f>
        <v>2015</v>
      </c>
      <c r="AL70" s="0" t="n">
        <f aca="false">W_PH(AL$2,$A70)</f>
        <v>2015</v>
      </c>
      <c r="AM70" s="0" t="n">
        <f aca="false">W_PH(AM$2,$A70)</f>
        <v>2015</v>
      </c>
      <c r="AN70" s="0" t="n">
        <f aca="false">W_PH(AN$2,$A70)</f>
        <v>2015</v>
      </c>
      <c r="AO70" s="0" t="n">
        <f aca="false">W_PH(AO$2,$A70)</f>
        <v>2015</v>
      </c>
      <c r="AP70" s="0" t="n">
        <f aca="false">W_PH(AP$2,$A70)</f>
        <v>2015</v>
      </c>
      <c r="AQ70" s="0" t="n">
        <f aca="false">W_PH(AQ$2,$A70)</f>
        <v>2015</v>
      </c>
      <c r="AR70" s="0" t="n">
        <f aca="false">W_PH(AR$2,$A70)</f>
        <v>360.789263263452</v>
      </c>
      <c r="AS70" s="0" t="n">
        <f aca="false">W_PH(AS$2,$A70)</f>
        <v>366.857248988893</v>
      </c>
    </row>
    <row r="71" customFormat="false" ht="13.8" hidden="false" customHeight="false" outlineLevel="0" collapsed="false">
      <c r="A71" s="0" t="n">
        <v>2310</v>
      </c>
      <c r="B71" s="0" t="n">
        <f aca="false">W_PH(B$2,$A71)</f>
        <v>2015</v>
      </c>
      <c r="C71" s="0" t="n">
        <f aca="false">W_PH(C$2,$A71)</f>
        <v>2015</v>
      </c>
      <c r="D71" s="0" t="n">
        <f aca="false">W_PH(D$2,$A71)</f>
        <v>2015</v>
      </c>
      <c r="E71" s="0" t="n">
        <f aca="false">W_PH(E$2,$A71)</f>
        <v>2015</v>
      </c>
      <c r="F71" s="0" t="n">
        <f aca="false">W_PH(F$2,$A71)</f>
        <v>2015</v>
      </c>
      <c r="G71" s="0" t="n">
        <f aca="false">W_PH(G$2,$A71)</f>
        <v>2015</v>
      </c>
      <c r="H71" s="0" t="n">
        <f aca="false">W_PH(H$2,$A71)</f>
        <v>2015</v>
      </c>
      <c r="I71" s="0" t="n">
        <f aca="false">W_PH(I$2,$A71)</f>
        <v>2015</v>
      </c>
      <c r="J71" s="0" t="n">
        <f aca="false">W_PH(J$2,$A71)</f>
        <v>2015</v>
      </c>
      <c r="K71" s="0" t="n">
        <f aca="false">W_PH(K$2,$A71)</f>
        <v>2015</v>
      </c>
      <c r="L71" s="0" t="n">
        <f aca="false">W_PH(L$2,$A71)</f>
        <v>2015</v>
      </c>
      <c r="M71" s="0" t="n">
        <f aca="false">W_PH(M$2,$A71)</f>
        <v>2015</v>
      </c>
      <c r="N71" s="0" t="n">
        <f aca="false">W_PH(N$2,$A71)</f>
        <v>2015</v>
      </c>
      <c r="O71" s="0" t="n">
        <f aca="false">W_PH(O$2,$A71)</f>
        <v>2015</v>
      </c>
      <c r="P71" s="0" t="n">
        <f aca="false">W_PH(P$2,$A71)</f>
        <v>2015</v>
      </c>
      <c r="Q71" s="0" t="n">
        <f aca="false">W_PH(Q$2,$A71)</f>
        <v>2015</v>
      </c>
      <c r="R71" s="0" t="n">
        <f aca="false">W_PH(R$2,$A71)</f>
        <v>2015</v>
      </c>
      <c r="S71" s="0" t="n">
        <f aca="false">W_PH(S$2,$A71)</f>
        <v>2015</v>
      </c>
      <c r="T71" s="0" t="n">
        <f aca="false">W_PH(T$2,$A71)</f>
        <v>2015</v>
      </c>
      <c r="U71" s="0" t="n">
        <f aca="false">W_PH(U$2,$A71)</f>
        <v>2015</v>
      </c>
      <c r="V71" s="0" t="n">
        <f aca="false">W_PH(V$2,$A71)</f>
        <v>2015</v>
      </c>
      <c r="W71" s="0" t="n">
        <f aca="false">W_PH(W$2,$A71)</f>
        <v>2015</v>
      </c>
      <c r="X71" s="0" t="n">
        <f aca="false">W_PH(X$2,$A71)</f>
        <v>2015</v>
      </c>
      <c r="Y71" s="0" t="n">
        <f aca="false">W_PH(Y$2,$A71)</f>
        <v>2015</v>
      </c>
      <c r="Z71" s="0" t="n">
        <f aca="false">W_PH(Z$2,$A71)</f>
        <v>2015</v>
      </c>
      <c r="AA71" s="0" t="n">
        <f aca="false">W_PH(AA$2,$A71)</f>
        <v>2015</v>
      </c>
      <c r="AB71" s="0" t="n">
        <f aca="false">W_PH(AB$2,$A71)</f>
        <v>2015</v>
      </c>
      <c r="AC71" s="0" t="n">
        <f aca="false">W_PH(AC$2,$A71)</f>
        <v>2015</v>
      </c>
      <c r="AD71" s="0" t="n">
        <f aca="false">W_PH(AD$2,$A71)</f>
        <v>2015</v>
      </c>
      <c r="AE71" s="0" t="n">
        <f aca="false">W_PH(AE$2,$A71)</f>
        <v>2015</v>
      </c>
      <c r="AF71" s="0" t="n">
        <f aca="false">W_PH(AF$2,$A71)</f>
        <v>2015</v>
      </c>
      <c r="AG71" s="0" t="n">
        <f aca="false">W_PH(AG$2,$A71)</f>
        <v>2015</v>
      </c>
      <c r="AH71" s="0" t="n">
        <f aca="false">W_PH(AH$2,$A71)</f>
        <v>2015</v>
      </c>
      <c r="AI71" s="0" t="n">
        <f aca="false">W_PH(AI$2,$A71)</f>
        <v>2015</v>
      </c>
      <c r="AJ71" s="0" t="n">
        <f aca="false">W_PH(AJ$2,$A71)</f>
        <v>2015</v>
      </c>
      <c r="AK71" s="0" t="n">
        <f aca="false">W_PH(AK$2,$A71)</f>
        <v>2015</v>
      </c>
      <c r="AL71" s="0" t="n">
        <f aca="false">W_PH(AL$2,$A71)</f>
        <v>2015</v>
      </c>
      <c r="AM71" s="0" t="n">
        <f aca="false">W_PH(AM$2,$A71)</f>
        <v>2015</v>
      </c>
      <c r="AN71" s="0" t="n">
        <f aca="false">W_PH(AN$2,$A71)</f>
        <v>2015</v>
      </c>
      <c r="AO71" s="0" t="n">
        <f aca="false">W_PH(AO$2,$A71)</f>
        <v>2015</v>
      </c>
      <c r="AP71" s="0" t="n">
        <f aca="false">W_PH(AP$2,$A71)</f>
        <v>2015</v>
      </c>
      <c r="AQ71" s="0" t="n">
        <f aca="false">W_PH(AQ$2,$A71)</f>
        <v>2015</v>
      </c>
      <c r="AR71" s="0" t="n">
        <f aca="false">W_PH(AR$2,$A71)</f>
        <v>363.579468467373</v>
      </c>
      <c r="AS71" s="0" t="n">
        <f aca="false">W_PH(AS$2,$A71)</f>
        <v>369.461399579272</v>
      </c>
    </row>
    <row r="72" customFormat="false" ht="13.8" hidden="false" customHeight="false" outlineLevel="0" collapsed="false">
      <c r="A72" s="0" t="n">
        <v>2320</v>
      </c>
      <c r="B72" s="0" t="n">
        <f aca="false">W_PH(B$2,$A72)</f>
        <v>2015</v>
      </c>
      <c r="C72" s="0" t="n">
        <f aca="false">W_PH(C$2,$A72)</f>
        <v>2015</v>
      </c>
      <c r="D72" s="0" t="n">
        <f aca="false">W_PH(D$2,$A72)</f>
        <v>2015</v>
      </c>
      <c r="E72" s="0" t="n">
        <f aca="false">W_PH(E$2,$A72)</f>
        <v>2015</v>
      </c>
      <c r="F72" s="0" t="n">
        <f aca="false">W_PH(F$2,$A72)</f>
        <v>2015</v>
      </c>
      <c r="G72" s="0" t="n">
        <f aca="false">W_PH(G$2,$A72)</f>
        <v>2015</v>
      </c>
      <c r="H72" s="0" t="n">
        <f aca="false">W_PH(H$2,$A72)</f>
        <v>2015</v>
      </c>
      <c r="I72" s="0" t="n">
        <f aca="false">W_PH(I$2,$A72)</f>
        <v>2015</v>
      </c>
      <c r="J72" s="0" t="n">
        <f aca="false">W_PH(J$2,$A72)</f>
        <v>2015</v>
      </c>
      <c r="K72" s="0" t="n">
        <f aca="false">W_PH(K$2,$A72)</f>
        <v>2015</v>
      </c>
      <c r="L72" s="0" t="n">
        <f aca="false">W_PH(L$2,$A72)</f>
        <v>2015</v>
      </c>
      <c r="M72" s="0" t="n">
        <f aca="false">W_PH(M$2,$A72)</f>
        <v>2015</v>
      </c>
      <c r="N72" s="0" t="n">
        <f aca="false">W_PH(N$2,$A72)</f>
        <v>2015</v>
      </c>
      <c r="O72" s="0" t="n">
        <f aca="false">W_PH(O$2,$A72)</f>
        <v>2015</v>
      </c>
      <c r="P72" s="0" t="n">
        <f aca="false">W_PH(P$2,$A72)</f>
        <v>2015</v>
      </c>
      <c r="Q72" s="0" t="n">
        <f aca="false">W_PH(Q$2,$A72)</f>
        <v>2015</v>
      </c>
      <c r="R72" s="0" t="n">
        <f aca="false">W_PH(R$2,$A72)</f>
        <v>2015</v>
      </c>
      <c r="S72" s="0" t="n">
        <f aca="false">W_PH(S$2,$A72)</f>
        <v>2015</v>
      </c>
      <c r="T72" s="0" t="n">
        <f aca="false">W_PH(T$2,$A72)</f>
        <v>2015</v>
      </c>
      <c r="U72" s="0" t="n">
        <f aca="false">W_PH(U$2,$A72)</f>
        <v>2015</v>
      </c>
      <c r="V72" s="0" t="n">
        <f aca="false">W_PH(V$2,$A72)</f>
        <v>2015</v>
      </c>
      <c r="W72" s="0" t="n">
        <f aca="false">W_PH(W$2,$A72)</f>
        <v>2015</v>
      </c>
      <c r="X72" s="0" t="n">
        <f aca="false">W_PH(X$2,$A72)</f>
        <v>2015</v>
      </c>
      <c r="Y72" s="0" t="n">
        <f aca="false">W_PH(Y$2,$A72)</f>
        <v>2015</v>
      </c>
      <c r="Z72" s="0" t="n">
        <f aca="false">W_PH(Z$2,$A72)</f>
        <v>2015</v>
      </c>
      <c r="AA72" s="0" t="n">
        <f aca="false">W_PH(AA$2,$A72)</f>
        <v>2015</v>
      </c>
      <c r="AB72" s="0" t="n">
        <f aca="false">W_PH(AB$2,$A72)</f>
        <v>2015</v>
      </c>
      <c r="AC72" s="0" t="n">
        <f aca="false">W_PH(AC$2,$A72)</f>
        <v>2015</v>
      </c>
      <c r="AD72" s="0" t="n">
        <f aca="false">W_PH(AD$2,$A72)</f>
        <v>2015</v>
      </c>
      <c r="AE72" s="0" t="n">
        <f aca="false">W_PH(AE$2,$A72)</f>
        <v>2015</v>
      </c>
      <c r="AF72" s="0" t="n">
        <f aca="false">W_PH(AF$2,$A72)</f>
        <v>2015</v>
      </c>
      <c r="AG72" s="0" t="n">
        <f aca="false">W_PH(AG$2,$A72)</f>
        <v>2015</v>
      </c>
      <c r="AH72" s="0" t="n">
        <f aca="false">W_PH(AH$2,$A72)</f>
        <v>2015</v>
      </c>
      <c r="AI72" s="0" t="n">
        <f aca="false">W_PH(AI$2,$A72)</f>
        <v>2015</v>
      </c>
      <c r="AJ72" s="0" t="n">
        <f aca="false">W_PH(AJ$2,$A72)</f>
        <v>2015</v>
      </c>
      <c r="AK72" s="0" t="n">
        <f aca="false">W_PH(AK$2,$A72)</f>
        <v>2015</v>
      </c>
      <c r="AL72" s="0" t="n">
        <f aca="false">W_PH(AL$2,$A72)</f>
        <v>2015</v>
      </c>
      <c r="AM72" s="0" t="n">
        <f aca="false">W_PH(AM$2,$A72)</f>
        <v>2015</v>
      </c>
      <c r="AN72" s="0" t="n">
        <f aca="false">W_PH(AN$2,$A72)</f>
        <v>2015</v>
      </c>
      <c r="AO72" s="0" t="n">
        <f aca="false">W_PH(AO$2,$A72)</f>
        <v>2015</v>
      </c>
      <c r="AP72" s="0" t="n">
        <f aca="false">W_PH(AP$2,$A72)</f>
        <v>2015</v>
      </c>
      <c r="AQ72" s="0" t="n">
        <f aca="false">W_PH(AQ$2,$A72)</f>
        <v>2015</v>
      </c>
      <c r="AR72" s="0" t="n">
        <f aca="false">W_PH(AR$2,$A72)</f>
        <v>366.39461752495</v>
      </c>
      <c r="AS72" s="0" t="n">
        <f aca="false">W_PH(AS$2,$A72)</f>
        <v>372.09781547189</v>
      </c>
    </row>
    <row r="73" customFormat="false" ht="13.8" hidden="false" customHeight="false" outlineLevel="0" collapsed="false">
      <c r="A73" s="0" t="n">
        <v>2330</v>
      </c>
      <c r="B73" s="0" t="n">
        <f aca="false">W_PH(B$2,$A73)</f>
        <v>2015</v>
      </c>
      <c r="C73" s="0" t="n">
        <f aca="false">W_PH(C$2,$A73)</f>
        <v>2015</v>
      </c>
      <c r="D73" s="0" t="n">
        <f aca="false">W_PH(D$2,$A73)</f>
        <v>2015</v>
      </c>
      <c r="E73" s="0" t="n">
        <f aca="false">W_PH(E$2,$A73)</f>
        <v>2015</v>
      </c>
      <c r="F73" s="0" t="n">
        <f aca="false">W_PH(F$2,$A73)</f>
        <v>2015</v>
      </c>
      <c r="G73" s="0" t="n">
        <f aca="false">W_PH(G$2,$A73)</f>
        <v>2015</v>
      </c>
      <c r="H73" s="0" t="n">
        <f aca="false">W_PH(H$2,$A73)</f>
        <v>2015</v>
      </c>
      <c r="I73" s="0" t="n">
        <f aca="false">W_PH(I$2,$A73)</f>
        <v>2015</v>
      </c>
      <c r="J73" s="0" t="n">
        <f aca="false">W_PH(J$2,$A73)</f>
        <v>2015</v>
      </c>
      <c r="K73" s="0" t="n">
        <f aca="false">W_PH(K$2,$A73)</f>
        <v>2015</v>
      </c>
      <c r="L73" s="0" t="n">
        <f aca="false">W_PH(L$2,$A73)</f>
        <v>2015</v>
      </c>
      <c r="M73" s="0" t="n">
        <f aca="false">W_PH(M$2,$A73)</f>
        <v>2015</v>
      </c>
      <c r="N73" s="0" t="n">
        <f aca="false">W_PH(N$2,$A73)</f>
        <v>2015</v>
      </c>
      <c r="O73" s="0" t="n">
        <f aca="false">W_PH(O$2,$A73)</f>
        <v>2015</v>
      </c>
      <c r="P73" s="0" t="n">
        <f aca="false">W_PH(P$2,$A73)</f>
        <v>2015</v>
      </c>
      <c r="Q73" s="0" t="n">
        <f aca="false">W_PH(Q$2,$A73)</f>
        <v>2015</v>
      </c>
      <c r="R73" s="0" t="n">
        <f aca="false">W_PH(R$2,$A73)</f>
        <v>2015</v>
      </c>
      <c r="S73" s="0" t="n">
        <f aca="false">W_PH(S$2,$A73)</f>
        <v>2015</v>
      </c>
      <c r="T73" s="0" t="n">
        <f aca="false">W_PH(T$2,$A73)</f>
        <v>2015</v>
      </c>
      <c r="U73" s="0" t="n">
        <f aca="false">W_PH(U$2,$A73)</f>
        <v>2015</v>
      </c>
      <c r="V73" s="0" t="n">
        <f aca="false">W_PH(V$2,$A73)</f>
        <v>2015</v>
      </c>
      <c r="W73" s="0" t="n">
        <f aca="false">W_PH(W$2,$A73)</f>
        <v>2015</v>
      </c>
      <c r="X73" s="0" t="n">
        <f aca="false">W_PH(X$2,$A73)</f>
        <v>2015</v>
      </c>
      <c r="Y73" s="0" t="n">
        <f aca="false">W_PH(Y$2,$A73)</f>
        <v>2015</v>
      </c>
      <c r="Z73" s="0" t="n">
        <f aca="false">W_PH(Z$2,$A73)</f>
        <v>2015</v>
      </c>
      <c r="AA73" s="0" t="n">
        <f aca="false">W_PH(AA$2,$A73)</f>
        <v>2015</v>
      </c>
      <c r="AB73" s="0" t="n">
        <f aca="false">W_PH(AB$2,$A73)</f>
        <v>2015</v>
      </c>
      <c r="AC73" s="0" t="n">
        <f aca="false">W_PH(AC$2,$A73)</f>
        <v>2015</v>
      </c>
      <c r="AD73" s="0" t="n">
        <f aca="false">W_PH(AD$2,$A73)</f>
        <v>2015</v>
      </c>
      <c r="AE73" s="0" t="n">
        <f aca="false">W_PH(AE$2,$A73)</f>
        <v>2015</v>
      </c>
      <c r="AF73" s="0" t="n">
        <f aca="false">W_PH(AF$2,$A73)</f>
        <v>2015</v>
      </c>
      <c r="AG73" s="0" t="n">
        <f aca="false">W_PH(AG$2,$A73)</f>
        <v>2015</v>
      </c>
      <c r="AH73" s="0" t="n">
        <f aca="false">W_PH(AH$2,$A73)</f>
        <v>2015</v>
      </c>
      <c r="AI73" s="0" t="n">
        <f aca="false">W_PH(AI$2,$A73)</f>
        <v>2015</v>
      </c>
      <c r="AJ73" s="0" t="n">
        <f aca="false">W_PH(AJ$2,$A73)</f>
        <v>2015</v>
      </c>
      <c r="AK73" s="0" t="n">
        <f aca="false">W_PH(AK$2,$A73)</f>
        <v>2015</v>
      </c>
      <c r="AL73" s="0" t="n">
        <f aca="false">W_PH(AL$2,$A73)</f>
        <v>2015</v>
      </c>
      <c r="AM73" s="0" t="n">
        <f aca="false">W_PH(AM$2,$A73)</f>
        <v>2015</v>
      </c>
      <c r="AN73" s="0" t="n">
        <f aca="false">W_PH(AN$2,$A73)</f>
        <v>2015</v>
      </c>
      <c r="AO73" s="0" t="n">
        <f aca="false">W_PH(AO$2,$A73)</f>
        <v>2015</v>
      </c>
      <c r="AP73" s="0" t="n">
        <f aca="false">W_PH(AP$2,$A73)</f>
        <v>2015</v>
      </c>
      <c r="AQ73" s="0" t="n">
        <f aca="false">W_PH(AQ$2,$A73)</f>
        <v>2015</v>
      </c>
      <c r="AR73" s="0" t="n">
        <f aca="false">W_PH(AR$2,$A73)</f>
        <v>369.232821043922</v>
      </c>
      <c r="AS73" s="0" t="n">
        <f aca="false">W_PH(AS$2,$A73)</f>
        <v>374.763980824612</v>
      </c>
    </row>
    <row r="74" customFormat="false" ht="13.8" hidden="false" customHeight="false" outlineLevel="0" collapsed="false">
      <c r="A74" s="0" t="n">
        <v>2340</v>
      </c>
      <c r="B74" s="0" t="n">
        <f aca="false">W_PH(B$2,$A74)</f>
        <v>2015</v>
      </c>
      <c r="C74" s="0" t="n">
        <f aca="false">W_PH(C$2,$A74)</f>
        <v>2015</v>
      </c>
      <c r="D74" s="0" t="n">
        <f aca="false">W_PH(D$2,$A74)</f>
        <v>2015</v>
      </c>
      <c r="E74" s="0" t="n">
        <f aca="false">W_PH(E$2,$A74)</f>
        <v>2015</v>
      </c>
      <c r="F74" s="0" t="n">
        <f aca="false">W_PH(F$2,$A74)</f>
        <v>2015</v>
      </c>
      <c r="G74" s="0" t="n">
        <f aca="false">W_PH(G$2,$A74)</f>
        <v>2015</v>
      </c>
      <c r="H74" s="0" t="n">
        <f aca="false">W_PH(H$2,$A74)</f>
        <v>2015</v>
      </c>
      <c r="I74" s="0" t="n">
        <f aca="false">W_PH(I$2,$A74)</f>
        <v>2015</v>
      </c>
      <c r="J74" s="0" t="n">
        <f aca="false">W_PH(J$2,$A74)</f>
        <v>2015</v>
      </c>
      <c r="K74" s="0" t="n">
        <f aca="false">W_PH(K$2,$A74)</f>
        <v>2015</v>
      </c>
      <c r="L74" s="0" t="n">
        <f aca="false">W_PH(L$2,$A74)</f>
        <v>2015</v>
      </c>
      <c r="M74" s="0" t="n">
        <f aca="false">W_PH(M$2,$A74)</f>
        <v>2015</v>
      </c>
      <c r="N74" s="0" t="n">
        <f aca="false">W_PH(N$2,$A74)</f>
        <v>2015</v>
      </c>
      <c r="O74" s="0" t="n">
        <f aca="false">W_PH(O$2,$A74)</f>
        <v>2015</v>
      </c>
      <c r="P74" s="0" t="n">
        <f aca="false">W_PH(P$2,$A74)</f>
        <v>2015</v>
      </c>
      <c r="Q74" s="0" t="n">
        <f aca="false">W_PH(Q$2,$A74)</f>
        <v>2015</v>
      </c>
      <c r="R74" s="0" t="n">
        <f aca="false">W_PH(R$2,$A74)</f>
        <v>2015</v>
      </c>
      <c r="S74" s="0" t="n">
        <f aca="false">W_PH(S$2,$A74)</f>
        <v>2015</v>
      </c>
      <c r="T74" s="0" t="n">
        <f aca="false">W_PH(T$2,$A74)</f>
        <v>2015</v>
      </c>
      <c r="U74" s="0" t="n">
        <f aca="false">W_PH(U$2,$A74)</f>
        <v>2015</v>
      </c>
      <c r="V74" s="0" t="n">
        <f aca="false">W_PH(V$2,$A74)</f>
        <v>2015</v>
      </c>
      <c r="W74" s="0" t="n">
        <f aca="false">W_PH(W$2,$A74)</f>
        <v>2015</v>
      </c>
      <c r="X74" s="0" t="n">
        <f aca="false">W_PH(X$2,$A74)</f>
        <v>2015</v>
      </c>
      <c r="Y74" s="0" t="n">
        <f aca="false">W_PH(Y$2,$A74)</f>
        <v>2015</v>
      </c>
      <c r="Z74" s="0" t="n">
        <f aca="false">W_PH(Z$2,$A74)</f>
        <v>2015</v>
      </c>
      <c r="AA74" s="0" t="n">
        <f aca="false">W_PH(AA$2,$A74)</f>
        <v>2015</v>
      </c>
      <c r="AB74" s="0" t="n">
        <f aca="false">W_PH(AB$2,$A74)</f>
        <v>2015</v>
      </c>
      <c r="AC74" s="0" t="n">
        <f aca="false">W_PH(AC$2,$A74)</f>
        <v>2015</v>
      </c>
      <c r="AD74" s="0" t="n">
        <f aca="false">W_PH(AD$2,$A74)</f>
        <v>2015</v>
      </c>
      <c r="AE74" s="0" t="n">
        <f aca="false">W_PH(AE$2,$A74)</f>
        <v>2015</v>
      </c>
      <c r="AF74" s="0" t="n">
        <f aca="false">W_PH(AF$2,$A74)</f>
        <v>2015</v>
      </c>
      <c r="AG74" s="0" t="n">
        <f aca="false">W_PH(AG$2,$A74)</f>
        <v>2015</v>
      </c>
      <c r="AH74" s="0" t="n">
        <f aca="false">W_PH(AH$2,$A74)</f>
        <v>2015</v>
      </c>
      <c r="AI74" s="0" t="n">
        <f aca="false">W_PH(AI$2,$A74)</f>
        <v>2015</v>
      </c>
      <c r="AJ74" s="0" t="n">
        <f aca="false">W_PH(AJ$2,$A74)</f>
        <v>2015</v>
      </c>
      <c r="AK74" s="0" t="n">
        <f aca="false">W_PH(AK$2,$A74)</f>
        <v>2015</v>
      </c>
      <c r="AL74" s="0" t="n">
        <f aca="false">W_PH(AL$2,$A74)</f>
        <v>2015</v>
      </c>
      <c r="AM74" s="0" t="n">
        <f aca="false">W_PH(AM$2,$A74)</f>
        <v>2015</v>
      </c>
      <c r="AN74" s="0" t="n">
        <f aca="false">W_PH(AN$2,$A74)</f>
        <v>2015</v>
      </c>
      <c r="AO74" s="0" t="n">
        <f aca="false">W_PH(AO$2,$A74)</f>
        <v>2015</v>
      </c>
      <c r="AP74" s="0" t="n">
        <f aca="false">W_PH(AP$2,$A74)</f>
        <v>2015</v>
      </c>
      <c r="AQ74" s="0" t="n">
        <f aca="false">W_PH(AQ$2,$A74)</f>
        <v>2015</v>
      </c>
      <c r="AR74" s="0" t="n">
        <f aca="false">W_PH(AR$2,$A74)</f>
        <v>372.092251520369</v>
      </c>
      <c r="AS74" s="0" t="n">
        <f aca="false">W_PH(AS$2,$A74)</f>
        <v>377.457508336636</v>
      </c>
    </row>
    <row r="75" customFormat="false" ht="13.8" hidden="false" customHeight="false" outlineLevel="0" collapsed="false">
      <c r="A75" s="0" t="n">
        <v>2350</v>
      </c>
      <c r="B75" s="0" t="n">
        <f aca="false">W_PH(B$2,$A75)</f>
        <v>2015</v>
      </c>
      <c r="C75" s="0" t="n">
        <f aca="false">W_PH(C$2,$A75)</f>
        <v>2015</v>
      </c>
      <c r="D75" s="0" t="n">
        <f aca="false">W_PH(D$2,$A75)</f>
        <v>2015</v>
      </c>
      <c r="E75" s="0" t="n">
        <f aca="false">W_PH(E$2,$A75)</f>
        <v>2015</v>
      </c>
      <c r="F75" s="0" t="n">
        <f aca="false">W_PH(F$2,$A75)</f>
        <v>2015</v>
      </c>
      <c r="G75" s="0" t="n">
        <f aca="false">W_PH(G$2,$A75)</f>
        <v>2015</v>
      </c>
      <c r="H75" s="0" t="n">
        <f aca="false">W_PH(H$2,$A75)</f>
        <v>2015</v>
      </c>
      <c r="I75" s="0" t="n">
        <f aca="false">W_PH(I$2,$A75)</f>
        <v>2015</v>
      </c>
      <c r="J75" s="0" t="n">
        <f aca="false">W_PH(J$2,$A75)</f>
        <v>2015</v>
      </c>
      <c r="K75" s="0" t="n">
        <f aca="false">W_PH(K$2,$A75)</f>
        <v>2015</v>
      </c>
      <c r="L75" s="0" t="n">
        <f aca="false">W_PH(L$2,$A75)</f>
        <v>2015</v>
      </c>
      <c r="M75" s="0" t="n">
        <f aca="false">W_PH(M$2,$A75)</f>
        <v>2015</v>
      </c>
      <c r="N75" s="0" t="n">
        <f aca="false">W_PH(N$2,$A75)</f>
        <v>2015</v>
      </c>
      <c r="O75" s="0" t="n">
        <f aca="false">W_PH(O$2,$A75)</f>
        <v>2015</v>
      </c>
      <c r="P75" s="0" t="n">
        <f aca="false">W_PH(P$2,$A75)</f>
        <v>2015</v>
      </c>
      <c r="Q75" s="0" t="n">
        <f aca="false">W_PH(Q$2,$A75)</f>
        <v>2015</v>
      </c>
      <c r="R75" s="0" t="n">
        <f aca="false">W_PH(R$2,$A75)</f>
        <v>2015</v>
      </c>
      <c r="S75" s="0" t="n">
        <f aca="false">W_PH(S$2,$A75)</f>
        <v>2015</v>
      </c>
      <c r="T75" s="0" t="n">
        <f aca="false">W_PH(T$2,$A75)</f>
        <v>2015</v>
      </c>
      <c r="U75" s="0" t="n">
        <f aca="false">W_PH(U$2,$A75)</f>
        <v>2015</v>
      </c>
      <c r="V75" s="0" t="n">
        <f aca="false">W_PH(V$2,$A75)</f>
        <v>2015</v>
      </c>
      <c r="W75" s="0" t="n">
        <f aca="false">W_PH(W$2,$A75)</f>
        <v>2015</v>
      </c>
      <c r="X75" s="0" t="n">
        <f aca="false">W_PH(X$2,$A75)</f>
        <v>2015</v>
      </c>
      <c r="Y75" s="0" t="n">
        <f aca="false">W_PH(Y$2,$A75)</f>
        <v>2015</v>
      </c>
      <c r="Z75" s="0" t="n">
        <f aca="false">W_PH(Z$2,$A75)</f>
        <v>2015</v>
      </c>
      <c r="AA75" s="0" t="n">
        <f aca="false">W_PH(AA$2,$A75)</f>
        <v>2015</v>
      </c>
      <c r="AB75" s="0" t="n">
        <f aca="false">W_PH(AB$2,$A75)</f>
        <v>2015</v>
      </c>
      <c r="AC75" s="0" t="n">
        <f aca="false">W_PH(AC$2,$A75)</f>
        <v>2015</v>
      </c>
      <c r="AD75" s="0" t="n">
        <f aca="false">W_PH(AD$2,$A75)</f>
        <v>2015</v>
      </c>
      <c r="AE75" s="0" t="n">
        <f aca="false">W_PH(AE$2,$A75)</f>
        <v>2015</v>
      </c>
      <c r="AF75" s="0" t="n">
        <f aca="false">W_PH(AF$2,$A75)</f>
        <v>2015</v>
      </c>
      <c r="AG75" s="0" t="n">
        <f aca="false">W_PH(AG$2,$A75)</f>
        <v>2015</v>
      </c>
      <c r="AH75" s="0" t="n">
        <f aca="false">W_PH(AH$2,$A75)</f>
        <v>2015</v>
      </c>
      <c r="AI75" s="0" t="n">
        <f aca="false">W_PH(AI$2,$A75)</f>
        <v>2015</v>
      </c>
      <c r="AJ75" s="0" t="n">
        <f aca="false">W_PH(AJ$2,$A75)</f>
        <v>2015</v>
      </c>
      <c r="AK75" s="0" t="n">
        <f aca="false">W_PH(AK$2,$A75)</f>
        <v>2015</v>
      </c>
      <c r="AL75" s="0" t="n">
        <f aca="false">W_PH(AL$2,$A75)</f>
        <v>2015</v>
      </c>
      <c r="AM75" s="0" t="n">
        <f aca="false">W_PH(AM$2,$A75)</f>
        <v>2015</v>
      </c>
      <c r="AN75" s="0" t="n">
        <f aca="false">W_PH(AN$2,$A75)</f>
        <v>2015</v>
      </c>
      <c r="AO75" s="0" t="n">
        <f aca="false">W_PH(AO$2,$A75)</f>
        <v>2015</v>
      </c>
      <c r="AP75" s="0" t="n">
        <f aca="false">W_PH(AP$2,$A75)</f>
        <v>2015</v>
      </c>
      <c r="AQ75" s="0" t="n">
        <f aca="false">W_PH(AQ$2,$A75)</f>
        <v>2015</v>
      </c>
      <c r="AR75" s="0" t="n">
        <f aca="false">W_PH(AR$2,$A75)</f>
        <v>374.971124945451</v>
      </c>
      <c r="AS75" s="0" t="n">
        <f aca="false">W_PH(AS$2,$A75)</f>
        <v>380.176114772818</v>
      </c>
    </row>
    <row r="76" customFormat="false" ht="13.8" hidden="false" customHeight="false" outlineLevel="0" collapsed="false">
      <c r="A76" s="0" t="n">
        <v>2360</v>
      </c>
      <c r="B76" s="0" t="n">
        <f aca="false">W_PH(B$2,$A76)</f>
        <v>2015</v>
      </c>
      <c r="C76" s="0" t="n">
        <f aca="false">W_PH(C$2,$A76)</f>
        <v>2015</v>
      </c>
      <c r="D76" s="0" t="n">
        <f aca="false">W_PH(D$2,$A76)</f>
        <v>2015</v>
      </c>
      <c r="E76" s="0" t="n">
        <f aca="false">W_PH(E$2,$A76)</f>
        <v>2015</v>
      </c>
      <c r="F76" s="0" t="n">
        <f aca="false">W_PH(F$2,$A76)</f>
        <v>2015</v>
      </c>
      <c r="G76" s="0" t="n">
        <f aca="false">W_PH(G$2,$A76)</f>
        <v>2015</v>
      </c>
      <c r="H76" s="0" t="n">
        <f aca="false">W_PH(H$2,$A76)</f>
        <v>2015</v>
      </c>
      <c r="I76" s="0" t="n">
        <f aca="false">W_PH(I$2,$A76)</f>
        <v>2015</v>
      </c>
      <c r="J76" s="0" t="n">
        <f aca="false">W_PH(J$2,$A76)</f>
        <v>2015</v>
      </c>
      <c r="K76" s="0" t="n">
        <f aca="false">W_PH(K$2,$A76)</f>
        <v>2015</v>
      </c>
      <c r="L76" s="0" t="n">
        <f aca="false">W_PH(L$2,$A76)</f>
        <v>2015</v>
      </c>
      <c r="M76" s="0" t="n">
        <f aca="false">W_PH(M$2,$A76)</f>
        <v>2015</v>
      </c>
      <c r="N76" s="0" t="n">
        <f aca="false">W_PH(N$2,$A76)</f>
        <v>2015</v>
      </c>
      <c r="O76" s="0" t="n">
        <f aca="false">W_PH(O$2,$A76)</f>
        <v>2015</v>
      </c>
      <c r="P76" s="0" t="n">
        <f aca="false">W_PH(P$2,$A76)</f>
        <v>2015</v>
      </c>
      <c r="Q76" s="0" t="n">
        <f aca="false">W_PH(Q$2,$A76)</f>
        <v>2015</v>
      </c>
      <c r="R76" s="0" t="n">
        <f aca="false">W_PH(R$2,$A76)</f>
        <v>2015</v>
      </c>
      <c r="S76" s="0" t="n">
        <f aca="false">W_PH(S$2,$A76)</f>
        <v>2015</v>
      </c>
      <c r="T76" s="0" t="n">
        <f aca="false">W_PH(T$2,$A76)</f>
        <v>2015</v>
      </c>
      <c r="U76" s="0" t="n">
        <f aca="false">W_PH(U$2,$A76)</f>
        <v>2015</v>
      </c>
      <c r="V76" s="0" t="n">
        <f aca="false">W_PH(V$2,$A76)</f>
        <v>2015</v>
      </c>
      <c r="W76" s="0" t="n">
        <f aca="false">W_PH(W$2,$A76)</f>
        <v>2015</v>
      </c>
      <c r="X76" s="0" t="n">
        <f aca="false">W_PH(X$2,$A76)</f>
        <v>2015</v>
      </c>
      <c r="Y76" s="0" t="n">
        <f aca="false">W_PH(Y$2,$A76)</f>
        <v>2015</v>
      </c>
      <c r="Z76" s="0" t="n">
        <f aca="false">W_PH(Z$2,$A76)</f>
        <v>2015</v>
      </c>
      <c r="AA76" s="0" t="n">
        <f aca="false">W_PH(AA$2,$A76)</f>
        <v>2015</v>
      </c>
      <c r="AB76" s="0" t="n">
        <f aca="false">W_PH(AB$2,$A76)</f>
        <v>2015</v>
      </c>
      <c r="AC76" s="0" t="n">
        <f aca="false">W_PH(AC$2,$A76)</f>
        <v>2015</v>
      </c>
      <c r="AD76" s="0" t="n">
        <f aca="false">W_PH(AD$2,$A76)</f>
        <v>2015</v>
      </c>
      <c r="AE76" s="0" t="n">
        <f aca="false">W_PH(AE$2,$A76)</f>
        <v>2015</v>
      </c>
      <c r="AF76" s="0" t="n">
        <f aca="false">W_PH(AF$2,$A76)</f>
        <v>2015</v>
      </c>
      <c r="AG76" s="0" t="n">
        <f aca="false">W_PH(AG$2,$A76)</f>
        <v>2015</v>
      </c>
      <c r="AH76" s="0" t="n">
        <f aca="false">W_PH(AH$2,$A76)</f>
        <v>2015</v>
      </c>
      <c r="AI76" s="0" t="n">
        <f aca="false">W_PH(AI$2,$A76)</f>
        <v>2015</v>
      </c>
      <c r="AJ76" s="0" t="n">
        <f aca="false">W_PH(AJ$2,$A76)</f>
        <v>2015</v>
      </c>
      <c r="AK76" s="0" t="n">
        <f aca="false">W_PH(AK$2,$A76)</f>
        <v>2015</v>
      </c>
      <c r="AL76" s="0" t="n">
        <f aca="false">W_PH(AL$2,$A76)</f>
        <v>2015</v>
      </c>
      <c r="AM76" s="0" t="n">
        <f aca="false">W_PH(AM$2,$A76)</f>
        <v>2015</v>
      </c>
      <c r="AN76" s="0" t="n">
        <f aca="false">W_PH(AN$2,$A76)</f>
        <v>2015</v>
      </c>
      <c r="AO76" s="0" t="n">
        <f aca="false">W_PH(AO$2,$A76)</f>
        <v>2015</v>
      </c>
      <c r="AP76" s="0" t="n">
        <f aca="false">W_PH(AP$2,$A76)</f>
        <v>2015</v>
      </c>
      <c r="AQ76" s="0" t="n">
        <f aca="false">W_PH(AQ$2,$A76)</f>
        <v>2015</v>
      </c>
      <c r="AR76" s="0" t="n">
        <f aca="false">W_PH(AR$2,$A76)</f>
        <v>377.867686351784</v>
      </c>
      <c r="AS76" s="0" t="n">
        <f aca="false">W_PH(AS$2,$A76)</f>
        <v>382.917601302216</v>
      </c>
    </row>
    <row r="77" customFormat="false" ht="13.8" hidden="false" customHeight="false" outlineLevel="0" collapsed="false">
      <c r="A77" s="0" t="n">
        <v>2370</v>
      </c>
      <c r="B77" s="0" t="n">
        <f aca="false">W_PH(B$2,$A77)</f>
        <v>2015</v>
      </c>
      <c r="C77" s="0" t="n">
        <f aca="false">W_PH(C$2,$A77)</f>
        <v>2015</v>
      </c>
      <c r="D77" s="0" t="n">
        <f aca="false">W_PH(D$2,$A77)</f>
        <v>2015</v>
      </c>
      <c r="E77" s="0" t="n">
        <f aca="false">W_PH(E$2,$A77)</f>
        <v>2015</v>
      </c>
      <c r="F77" s="0" t="n">
        <f aca="false">W_PH(F$2,$A77)</f>
        <v>2015</v>
      </c>
      <c r="G77" s="0" t="n">
        <f aca="false">W_PH(G$2,$A77)</f>
        <v>2015</v>
      </c>
      <c r="H77" s="0" t="n">
        <f aca="false">W_PH(H$2,$A77)</f>
        <v>2015</v>
      </c>
      <c r="I77" s="0" t="n">
        <f aca="false">W_PH(I$2,$A77)</f>
        <v>2015</v>
      </c>
      <c r="J77" s="0" t="n">
        <f aca="false">W_PH(J$2,$A77)</f>
        <v>2015</v>
      </c>
      <c r="K77" s="0" t="n">
        <f aca="false">W_PH(K$2,$A77)</f>
        <v>2015</v>
      </c>
      <c r="L77" s="0" t="n">
        <f aca="false">W_PH(L$2,$A77)</f>
        <v>2015</v>
      </c>
      <c r="M77" s="0" t="n">
        <f aca="false">W_PH(M$2,$A77)</f>
        <v>2015</v>
      </c>
      <c r="N77" s="0" t="n">
        <f aca="false">W_PH(N$2,$A77)</f>
        <v>2015</v>
      </c>
      <c r="O77" s="0" t="n">
        <f aca="false">W_PH(O$2,$A77)</f>
        <v>2015</v>
      </c>
      <c r="P77" s="0" t="n">
        <f aca="false">W_PH(P$2,$A77)</f>
        <v>2015</v>
      </c>
      <c r="Q77" s="0" t="n">
        <f aca="false">W_PH(Q$2,$A77)</f>
        <v>2015</v>
      </c>
      <c r="R77" s="0" t="n">
        <f aca="false">W_PH(R$2,$A77)</f>
        <v>2015</v>
      </c>
      <c r="S77" s="0" t="n">
        <f aca="false">W_PH(S$2,$A77)</f>
        <v>2015</v>
      </c>
      <c r="T77" s="0" t="n">
        <f aca="false">W_PH(T$2,$A77)</f>
        <v>2015</v>
      </c>
      <c r="U77" s="0" t="n">
        <f aca="false">W_PH(U$2,$A77)</f>
        <v>2015</v>
      </c>
      <c r="V77" s="0" t="n">
        <f aca="false">W_PH(V$2,$A77)</f>
        <v>2015</v>
      </c>
      <c r="W77" s="0" t="n">
        <f aca="false">W_PH(W$2,$A77)</f>
        <v>2015</v>
      </c>
      <c r="X77" s="0" t="n">
        <f aca="false">W_PH(X$2,$A77)</f>
        <v>2015</v>
      </c>
      <c r="Y77" s="0" t="n">
        <f aca="false">W_PH(Y$2,$A77)</f>
        <v>2015</v>
      </c>
      <c r="Z77" s="0" t="n">
        <f aca="false">W_PH(Z$2,$A77)</f>
        <v>2015</v>
      </c>
      <c r="AA77" s="0" t="n">
        <f aca="false">W_PH(AA$2,$A77)</f>
        <v>2015</v>
      </c>
      <c r="AB77" s="0" t="n">
        <f aca="false">W_PH(AB$2,$A77)</f>
        <v>2015</v>
      </c>
      <c r="AC77" s="0" t="n">
        <f aca="false">W_PH(AC$2,$A77)</f>
        <v>2015</v>
      </c>
      <c r="AD77" s="0" t="n">
        <f aca="false">W_PH(AD$2,$A77)</f>
        <v>2015</v>
      </c>
      <c r="AE77" s="0" t="n">
        <f aca="false">W_PH(AE$2,$A77)</f>
        <v>2015</v>
      </c>
      <c r="AF77" s="0" t="n">
        <f aca="false">W_PH(AF$2,$A77)</f>
        <v>2015</v>
      </c>
      <c r="AG77" s="0" t="n">
        <f aca="false">W_PH(AG$2,$A77)</f>
        <v>2015</v>
      </c>
      <c r="AH77" s="0" t="n">
        <f aca="false">W_PH(AH$2,$A77)</f>
        <v>2015</v>
      </c>
      <c r="AI77" s="0" t="n">
        <f aca="false">W_PH(AI$2,$A77)</f>
        <v>2015</v>
      </c>
      <c r="AJ77" s="0" t="n">
        <f aca="false">W_PH(AJ$2,$A77)</f>
        <v>2015</v>
      </c>
      <c r="AK77" s="0" t="n">
        <f aca="false">W_PH(AK$2,$A77)</f>
        <v>2015</v>
      </c>
      <c r="AL77" s="0" t="n">
        <f aca="false">W_PH(AL$2,$A77)</f>
        <v>2015</v>
      </c>
      <c r="AM77" s="0" t="n">
        <f aca="false">W_PH(AM$2,$A77)</f>
        <v>2015</v>
      </c>
      <c r="AN77" s="0" t="n">
        <f aca="false">W_PH(AN$2,$A77)</f>
        <v>2015</v>
      </c>
      <c r="AO77" s="0" t="n">
        <f aca="false">W_PH(AO$2,$A77)</f>
        <v>2015</v>
      </c>
      <c r="AP77" s="0" t="n">
        <f aca="false">W_PH(AP$2,$A77)</f>
        <v>2015</v>
      </c>
      <c r="AQ77" s="0" t="n">
        <f aca="false">W_PH(AQ$2,$A77)</f>
        <v>2015</v>
      </c>
      <c r="AR77" s="0" t="n">
        <f aca="false">W_PH(AR$2,$A77)</f>
        <v>380.780198799129</v>
      </c>
      <c r="AS77" s="0" t="n">
        <f aca="false">W_PH(AS$2,$A77)</f>
        <v>385.679838077285</v>
      </c>
    </row>
    <row r="78" customFormat="false" ht="13.8" hidden="false" customHeight="false" outlineLevel="0" collapsed="false">
      <c r="A78" s="0" t="n">
        <v>2380</v>
      </c>
      <c r="B78" s="0" t="n">
        <f aca="false">W_PH(B$2,$A78)</f>
        <v>2015</v>
      </c>
      <c r="C78" s="0" t="n">
        <f aca="false">W_PH(C$2,$A78)</f>
        <v>2015</v>
      </c>
      <c r="D78" s="0" t="n">
        <f aca="false">W_PH(D$2,$A78)</f>
        <v>2015</v>
      </c>
      <c r="E78" s="0" t="n">
        <f aca="false">W_PH(E$2,$A78)</f>
        <v>2015</v>
      </c>
      <c r="F78" s="0" t="n">
        <f aca="false">W_PH(F$2,$A78)</f>
        <v>2015</v>
      </c>
      <c r="G78" s="0" t="n">
        <f aca="false">W_PH(G$2,$A78)</f>
        <v>2015</v>
      </c>
      <c r="H78" s="0" t="n">
        <f aca="false">W_PH(H$2,$A78)</f>
        <v>2015</v>
      </c>
      <c r="I78" s="0" t="n">
        <f aca="false">W_PH(I$2,$A78)</f>
        <v>2015</v>
      </c>
      <c r="J78" s="0" t="n">
        <f aca="false">W_PH(J$2,$A78)</f>
        <v>2015</v>
      </c>
      <c r="K78" s="0" t="n">
        <f aca="false">W_PH(K$2,$A78)</f>
        <v>2015</v>
      </c>
      <c r="L78" s="0" t="n">
        <f aca="false">W_PH(L$2,$A78)</f>
        <v>2015</v>
      </c>
      <c r="M78" s="0" t="n">
        <f aca="false">W_PH(M$2,$A78)</f>
        <v>2015</v>
      </c>
      <c r="N78" s="0" t="n">
        <f aca="false">W_PH(N$2,$A78)</f>
        <v>2015</v>
      </c>
      <c r="O78" s="0" t="n">
        <f aca="false">W_PH(O$2,$A78)</f>
        <v>2015</v>
      </c>
      <c r="P78" s="0" t="n">
        <f aca="false">W_PH(P$2,$A78)</f>
        <v>2015</v>
      </c>
      <c r="Q78" s="0" t="n">
        <f aca="false">W_PH(Q$2,$A78)</f>
        <v>2015</v>
      </c>
      <c r="R78" s="0" t="n">
        <f aca="false">W_PH(R$2,$A78)</f>
        <v>2015</v>
      </c>
      <c r="S78" s="0" t="n">
        <f aca="false">W_PH(S$2,$A78)</f>
        <v>2015</v>
      </c>
      <c r="T78" s="0" t="n">
        <f aca="false">W_PH(T$2,$A78)</f>
        <v>2015</v>
      </c>
      <c r="U78" s="0" t="n">
        <f aca="false">W_PH(U$2,$A78)</f>
        <v>2015</v>
      </c>
      <c r="V78" s="0" t="n">
        <f aca="false">W_PH(V$2,$A78)</f>
        <v>2015</v>
      </c>
      <c r="W78" s="0" t="n">
        <f aca="false">W_PH(W$2,$A78)</f>
        <v>2015</v>
      </c>
      <c r="X78" s="0" t="n">
        <f aca="false">W_PH(X$2,$A78)</f>
        <v>2015</v>
      </c>
      <c r="Y78" s="0" t="n">
        <f aca="false">W_PH(Y$2,$A78)</f>
        <v>2015</v>
      </c>
      <c r="Z78" s="0" t="n">
        <f aca="false">W_PH(Z$2,$A78)</f>
        <v>2015</v>
      </c>
      <c r="AA78" s="0" t="n">
        <f aca="false">W_PH(AA$2,$A78)</f>
        <v>2015</v>
      </c>
      <c r="AB78" s="0" t="n">
        <f aca="false">W_PH(AB$2,$A78)</f>
        <v>2015</v>
      </c>
      <c r="AC78" s="0" t="n">
        <f aca="false">W_PH(AC$2,$A78)</f>
        <v>2015</v>
      </c>
      <c r="AD78" s="0" t="n">
        <f aca="false">W_PH(AD$2,$A78)</f>
        <v>2015</v>
      </c>
      <c r="AE78" s="0" t="n">
        <f aca="false">W_PH(AE$2,$A78)</f>
        <v>2015</v>
      </c>
      <c r="AF78" s="0" t="n">
        <f aca="false">W_PH(AF$2,$A78)</f>
        <v>2015</v>
      </c>
      <c r="AG78" s="0" t="n">
        <f aca="false">W_PH(AG$2,$A78)</f>
        <v>2015</v>
      </c>
      <c r="AH78" s="0" t="n">
        <f aca="false">W_PH(AH$2,$A78)</f>
        <v>2015</v>
      </c>
      <c r="AI78" s="0" t="n">
        <f aca="false">W_PH(AI$2,$A78)</f>
        <v>2015</v>
      </c>
      <c r="AJ78" s="0" t="n">
        <f aca="false">W_PH(AJ$2,$A78)</f>
        <v>2015</v>
      </c>
      <c r="AK78" s="0" t="n">
        <f aca="false">W_PH(AK$2,$A78)</f>
        <v>2015</v>
      </c>
      <c r="AL78" s="0" t="n">
        <f aca="false">W_PH(AL$2,$A78)</f>
        <v>2015</v>
      </c>
      <c r="AM78" s="0" t="n">
        <f aca="false">W_PH(AM$2,$A78)</f>
        <v>2015</v>
      </c>
      <c r="AN78" s="0" t="n">
        <f aca="false">W_PH(AN$2,$A78)</f>
        <v>2015</v>
      </c>
      <c r="AO78" s="0" t="n">
        <f aca="false">W_PH(AO$2,$A78)</f>
        <v>2015</v>
      </c>
      <c r="AP78" s="0" t="n">
        <f aca="false">W_PH(AP$2,$A78)</f>
        <v>2015</v>
      </c>
      <c r="AQ78" s="0" t="n">
        <f aca="false">W_PH(AQ$2,$A78)</f>
        <v>2015</v>
      </c>
      <c r="AR78" s="0" t="n">
        <f aca="false">W_PH(AR$2,$A78)</f>
        <v>383.706935391898</v>
      </c>
      <c r="AS78" s="0" t="n">
        <f aca="false">W_PH(AS$2,$A78)</f>
        <v>388.460752563865</v>
      </c>
    </row>
    <row r="79" customFormat="false" ht="13.8" hidden="false" customHeight="false" outlineLevel="0" collapsed="false">
      <c r="A79" s="0" t="n">
        <v>2390</v>
      </c>
      <c r="B79" s="0" t="n">
        <f aca="false">W_PH(B$2,$A79)</f>
        <v>2015</v>
      </c>
      <c r="C79" s="0" t="n">
        <f aca="false">W_PH(C$2,$A79)</f>
        <v>2015</v>
      </c>
      <c r="D79" s="0" t="n">
        <f aca="false">W_PH(D$2,$A79)</f>
        <v>2015</v>
      </c>
      <c r="E79" s="0" t="n">
        <f aca="false">W_PH(E$2,$A79)</f>
        <v>2015</v>
      </c>
      <c r="F79" s="0" t="n">
        <f aca="false">W_PH(F$2,$A79)</f>
        <v>2015</v>
      </c>
      <c r="G79" s="0" t="n">
        <f aca="false">W_PH(G$2,$A79)</f>
        <v>2015</v>
      </c>
      <c r="H79" s="0" t="n">
        <f aca="false">W_PH(H$2,$A79)</f>
        <v>2015</v>
      </c>
      <c r="I79" s="0" t="n">
        <f aca="false">W_PH(I$2,$A79)</f>
        <v>2015</v>
      </c>
      <c r="J79" s="0" t="n">
        <f aca="false">W_PH(J$2,$A79)</f>
        <v>2015</v>
      </c>
      <c r="K79" s="0" t="n">
        <f aca="false">W_PH(K$2,$A79)</f>
        <v>2015</v>
      </c>
      <c r="L79" s="0" t="n">
        <f aca="false">W_PH(L$2,$A79)</f>
        <v>2015</v>
      </c>
      <c r="M79" s="0" t="n">
        <f aca="false">W_PH(M$2,$A79)</f>
        <v>2015</v>
      </c>
      <c r="N79" s="0" t="n">
        <f aca="false">W_PH(N$2,$A79)</f>
        <v>2015</v>
      </c>
      <c r="O79" s="0" t="n">
        <f aca="false">W_PH(O$2,$A79)</f>
        <v>2015</v>
      </c>
      <c r="P79" s="0" t="n">
        <f aca="false">W_PH(P$2,$A79)</f>
        <v>2015</v>
      </c>
      <c r="Q79" s="0" t="n">
        <f aca="false">W_PH(Q$2,$A79)</f>
        <v>2015</v>
      </c>
      <c r="R79" s="0" t="n">
        <f aca="false">W_PH(R$2,$A79)</f>
        <v>2015</v>
      </c>
      <c r="S79" s="0" t="n">
        <f aca="false">W_PH(S$2,$A79)</f>
        <v>2015</v>
      </c>
      <c r="T79" s="0" t="n">
        <f aca="false">W_PH(T$2,$A79)</f>
        <v>2015</v>
      </c>
      <c r="U79" s="0" t="n">
        <f aca="false">W_PH(U$2,$A79)</f>
        <v>2015</v>
      </c>
      <c r="V79" s="0" t="n">
        <f aca="false">W_PH(V$2,$A79)</f>
        <v>2015</v>
      </c>
      <c r="W79" s="0" t="n">
        <f aca="false">W_PH(W$2,$A79)</f>
        <v>2015</v>
      </c>
      <c r="X79" s="0" t="n">
        <f aca="false">W_PH(X$2,$A79)</f>
        <v>2015</v>
      </c>
      <c r="Y79" s="0" t="n">
        <f aca="false">W_PH(Y$2,$A79)</f>
        <v>2015</v>
      </c>
      <c r="Z79" s="0" t="n">
        <f aca="false">W_PH(Z$2,$A79)</f>
        <v>2015</v>
      </c>
      <c r="AA79" s="0" t="n">
        <f aca="false">W_PH(AA$2,$A79)</f>
        <v>2015</v>
      </c>
      <c r="AB79" s="0" t="n">
        <f aca="false">W_PH(AB$2,$A79)</f>
        <v>2015</v>
      </c>
      <c r="AC79" s="0" t="n">
        <f aca="false">W_PH(AC$2,$A79)</f>
        <v>2015</v>
      </c>
      <c r="AD79" s="0" t="n">
        <f aca="false">W_PH(AD$2,$A79)</f>
        <v>2015</v>
      </c>
      <c r="AE79" s="0" t="n">
        <f aca="false">W_PH(AE$2,$A79)</f>
        <v>2015</v>
      </c>
      <c r="AF79" s="0" t="n">
        <f aca="false">W_PH(AF$2,$A79)</f>
        <v>2015</v>
      </c>
      <c r="AG79" s="0" t="n">
        <f aca="false">W_PH(AG$2,$A79)</f>
        <v>2015</v>
      </c>
      <c r="AH79" s="0" t="n">
        <f aca="false">W_PH(AH$2,$A79)</f>
        <v>2015</v>
      </c>
      <c r="AI79" s="0" t="n">
        <f aca="false">W_PH(AI$2,$A79)</f>
        <v>2015</v>
      </c>
      <c r="AJ79" s="0" t="n">
        <f aca="false">W_PH(AJ$2,$A79)</f>
        <v>2015</v>
      </c>
      <c r="AK79" s="0" t="n">
        <f aca="false">W_PH(AK$2,$A79)</f>
        <v>2015</v>
      </c>
      <c r="AL79" s="0" t="n">
        <f aca="false">W_PH(AL$2,$A79)</f>
        <v>2015</v>
      </c>
      <c r="AM79" s="0" t="n">
        <f aca="false">W_PH(AM$2,$A79)</f>
        <v>2015</v>
      </c>
      <c r="AN79" s="0" t="n">
        <f aca="false">W_PH(AN$2,$A79)</f>
        <v>2015</v>
      </c>
      <c r="AO79" s="0" t="n">
        <f aca="false">W_PH(AO$2,$A79)</f>
        <v>2015</v>
      </c>
      <c r="AP79" s="0" t="n">
        <f aca="false">W_PH(AP$2,$A79)</f>
        <v>2015</v>
      </c>
      <c r="AQ79" s="0" t="n">
        <f aca="false">W_PH(AQ$2,$A79)</f>
        <v>2015</v>
      </c>
      <c r="AR79" s="0" t="n">
        <f aca="false">W_PH(AR$2,$A79)</f>
        <v>386.646174000938</v>
      </c>
      <c r="AS79" s="0" t="n">
        <f aca="false">W_PH(AS$2,$A79)</f>
        <v>391.258321204139</v>
      </c>
    </row>
    <row r="80" customFormat="false" ht="13.8" hidden="false" customHeight="false" outlineLevel="0" collapsed="false">
      <c r="A80" s="0" t="n">
        <v>2400</v>
      </c>
      <c r="B80" s="0" t="n">
        <f aca="false">W_PH(B$2,$A80)</f>
        <v>2015</v>
      </c>
      <c r="C80" s="0" t="n">
        <f aca="false">W_PH(C$2,$A80)</f>
        <v>2015</v>
      </c>
      <c r="D80" s="0" t="n">
        <f aca="false">W_PH(D$2,$A80)</f>
        <v>2015</v>
      </c>
      <c r="E80" s="0" t="n">
        <f aca="false">W_PH(E$2,$A80)</f>
        <v>2015</v>
      </c>
      <c r="F80" s="0" t="n">
        <f aca="false">W_PH(F$2,$A80)</f>
        <v>2015</v>
      </c>
      <c r="G80" s="0" t="n">
        <f aca="false">W_PH(G$2,$A80)</f>
        <v>2015</v>
      </c>
      <c r="H80" s="0" t="n">
        <f aca="false">W_PH(H$2,$A80)</f>
        <v>2015</v>
      </c>
      <c r="I80" s="0" t="n">
        <f aca="false">W_PH(I$2,$A80)</f>
        <v>2015</v>
      </c>
      <c r="J80" s="0" t="n">
        <f aca="false">W_PH(J$2,$A80)</f>
        <v>2015</v>
      </c>
      <c r="K80" s="0" t="n">
        <f aca="false">W_PH(K$2,$A80)</f>
        <v>2015</v>
      </c>
      <c r="L80" s="0" t="n">
        <f aca="false">W_PH(L$2,$A80)</f>
        <v>2015</v>
      </c>
      <c r="M80" s="0" t="n">
        <f aca="false">W_PH(M$2,$A80)</f>
        <v>2015</v>
      </c>
      <c r="N80" s="0" t="n">
        <f aca="false">W_PH(N$2,$A80)</f>
        <v>2015</v>
      </c>
      <c r="O80" s="0" t="n">
        <f aca="false">W_PH(O$2,$A80)</f>
        <v>2015</v>
      </c>
      <c r="P80" s="0" t="n">
        <f aca="false">W_PH(P$2,$A80)</f>
        <v>2015</v>
      </c>
      <c r="Q80" s="0" t="n">
        <f aca="false">W_PH(Q$2,$A80)</f>
        <v>2015</v>
      </c>
      <c r="R80" s="0" t="n">
        <f aca="false">W_PH(R$2,$A80)</f>
        <v>2015</v>
      </c>
      <c r="S80" s="0" t="n">
        <f aca="false">W_PH(S$2,$A80)</f>
        <v>2015</v>
      </c>
      <c r="T80" s="0" t="n">
        <f aca="false">W_PH(T$2,$A80)</f>
        <v>2015</v>
      </c>
      <c r="U80" s="0" t="n">
        <f aca="false">W_PH(U$2,$A80)</f>
        <v>2015</v>
      </c>
      <c r="V80" s="0" t="n">
        <f aca="false">W_PH(V$2,$A80)</f>
        <v>2015</v>
      </c>
      <c r="W80" s="0" t="n">
        <f aca="false">W_PH(W$2,$A80)</f>
        <v>2015</v>
      </c>
      <c r="X80" s="0" t="n">
        <f aca="false">W_PH(X$2,$A80)</f>
        <v>2015</v>
      </c>
      <c r="Y80" s="0" t="n">
        <f aca="false">W_PH(Y$2,$A80)</f>
        <v>2015</v>
      </c>
      <c r="Z80" s="0" t="n">
        <f aca="false">W_PH(Z$2,$A80)</f>
        <v>2015</v>
      </c>
      <c r="AA80" s="0" t="n">
        <f aca="false">W_PH(AA$2,$A80)</f>
        <v>2015</v>
      </c>
      <c r="AB80" s="0" t="n">
        <f aca="false">W_PH(AB$2,$A80)</f>
        <v>2015</v>
      </c>
      <c r="AC80" s="0" t="n">
        <f aca="false">W_PH(AC$2,$A80)</f>
        <v>2015</v>
      </c>
      <c r="AD80" s="0" t="n">
        <f aca="false">W_PH(AD$2,$A80)</f>
        <v>2015</v>
      </c>
      <c r="AE80" s="0" t="n">
        <f aca="false">W_PH(AE$2,$A80)</f>
        <v>2015</v>
      </c>
      <c r="AF80" s="0" t="n">
        <f aca="false">W_PH(AF$2,$A80)</f>
        <v>2015</v>
      </c>
      <c r="AG80" s="0" t="n">
        <f aca="false">W_PH(AG$2,$A80)</f>
        <v>2015</v>
      </c>
      <c r="AH80" s="0" t="n">
        <f aca="false">W_PH(AH$2,$A80)</f>
        <v>2015</v>
      </c>
      <c r="AI80" s="0" t="n">
        <f aca="false">W_PH(AI$2,$A80)</f>
        <v>2015</v>
      </c>
      <c r="AJ80" s="0" t="n">
        <f aca="false">W_PH(AJ$2,$A80)</f>
        <v>2015</v>
      </c>
      <c r="AK80" s="0" t="n">
        <f aca="false">W_PH(AK$2,$A80)</f>
        <v>2015</v>
      </c>
      <c r="AL80" s="0" t="n">
        <f aca="false">W_PH(AL$2,$A80)</f>
        <v>2015</v>
      </c>
      <c r="AM80" s="0" t="n">
        <f aca="false">W_PH(AM$2,$A80)</f>
        <v>2015</v>
      </c>
      <c r="AN80" s="0" t="n">
        <f aca="false">W_PH(AN$2,$A80)</f>
        <v>2015</v>
      </c>
      <c r="AO80" s="0" t="n">
        <f aca="false">W_PH(AO$2,$A80)</f>
        <v>2015</v>
      </c>
      <c r="AP80" s="0" t="n">
        <f aca="false">W_PH(AP$2,$A80)</f>
        <v>2015</v>
      </c>
      <c r="AQ80" s="0" t="n">
        <f aca="false">W_PH(AQ$2,$A80)</f>
        <v>2015</v>
      </c>
      <c r="AR80" s="0" t="n">
        <f aca="false">W_PH(AR$2,$A80)</f>
        <v>389.59619443069</v>
      </c>
      <c r="AS80" s="0" t="n">
        <f aca="false">W_PH(AS$2,$A80)</f>
        <v>394.070564056676</v>
      </c>
    </row>
    <row r="81" customFormat="false" ht="13.8" hidden="false" customHeight="false" outlineLevel="0" collapsed="false">
      <c r="A81" s="0" t="n">
        <v>2410</v>
      </c>
      <c r="B81" s="0" t="n">
        <f aca="false">W_PH(B$2,$A81)</f>
        <v>2015</v>
      </c>
      <c r="C81" s="0" t="n">
        <f aca="false">W_PH(C$2,$A81)</f>
        <v>2015</v>
      </c>
      <c r="D81" s="0" t="n">
        <f aca="false">W_PH(D$2,$A81)</f>
        <v>2015</v>
      </c>
      <c r="E81" s="0" t="n">
        <f aca="false">W_PH(E$2,$A81)</f>
        <v>2015</v>
      </c>
      <c r="F81" s="0" t="n">
        <f aca="false">W_PH(F$2,$A81)</f>
        <v>2015</v>
      </c>
      <c r="G81" s="0" t="n">
        <f aca="false">W_PH(G$2,$A81)</f>
        <v>2015</v>
      </c>
      <c r="H81" s="0" t="n">
        <f aca="false">W_PH(H$2,$A81)</f>
        <v>2015</v>
      </c>
      <c r="I81" s="0" t="n">
        <f aca="false">W_PH(I$2,$A81)</f>
        <v>2015</v>
      </c>
      <c r="J81" s="0" t="n">
        <f aca="false">W_PH(J$2,$A81)</f>
        <v>2015</v>
      </c>
      <c r="K81" s="0" t="n">
        <f aca="false">W_PH(K$2,$A81)</f>
        <v>2015</v>
      </c>
      <c r="L81" s="0" t="n">
        <f aca="false">W_PH(L$2,$A81)</f>
        <v>2015</v>
      </c>
      <c r="M81" s="0" t="n">
        <f aca="false">W_PH(M$2,$A81)</f>
        <v>2015</v>
      </c>
      <c r="N81" s="0" t="n">
        <f aca="false">W_PH(N$2,$A81)</f>
        <v>2015</v>
      </c>
      <c r="O81" s="0" t="n">
        <f aca="false">W_PH(O$2,$A81)</f>
        <v>2015</v>
      </c>
      <c r="P81" s="0" t="n">
        <f aca="false">W_PH(P$2,$A81)</f>
        <v>2015</v>
      </c>
      <c r="Q81" s="0" t="n">
        <f aca="false">W_PH(Q$2,$A81)</f>
        <v>2015</v>
      </c>
      <c r="R81" s="0" t="n">
        <f aca="false">W_PH(R$2,$A81)</f>
        <v>2015</v>
      </c>
      <c r="S81" s="0" t="n">
        <f aca="false">W_PH(S$2,$A81)</f>
        <v>2015</v>
      </c>
      <c r="T81" s="0" t="n">
        <f aca="false">W_PH(T$2,$A81)</f>
        <v>2015</v>
      </c>
      <c r="U81" s="0" t="n">
        <f aca="false">W_PH(U$2,$A81)</f>
        <v>2015</v>
      </c>
      <c r="V81" s="0" t="n">
        <f aca="false">W_PH(V$2,$A81)</f>
        <v>2015</v>
      </c>
      <c r="W81" s="0" t="n">
        <f aca="false">W_PH(W$2,$A81)</f>
        <v>2015</v>
      </c>
      <c r="X81" s="0" t="n">
        <f aca="false">W_PH(X$2,$A81)</f>
        <v>2015</v>
      </c>
      <c r="Y81" s="0" t="n">
        <f aca="false">W_PH(Y$2,$A81)</f>
        <v>2015</v>
      </c>
      <c r="Z81" s="0" t="n">
        <f aca="false">W_PH(Z$2,$A81)</f>
        <v>2015</v>
      </c>
      <c r="AA81" s="0" t="n">
        <f aca="false">W_PH(AA$2,$A81)</f>
        <v>2015</v>
      </c>
      <c r="AB81" s="0" t="n">
        <f aca="false">W_PH(AB$2,$A81)</f>
        <v>2015</v>
      </c>
      <c r="AC81" s="0" t="n">
        <f aca="false">W_PH(AC$2,$A81)</f>
        <v>2015</v>
      </c>
      <c r="AD81" s="0" t="n">
        <f aca="false">W_PH(AD$2,$A81)</f>
        <v>2015</v>
      </c>
      <c r="AE81" s="0" t="n">
        <f aca="false">W_PH(AE$2,$A81)</f>
        <v>2015</v>
      </c>
      <c r="AF81" s="0" t="n">
        <f aca="false">W_PH(AF$2,$A81)</f>
        <v>2015</v>
      </c>
      <c r="AG81" s="0" t="n">
        <f aca="false">W_PH(AG$2,$A81)</f>
        <v>2015</v>
      </c>
      <c r="AH81" s="0" t="n">
        <f aca="false">W_PH(AH$2,$A81)</f>
        <v>2015</v>
      </c>
      <c r="AI81" s="0" t="n">
        <f aca="false">W_PH(AI$2,$A81)</f>
        <v>2015</v>
      </c>
      <c r="AJ81" s="0" t="n">
        <f aca="false">W_PH(AJ$2,$A81)</f>
        <v>2015</v>
      </c>
      <c r="AK81" s="0" t="n">
        <f aca="false">W_PH(AK$2,$A81)</f>
        <v>2015</v>
      </c>
      <c r="AL81" s="0" t="n">
        <f aca="false">W_PH(AL$2,$A81)</f>
        <v>2015</v>
      </c>
      <c r="AM81" s="0" t="n">
        <f aca="false">W_PH(AM$2,$A81)</f>
        <v>2015</v>
      </c>
      <c r="AN81" s="0" t="n">
        <f aca="false">W_PH(AN$2,$A81)</f>
        <v>2015</v>
      </c>
      <c r="AO81" s="0" t="n">
        <f aca="false">W_PH(AO$2,$A81)</f>
        <v>2015</v>
      </c>
      <c r="AP81" s="0" t="n">
        <f aca="false">W_PH(AP$2,$A81)</f>
        <v>2015</v>
      </c>
      <c r="AQ81" s="0" t="n">
        <f aca="false">W_PH(AQ$2,$A81)</f>
        <v>2015</v>
      </c>
      <c r="AR81" s="0" t="n">
        <f aca="false">W_PH(AR$2,$A81)</f>
        <v>392.555277831325</v>
      </c>
      <c r="AS81" s="0" t="n">
        <f aca="false">W_PH(AS$2,$A81)</f>
        <v>396.895542110922</v>
      </c>
    </row>
    <row r="82" customFormat="false" ht="13.8" hidden="false" customHeight="false" outlineLevel="0" collapsed="false">
      <c r="A82" s="0" t="n">
        <v>2420</v>
      </c>
      <c r="B82" s="0" t="n">
        <f aca="false">W_PH(B$2,$A82)</f>
        <v>2015</v>
      </c>
      <c r="C82" s="0" t="n">
        <f aca="false">W_PH(C$2,$A82)</f>
        <v>2015</v>
      </c>
      <c r="D82" s="0" t="n">
        <f aca="false">W_PH(D$2,$A82)</f>
        <v>2015</v>
      </c>
      <c r="E82" s="0" t="n">
        <f aca="false">W_PH(E$2,$A82)</f>
        <v>2015</v>
      </c>
      <c r="F82" s="0" t="n">
        <f aca="false">W_PH(F$2,$A82)</f>
        <v>2015</v>
      </c>
      <c r="G82" s="0" t="n">
        <f aca="false">W_PH(G$2,$A82)</f>
        <v>2015</v>
      </c>
      <c r="H82" s="0" t="n">
        <f aca="false">W_PH(H$2,$A82)</f>
        <v>2015</v>
      </c>
      <c r="I82" s="0" t="n">
        <f aca="false">W_PH(I$2,$A82)</f>
        <v>2015</v>
      </c>
      <c r="J82" s="0" t="n">
        <f aca="false">W_PH(J$2,$A82)</f>
        <v>2015</v>
      </c>
      <c r="K82" s="0" t="n">
        <f aca="false">W_PH(K$2,$A82)</f>
        <v>2015</v>
      </c>
      <c r="L82" s="0" t="n">
        <f aca="false">W_PH(L$2,$A82)</f>
        <v>2015</v>
      </c>
      <c r="M82" s="0" t="n">
        <f aca="false">W_PH(M$2,$A82)</f>
        <v>2015</v>
      </c>
      <c r="N82" s="0" t="n">
        <f aca="false">W_PH(N$2,$A82)</f>
        <v>2015</v>
      </c>
      <c r="O82" s="0" t="n">
        <f aca="false">W_PH(O$2,$A82)</f>
        <v>2015</v>
      </c>
      <c r="P82" s="0" t="n">
        <f aca="false">W_PH(P$2,$A82)</f>
        <v>2015</v>
      </c>
      <c r="Q82" s="0" t="n">
        <f aca="false">W_PH(Q$2,$A82)</f>
        <v>2015</v>
      </c>
      <c r="R82" s="0" t="n">
        <f aca="false">W_PH(R$2,$A82)</f>
        <v>2015</v>
      </c>
      <c r="S82" s="0" t="n">
        <f aca="false">W_PH(S$2,$A82)</f>
        <v>2015</v>
      </c>
      <c r="T82" s="0" t="n">
        <f aca="false">W_PH(T$2,$A82)</f>
        <v>2015</v>
      </c>
      <c r="U82" s="0" t="n">
        <f aca="false">W_PH(U$2,$A82)</f>
        <v>2015</v>
      </c>
      <c r="V82" s="0" t="n">
        <f aca="false">W_PH(V$2,$A82)</f>
        <v>2015</v>
      </c>
      <c r="W82" s="0" t="n">
        <f aca="false">W_PH(W$2,$A82)</f>
        <v>2015</v>
      </c>
      <c r="X82" s="0" t="n">
        <f aca="false">W_PH(X$2,$A82)</f>
        <v>2015</v>
      </c>
      <c r="Y82" s="0" t="n">
        <f aca="false">W_PH(Y$2,$A82)</f>
        <v>2015</v>
      </c>
      <c r="Z82" s="0" t="n">
        <f aca="false">W_PH(Z$2,$A82)</f>
        <v>2015</v>
      </c>
      <c r="AA82" s="0" t="n">
        <f aca="false">W_PH(AA$2,$A82)</f>
        <v>2015</v>
      </c>
      <c r="AB82" s="0" t="n">
        <f aca="false">W_PH(AB$2,$A82)</f>
        <v>2015</v>
      </c>
      <c r="AC82" s="0" t="n">
        <f aca="false">W_PH(AC$2,$A82)</f>
        <v>2015</v>
      </c>
      <c r="AD82" s="0" t="n">
        <f aca="false">W_PH(AD$2,$A82)</f>
        <v>2015</v>
      </c>
      <c r="AE82" s="0" t="n">
        <f aca="false">W_PH(AE$2,$A82)</f>
        <v>2015</v>
      </c>
      <c r="AF82" s="0" t="n">
        <f aca="false">W_PH(AF$2,$A82)</f>
        <v>2015</v>
      </c>
      <c r="AG82" s="0" t="n">
        <f aca="false">W_PH(AG$2,$A82)</f>
        <v>2015</v>
      </c>
      <c r="AH82" s="0" t="n">
        <f aca="false">W_PH(AH$2,$A82)</f>
        <v>2015</v>
      </c>
      <c r="AI82" s="0" t="n">
        <f aca="false">W_PH(AI$2,$A82)</f>
        <v>2015</v>
      </c>
      <c r="AJ82" s="0" t="n">
        <f aca="false">W_PH(AJ$2,$A82)</f>
        <v>2015</v>
      </c>
      <c r="AK82" s="0" t="n">
        <f aca="false">W_PH(AK$2,$A82)</f>
        <v>2015</v>
      </c>
      <c r="AL82" s="0" t="n">
        <f aca="false">W_PH(AL$2,$A82)</f>
        <v>2015</v>
      </c>
      <c r="AM82" s="0" t="n">
        <f aca="false">W_PH(AM$2,$A82)</f>
        <v>2015</v>
      </c>
      <c r="AN82" s="0" t="n">
        <f aca="false">W_PH(AN$2,$A82)</f>
        <v>2015</v>
      </c>
      <c r="AO82" s="0" t="n">
        <f aca="false">W_PH(AO$2,$A82)</f>
        <v>2015</v>
      </c>
      <c r="AP82" s="0" t="n">
        <f aca="false">W_PH(AP$2,$A82)</f>
        <v>2015</v>
      </c>
      <c r="AQ82" s="0" t="n">
        <f aca="false">W_PH(AQ$2,$A82)</f>
        <v>387.252858338537</v>
      </c>
      <c r="AR82" s="0" t="n">
        <f aca="false">W_PH(AR$2,$A82)</f>
        <v>395.521708205288</v>
      </c>
      <c r="AS82" s="0" t="n">
        <f aca="false">W_PH(AS$2,$A82)</f>
        <v>399.731357018955</v>
      </c>
    </row>
    <row r="83" customFormat="false" ht="13.8" hidden="false" customHeight="false" outlineLevel="0" collapsed="false">
      <c r="A83" s="0" t="n">
        <v>2430</v>
      </c>
      <c r="B83" s="0" t="n">
        <f aca="false">W_PH(B$2,$A83)</f>
        <v>2015</v>
      </c>
      <c r="C83" s="0" t="n">
        <f aca="false">W_PH(C$2,$A83)</f>
        <v>2015</v>
      </c>
      <c r="D83" s="0" t="n">
        <f aca="false">W_PH(D$2,$A83)</f>
        <v>2015</v>
      </c>
      <c r="E83" s="0" t="n">
        <f aca="false">W_PH(E$2,$A83)</f>
        <v>2015</v>
      </c>
      <c r="F83" s="0" t="n">
        <f aca="false">W_PH(F$2,$A83)</f>
        <v>2015</v>
      </c>
      <c r="G83" s="0" t="n">
        <f aca="false">W_PH(G$2,$A83)</f>
        <v>2015</v>
      </c>
      <c r="H83" s="0" t="n">
        <f aca="false">W_PH(H$2,$A83)</f>
        <v>2015</v>
      </c>
      <c r="I83" s="0" t="n">
        <f aca="false">W_PH(I$2,$A83)</f>
        <v>2015</v>
      </c>
      <c r="J83" s="0" t="n">
        <f aca="false">W_PH(J$2,$A83)</f>
        <v>2015</v>
      </c>
      <c r="K83" s="0" t="n">
        <f aca="false">W_PH(K$2,$A83)</f>
        <v>2015</v>
      </c>
      <c r="L83" s="0" t="n">
        <f aca="false">W_PH(L$2,$A83)</f>
        <v>2015</v>
      </c>
      <c r="M83" s="0" t="n">
        <f aca="false">W_PH(M$2,$A83)</f>
        <v>2015</v>
      </c>
      <c r="N83" s="0" t="n">
        <f aca="false">W_PH(N$2,$A83)</f>
        <v>2015</v>
      </c>
      <c r="O83" s="0" t="n">
        <f aca="false">W_PH(O$2,$A83)</f>
        <v>2015</v>
      </c>
      <c r="P83" s="0" t="n">
        <f aca="false">W_PH(P$2,$A83)</f>
        <v>2015</v>
      </c>
      <c r="Q83" s="0" t="n">
        <f aca="false">W_PH(Q$2,$A83)</f>
        <v>2015</v>
      </c>
      <c r="R83" s="0" t="n">
        <f aca="false">W_PH(R$2,$A83)</f>
        <v>2015</v>
      </c>
      <c r="S83" s="0" t="n">
        <f aca="false">W_PH(S$2,$A83)</f>
        <v>2015</v>
      </c>
      <c r="T83" s="0" t="n">
        <f aca="false">W_PH(T$2,$A83)</f>
        <v>2015</v>
      </c>
      <c r="U83" s="0" t="n">
        <f aca="false">W_PH(U$2,$A83)</f>
        <v>2015</v>
      </c>
      <c r="V83" s="0" t="n">
        <f aca="false">W_PH(V$2,$A83)</f>
        <v>2015</v>
      </c>
      <c r="W83" s="0" t="n">
        <f aca="false">W_PH(W$2,$A83)</f>
        <v>2015</v>
      </c>
      <c r="X83" s="0" t="n">
        <f aca="false">W_PH(X$2,$A83)</f>
        <v>2015</v>
      </c>
      <c r="Y83" s="0" t="n">
        <f aca="false">W_PH(Y$2,$A83)</f>
        <v>2015</v>
      </c>
      <c r="Z83" s="0" t="n">
        <f aca="false">W_PH(Z$2,$A83)</f>
        <v>2015</v>
      </c>
      <c r="AA83" s="0" t="n">
        <f aca="false">W_PH(AA$2,$A83)</f>
        <v>2015</v>
      </c>
      <c r="AB83" s="0" t="n">
        <f aca="false">W_PH(AB$2,$A83)</f>
        <v>2015</v>
      </c>
      <c r="AC83" s="0" t="n">
        <f aca="false">W_PH(AC$2,$A83)</f>
        <v>2015</v>
      </c>
      <c r="AD83" s="0" t="n">
        <f aca="false">W_PH(AD$2,$A83)</f>
        <v>2015</v>
      </c>
      <c r="AE83" s="0" t="n">
        <f aca="false">W_PH(AE$2,$A83)</f>
        <v>2015</v>
      </c>
      <c r="AF83" s="0" t="n">
        <f aca="false">W_PH(AF$2,$A83)</f>
        <v>2015</v>
      </c>
      <c r="AG83" s="0" t="n">
        <f aca="false">W_PH(AG$2,$A83)</f>
        <v>2015</v>
      </c>
      <c r="AH83" s="0" t="n">
        <f aca="false">W_PH(AH$2,$A83)</f>
        <v>2015</v>
      </c>
      <c r="AI83" s="0" t="n">
        <f aca="false">W_PH(AI$2,$A83)</f>
        <v>2015</v>
      </c>
      <c r="AJ83" s="0" t="n">
        <f aca="false">W_PH(AJ$2,$A83)</f>
        <v>2015</v>
      </c>
      <c r="AK83" s="0" t="n">
        <f aca="false">W_PH(AK$2,$A83)</f>
        <v>2015</v>
      </c>
      <c r="AL83" s="0" t="n">
        <f aca="false">W_PH(AL$2,$A83)</f>
        <v>2015</v>
      </c>
      <c r="AM83" s="0" t="n">
        <f aca="false">W_PH(AM$2,$A83)</f>
        <v>2015</v>
      </c>
      <c r="AN83" s="0" t="n">
        <f aca="false">W_PH(AN$2,$A83)</f>
        <v>2015</v>
      </c>
      <c r="AO83" s="0" t="n">
        <f aca="false">W_PH(AO$2,$A83)</f>
        <v>2015</v>
      </c>
      <c r="AP83" s="0" t="n">
        <f aca="false">W_PH(AP$2,$A83)</f>
        <v>2015</v>
      </c>
      <c r="AQ83" s="0" t="n">
        <f aca="false">W_PH(AQ$2,$A83)</f>
        <v>390.451930739126</v>
      </c>
      <c r="AR83" s="0" t="n">
        <f aca="false">W_PH(AR$2,$A83)</f>
        <v>398.493775899739</v>
      </c>
      <c r="AS83" s="0" t="n">
        <f aca="false">W_PH(AS$2,$A83)</f>
        <v>402.576153027455</v>
      </c>
    </row>
    <row r="84" customFormat="false" ht="13.8" hidden="false" customHeight="false" outlineLevel="0" collapsed="false">
      <c r="A84" s="0" t="n">
        <v>2440</v>
      </c>
      <c r="B84" s="0" t="n">
        <f aca="false">W_PH(B$2,$A84)</f>
        <v>2015</v>
      </c>
      <c r="C84" s="0" t="n">
        <f aca="false">W_PH(C$2,$A84)</f>
        <v>2015</v>
      </c>
      <c r="D84" s="0" t="n">
        <f aca="false">W_PH(D$2,$A84)</f>
        <v>2015</v>
      </c>
      <c r="E84" s="0" t="n">
        <f aca="false">W_PH(E$2,$A84)</f>
        <v>2015</v>
      </c>
      <c r="F84" s="0" t="n">
        <f aca="false">W_PH(F$2,$A84)</f>
        <v>2015</v>
      </c>
      <c r="G84" s="0" t="n">
        <f aca="false">W_PH(G$2,$A84)</f>
        <v>2015</v>
      </c>
      <c r="H84" s="0" t="n">
        <f aca="false">W_PH(H$2,$A84)</f>
        <v>2015</v>
      </c>
      <c r="I84" s="0" t="n">
        <f aca="false">W_PH(I$2,$A84)</f>
        <v>2015</v>
      </c>
      <c r="J84" s="0" t="n">
        <f aca="false">W_PH(J$2,$A84)</f>
        <v>2015</v>
      </c>
      <c r="K84" s="0" t="n">
        <f aca="false">W_PH(K$2,$A84)</f>
        <v>2015</v>
      </c>
      <c r="L84" s="0" t="n">
        <f aca="false">W_PH(L$2,$A84)</f>
        <v>2015</v>
      </c>
      <c r="M84" s="0" t="n">
        <f aca="false">W_PH(M$2,$A84)</f>
        <v>2015</v>
      </c>
      <c r="N84" s="0" t="n">
        <f aca="false">W_PH(N$2,$A84)</f>
        <v>2015</v>
      </c>
      <c r="O84" s="0" t="n">
        <f aca="false">W_PH(O$2,$A84)</f>
        <v>2015</v>
      </c>
      <c r="P84" s="0" t="n">
        <f aca="false">W_PH(P$2,$A84)</f>
        <v>2015</v>
      </c>
      <c r="Q84" s="0" t="n">
        <f aca="false">W_PH(Q$2,$A84)</f>
        <v>2015</v>
      </c>
      <c r="R84" s="0" t="n">
        <f aca="false">W_PH(R$2,$A84)</f>
        <v>2015</v>
      </c>
      <c r="S84" s="0" t="n">
        <f aca="false">W_PH(S$2,$A84)</f>
        <v>2015</v>
      </c>
      <c r="T84" s="0" t="n">
        <f aca="false">W_PH(T$2,$A84)</f>
        <v>2015</v>
      </c>
      <c r="U84" s="0" t="n">
        <f aca="false">W_PH(U$2,$A84)</f>
        <v>2015</v>
      </c>
      <c r="V84" s="0" t="n">
        <f aca="false">W_PH(V$2,$A84)</f>
        <v>2015</v>
      </c>
      <c r="W84" s="0" t="n">
        <f aca="false">W_PH(W$2,$A84)</f>
        <v>2015</v>
      </c>
      <c r="X84" s="0" t="n">
        <f aca="false">W_PH(X$2,$A84)</f>
        <v>2015</v>
      </c>
      <c r="Y84" s="0" t="n">
        <f aca="false">W_PH(Y$2,$A84)</f>
        <v>2015</v>
      </c>
      <c r="Z84" s="0" t="n">
        <f aca="false">W_PH(Z$2,$A84)</f>
        <v>2015</v>
      </c>
      <c r="AA84" s="0" t="n">
        <f aca="false">W_PH(AA$2,$A84)</f>
        <v>2015</v>
      </c>
      <c r="AB84" s="0" t="n">
        <f aca="false">W_PH(AB$2,$A84)</f>
        <v>2015</v>
      </c>
      <c r="AC84" s="0" t="n">
        <f aca="false">W_PH(AC$2,$A84)</f>
        <v>2015</v>
      </c>
      <c r="AD84" s="0" t="n">
        <f aca="false">W_PH(AD$2,$A84)</f>
        <v>2015</v>
      </c>
      <c r="AE84" s="0" t="n">
        <f aca="false">W_PH(AE$2,$A84)</f>
        <v>2015</v>
      </c>
      <c r="AF84" s="0" t="n">
        <f aca="false">W_PH(AF$2,$A84)</f>
        <v>2015</v>
      </c>
      <c r="AG84" s="0" t="n">
        <f aca="false">W_PH(AG$2,$A84)</f>
        <v>2015</v>
      </c>
      <c r="AH84" s="0" t="n">
        <f aca="false">W_PH(AH$2,$A84)</f>
        <v>2015</v>
      </c>
      <c r="AI84" s="0" t="n">
        <f aca="false">W_PH(AI$2,$A84)</f>
        <v>2015</v>
      </c>
      <c r="AJ84" s="0" t="n">
        <f aca="false">W_PH(AJ$2,$A84)</f>
        <v>2015</v>
      </c>
      <c r="AK84" s="0" t="n">
        <f aca="false">W_PH(AK$2,$A84)</f>
        <v>2015</v>
      </c>
      <c r="AL84" s="0" t="n">
        <f aca="false">W_PH(AL$2,$A84)</f>
        <v>2015</v>
      </c>
      <c r="AM84" s="0" t="n">
        <f aca="false">W_PH(AM$2,$A84)</f>
        <v>2015</v>
      </c>
      <c r="AN84" s="0" t="n">
        <f aca="false">W_PH(AN$2,$A84)</f>
        <v>2015</v>
      </c>
      <c r="AO84" s="0" t="n">
        <f aca="false">W_PH(AO$2,$A84)</f>
        <v>2015</v>
      </c>
      <c r="AP84" s="0" t="n">
        <f aca="false">W_PH(AP$2,$A84)</f>
        <v>2015</v>
      </c>
      <c r="AQ84" s="0" t="n">
        <f aca="false">W_PH(AQ$2,$A84)</f>
        <v>393.652020046294</v>
      </c>
      <c r="AR84" s="0" t="n">
        <f aca="false">W_PH(AR$2,$A84)</f>
        <v>401.469783012358</v>
      </c>
      <c r="AS84" s="0" t="n">
        <f aca="false">W_PH(AS$2,$A84)</f>
        <v>405.428120928556</v>
      </c>
    </row>
    <row r="85" customFormat="false" ht="13.8" hidden="false" customHeight="false" outlineLevel="0" collapsed="false">
      <c r="A85" s="0" t="n">
        <v>2450</v>
      </c>
      <c r="B85" s="0" t="n">
        <f aca="false">W_PH(B$2,$A85)</f>
        <v>2015</v>
      </c>
      <c r="C85" s="0" t="n">
        <f aca="false">W_PH(C$2,$A85)</f>
        <v>2015</v>
      </c>
      <c r="D85" s="0" t="n">
        <f aca="false">W_PH(D$2,$A85)</f>
        <v>2015</v>
      </c>
      <c r="E85" s="0" t="n">
        <f aca="false">W_PH(E$2,$A85)</f>
        <v>2015</v>
      </c>
      <c r="F85" s="0" t="n">
        <f aca="false">W_PH(F$2,$A85)</f>
        <v>2015</v>
      </c>
      <c r="G85" s="0" t="n">
        <f aca="false">W_PH(G$2,$A85)</f>
        <v>2015</v>
      </c>
      <c r="H85" s="0" t="n">
        <f aca="false">W_PH(H$2,$A85)</f>
        <v>2015</v>
      </c>
      <c r="I85" s="0" t="n">
        <f aca="false">W_PH(I$2,$A85)</f>
        <v>2015</v>
      </c>
      <c r="J85" s="0" t="n">
        <f aca="false">W_PH(J$2,$A85)</f>
        <v>2015</v>
      </c>
      <c r="K85" s="0" t="n">
        <f aca="false">W_PH(K$2,$A85)</f>
        <v>2015</v>
      </c>
      <c r="L85" s="0" t="n">
        <f aca="false">W_PH(L$2,$A85)</f>
        <v>2015</v>
      </c>
      <c r="M85" s="0" t="n">
        <f aca="false">W_PH(M$2,$A85)</f>
        <v>2015</v>
      </c>
      <c r="N85" s="0" t="n">
        <f aca="false">W_PH(N$2,$A85)</f>
        <v>2015</v>
      </c>
      <c r="O85" s="0" t="n">
        <f aca="false">W_PH(O$2,$A85)</f>
        <v>2015</v>
      </c>
      <c r="P85" s="0" t="n">
        <f aca="false">W_PH(P$2,$A85)</f>
        <v>2015</v>
      </c>
      <c r="Q85" s="0" t="n">
        <f aca="false">W_PH(Q$2,$A85)</f>
        <v>2015</v>
      </c>
      <c r="R85" s="0" t="n">
        <f aca="false">W_PH(R$2,$A85)</f>
        <v>2015</v>
      </c>
      <c r="S85" s="0" t="n">
        <f aca="false">W_PH(S$2,$A85)</f>
        <v>2015</v>
      </c>
      <c r="T85" s="0" t="n">
        <f aca="false">W_PH(T$2,$A85)</f>
        <v>2015</v>
      </c>
      <c r="U85" s="0" t="n">
        <f aca="false">W_PH(U$2,$A85)</f>
        <v>2015</v>
      </c>
      <c r="V85" s="0" t="n">
        <f aca="false">W_PH(V$2,$A85)</f>
        <v>2015</v>
      </c>
      <c r="W85" s="0" t="n">
        <f aca="false">W_PH(W$2,$A85)</f>
        <v>2015</v>
      </c>
      <c r="X85" s="0" t="n">
        <f aca="false">W_PH(X$2,$A85)</f>
        <v>2015</v>
      </c>
      <c r="Y85" s="0" t="n">
        <f aca="false">W_PH(Y$2,$A85)</f>
        <v>2015</v>
      </c>
      <c r="Z85" s="0" t="n">
        <f aca="false">W_PH(Z$2,$A85)</f>
        <v>2015</v>
      </c>
      <c r="AA85" s="0" t="n">
        <f aca="false">W_PH(AA$2,$A85)</f>
        <v>2015</v>
      </c>
      <c r="AB85" s="0" t="n">
        <f aca="false">W_PH(AB$2,$A85)</f>
        <v>2015</v>
      </c>
      <c r="AC85" s="0" t="n">
        <f aca="false">W_PH(AC$2,$A85)</f>
        <v>2015</v>
      </c>
      <c r="AD85" s="0" t="n">
        <f aca="false">W_PH(AD$2,$A85)</f>
        <v>2015</v>
      </c>
      <c r="AE85" s="0" t="n">
        <f aca="false">W_PH(AE$2,$A85)</f>
        <v>2015</v>
      </c>
      <c r="AF85" s="0" t="n">
        <f aca="false">W_PH(AF$2,$A85)</f>
        <v>2015</v>
      </c>
      <c r="AG85" s="0" t="n">
        <f aca="false">W_PH(AG$2,$A85)</f>
        <v>2015</v>
      </c>
      <c r="AH85" s="0" t="n">
        <f aca="false">W_PH(AH$2,$A85)</f>
        <v>2015</v>
      </c>
      <c r="AI85" s="0" t="n">
        <f aca="false">W_PH(AI$2,$A85)</f>
        <v>2015</v>
      </c>
      <c r="AJ85" s="0" t="n">
        <f aca="false">W_PH(AJ$2,$A85)</f>
        <v>2015</v>
      </c>
      <c r="AK85" s="0" t="n">
        <f aca="false">W_PH(AK$2,$A85)</f>
        <v>2015</v>
      </c>
      <c r="AL85" s="0" t="n">
        <f aca="false">W_PH(AL$2,$A85)</f>
        <v>2015</v>
      </c>
      <c r="AM85" s="0" t="n">
        <f aca="false">W_PH(AM$2,$A85)</f>
        <v>2015</v>
      </c>
      <c r="AN85" s="0" t="n">
        <f aca="false">W_PH(AN$2,$A85)</f>
        <v>2015</v>
      </c>
      <c r="AO85" s="0" t="n">
        <f aca="false">W_PH(AO$2,$A85)</f>
        <v>2015</v>
      </c>
      <c r="AP85" s="0" t="n">
        <f aca="false">W_PH(AP$2,$A85)</f>
        <v>2015</v>
      </c>
      <c r="AQ85" s="0" t="n">
        <f aca="false">W_PH(AQ$2,$A85)</f>
        <v>396.851587519738</v>
      </c>
      <c r="AR85" s="0" t="n">
        <f aca="false">W_PH(AR$2,$A85)</f>
        <v>404.448050669371</v>
      </c>
      <c r="AS85" s="0" t="n">
        <f aca="false">W_PH(AS$2,$A85)</f>
        <v>408.285503882294</v>
      </c>
    </row>
    <row r="86" customFormat="false" ht="13.8" hidden="false" customHeight="false" outlineLevel="0" collapsed="false">
      <c r="A86" s="0" t="n">
        <v>2460</v>
      </c>
      <c r="B86" s="0" t="n">
        <f aca="false">W_PH(B$2,$A86)</f>
        <v>2015</v>
      </c>
      <c r="C86" s="0" t="n">
        <f aca="false">W_PH(C$2,$A86)</f>
        <v>2015</v>
      </c>
      <c r="D86" s="0" t="n">
        <f aca="false">W_PH(D$2,$A86)</f>
        <v>2015</v>
      </c>
      <c r="E86" s="0" t="n">
        <f aca="false">W_PH(E$2,$A86)</f>
        <v>2015</v>
      </c>
      <c r="F86" s="0" t="n">
        <f aca="false">W_PH(F$2,$A86)</f>
        <v>2015</v>
      </c>
      <c r="G86" s="0" t="n">
        <f aca="false">W_PH(G$2,$A86)</f>
        <v>2015</v>
      </c>
      <c r="H86" s="0" t="n">
        <f aca="false">W_PH(H$2,$A86)</f>
        <v>2015</v>
      </c>
      <c r="I86" s="0" t="n">
        <f aca="false">W_PH(I$2,$A86)</f>
        <v>2015</v>
      </c>
      <c r="J86" s="0" t="n">
        <f aca="false">W_PH(J$2,$A86)</f>
        <v>2015</v>
      </c>
      <c r="K86" s="0" t="n">
        <f aca="false">W_PH(K$2,$A86)</f>
        <v>2015</v>
      </c>
      <c r="L86" s="0" t="n">
        <f aca="false">W_PH(L$2,$A86)</f>
        <v>2015</v>
      </c>
      <c r="M86" s="0" t="n">
        <f aca="false">W_PH(M$2,$A86)</f>
        <v>2015</v>
      </c>
      <c r="N86" s="0" t="n">
        <f aca="false">W_PH(N$2,$A86)</f>
        <v>2015</v>
      </c>
      <c r="O86" s="0" t="n">
        <f aca="false">W_PH(O$2,$A86)</f>
        <v>2015</v>
      </c>
      <c r="P86" s="0" t="n">
        <f aca="false">W_PH(P$2,$A86)</f>
        <v>2015</v>
      </c>
      <c r="Q86" s="0" t="n">
        <f aca="false">W_PH(Q$2,$A86)</f>
        <v>2015</v>
      </c>
      <c r="R86" s="0" t="n">
        <f aca="false">W_PH(R$2,$A86)</f>
        <v>2015</v>
      </c>
      <c r="S86" s="0" t="n">
        <f aca="false">W_PH(S$2,$A86)</f>
        <v>2015</v>
      </c>
      <c r="T86" s="0" t="n">
        <f aca="false">W_PH(T$2,$A86)</f>
        <v>2015</v>
      </c>
      <c r="U86" s="0" t="n">
        <f aca="false">W_PH(U$2,$A86)</f>
        <v>2015</v>
      </c>
      <c r="V86" s="0" t="n">
        <f aca="false">W_PH(V$2,$A86)</f>
        <v>2015</v>
      </c>
      <c r="W86" s="0" t="n">
        <f aca="false">W_PH(W$2,$A86)</f>
        <v>2015</v>
      </c>
      <c r="X86" s="0" t="n">
        <f aca="false">W_PH(X$2,$A86)</f>
        <v>2015</v>
      </c>
      <c r="Y86" s="0" t="n">
        <f aca="false">W_PH(Y$2,$A86)</f>
        <v>2015</v>
      </c>
      <c r="Z86" s="0" t="n">
        <f aca="false">W_PH(Z$2,$A86)</f>
        <v>2015</v>
      </c>
      <c r="AA86" s="0" t="n">
        <f aca="false">W_PH(AA$2,$A86)</f>
        <v>2015</v>
      </c>
      <c r="AB86" s="0" t="n">
        <f aca="false">W_PH(AB$2,$A86)</f>
        <v>2015</v>
      </c>
      <c r="AC86" s="0" t="n">
        <f aca="false">W_PH(AC$2,$A86)</f>
        <v>2015</v>
      </c>
      <c r="AD86" s="0" t="n">
        <f aca="false">W_PH(AD$2,$A86)</f>
        <v>2015</v>
      </c>
      <c r="AE86" s="0" t="n">
        <f aca="false">W_PH(AE$2,$A86)</f>
        <v>2015</v>
      </c>
      <c r="AF86" s="0" t="n">
        <f aca="false">W_PH(AF$2,$A86)</f>
        <v>2015</v>
      </c>
      <c r="AG86" s="0" t="n">
        <f aca="false">W_PH(AG$2,$A86)</f>
        <v>2015</v>
      </c>
      <c r="AH86" s="0" t="n">
        <f aca="false">W_PH(AH$2,$A86)</f>
        <v>2015</v>
      </c>
      <c r="AI86" s="0" t="n">
        <f aca="false">W_PH(AI$2,$A86)</f>
        <v>2015</v>
      </c>
      <c r="AJ86" s="0" t="n">
        <f aca="false">W_PH(AJ$2,$A86)</f>
        <v>2015</v>
      </c>
      <c r="AK86" s="0" t="n">
        <f aca="false">W_PH(AK$2,$A86)</f>
        <v>2015</v>
      </c>
      <c r="AL86" s="0" t="n">
        <f aca="false">W_PH(AL$2,$A86)</f>
        <v>2015</v>
      </c>
      <c r="AM86" s="0" t="n">
        <f aca="false">W_PH(AM$2,$A86)</f>
        <v>2015</v>
      </c>
      <c r="AN86" s="0" t="n">
        <f aca="false">W_PH(AN$2,$A86)</f>
        <v>2015</v>
      </c>
      <c r="AO86" s="0" t="n">
        <f aca="false">W_PH(AO$2,$A86)</f>
        <v>2015</v>
      </c>
      <c r="AP86" s="0" t="n">
        <f aca="false">W_PH(AP$2,$A86)</f>
        <v>2015</v>
      </c>
      <c r="AQ86" s="0" t="n">
        <f aca="false">W_PH(AQ$2,$A86)</f>
        <v>400.049034290091</v>
      </c>
      <c r="AR86" s="0" t="n">
        <f aca="false">W_PH(AR$2,$A86)</f>
        <v>407.426928163969</v>
      </c>
      <c r="AS86" s="0" t="n">
        <f aca="false">W_PH(AS$2,$A86)</f>
        <v>411.146604997741</v>
      </c>
    </row>
    <row r="87" customFormat="false" ht="13.8" hidden="false" customHeight="false" outlineLevel="0" collapsed="false">
      <c r="A87" s="0" t="n">
        <v>2470</v>
      </c>
      <c r="B87" s="0" t="n">
        <f aca="false">W_PH(B$2,$A87)</f>
        <v>2015</v>
      </c>
      <c r="C87" s="0" t="n">
        <f aca="false">W_PH(C$2,$A87)</f>
        <v>2015</v>
      </c>
      <c r="D87" s="0" t="n">
        <f aca="false">W_PH(D$2,$A87)</f>
        <v>2015</v>
      </c>
      <c r="E87" s="0" t="n">
        <f aca="false">W_PH(E$2,$A87)</f>
        <v>2015</v>
      </c>
      <c r="F87" s="0" t="n">
        <f aca="false">W_PH(F$2,$A87)</f>
        <v>2015</v>
      </c>
      <c r="G87" s="0" t="n">
        <f aca="false">W_PH(G$2,$A87)</f>
        <v>2015</v>
      </c>
      <c r="H87" s="0" t="n">
        <f aca="false">W_PH(H$2,$A87)</f>
        <v>2015</v>
      </c>
      <c r="I87" s="0" t="n">
        <f aca="false">W_PH(I$2,$A87)</f>
        <v>2015</v>
      </c>
      <c r="J87" s="0" t="n">
        <f aca="false">W_PH(J$2,$A87)</f>
        <v>2015</v>
      </c>
      <c r="K87" s="0" t="n">
        <f aca="false">W_PH(K$2,$A87)</f>
        <v>2015</v>
      </c>
      <c r="L87" s="0" t="n">
        <f aca="false">W_PH(L$2,$A87)</f>
        <v>2015</v>
      </c>
      <c r="M87" s="0" t="n">
        <f aca="false">W_PH(M$2,$A87)</f>
        <v>2015</v>
      </c>
      <c r="N87" s="0" t="n">
        <f aca="false">W_PH(N$2,$A87)</f>
        <v>2015</v>
      </c>
      <c r="O87" s="0" t="n">
        <f aca="false">W_PH(O$2,$A87)</f>
        <v>2015</v>
      </c>
      <c r="P87" s="0" t="n">
        <f aca="false">W_PH(P$2,$A87)</f>
        <v>2015</v>
      </c>
      <c r="Q87" s="0" t="n">
        <f aca="false">W_PH(Q$2,$A87)</f>
        <v>2015</v>
      </c>
      <c r="R87" s="0" t="n">
        <f aca="false">W_PH(R$2,$A87)</f>
        <v>2015</v>
      </c>
      <c r="S87" s="0" t="n">
        <f aca="false">W_PH(S$2,$A87)</f>
        <v>2015</v>
      </c>
      <c r="T87" s="0" t="n">
        <f aca="false">W_PH(T$2,$A87)</f>
        <v>2015</v>
      </c>
      <c r="U87" s="0" t="n">
        <f aca="false">W_PH(U$2,$A87)</f>
        <v>2015</v>
      </c>
      <c r="V87" s="0" t="n">
        <f aca="false">W_PH(V$2,$A87)</f>
        <v>2015</v>
      </c>
      <c r="W87" s="0" t="n">
        <f aca="false">W_PH(W$2,$A87)</f>
        <v>2015</v>
      </c>
      <c r="X87" s="0" t="n">
        <f aca="false">W_PH(X$2,$A87)</f>
        <v>2015</v>
      </c>
      <c r="Y87" s="0" t="n">
        <f aca="false">W_PH(Y$2,$A87)</f>
        <v>2015</v>
      </c>
      <c r="Z87" s="0" t="n">
        <f aca="false">W_PH(Z$2,$A87)</f>
        <v>2015</v>
      </c>
      <c r="AA87" s="0" t="n">
        <f aca="false">W_PH(AA$2,$A87)</f>
        <v>2015</v>
      </c>
      <c r="AB87" s="0" t="n">
        <f aca="false">W_PH(AB$2,$A87)</f>
        <v>2015</v>
      </c>
      <c r="AC87" s="0" t="n">
        <f aca="false">W_PH(AC$2,$A87)</f>
        <v>2015</v>
      </c>
      <c r="AD87" s="0" t="n">
        <f aca="false">W_PH(AD$2,$A87)</f>
        <v>2015</v>
      </c>
      <c r="AE87" s="0" t="n">
        <f aca="false">W_PH(AE$2,$A87)</f>
        <v>2015</v>
      </c>
      <c r="AF87" s="0" t="n">
        <f aca="false">W_PH(AF$2,$A87)</f>
        <v>2015</v>
      </c>
      <c r="AG87" s="0" t="n">
        <f aca="false">W_PH(AG$2,$A87)</f>
        <v>2015</v>
      </c>
      <c r="AH87" s="0" t="n">
        <f aca="false">W_PH(AH$2,$A87)</f>
        <v>2015</v>
      </c>
      <c r="AI87" s="0" t="n">
        <f aca="false">W_PH(AI$2,$A87)</f>
        <v>2015</v>
      </c>
      <c r="AJ87" s="0" t="n">
        <f aca="false">W_PH(AJ$2,$A87)</f>
        <v>2015</v>
      </c>
      <c r="AK87" s="0" t="n">
        <f aca="false">W_PH(AK$2,$A87)</f>
        <v>2015</v>
      </c>
      <c r="AL87" s="0" t="n">
        <f aca="false">W_PH(AL$2,$A87)</f>
        <v>2015</v>
      </c>
      <c r="AM87" s="0" t="n">
        <f aca="false">W_PH(AM$2,$A87)</f>
        <v>2015</v>
      </c>
      <c r="AN87" s="0" t="n">
        <f aca="false">W_PH(AN$2,$A87)</f>
        <v>2015</v>
      </c>
      <c r="AO87" s="0" t="n">
        <f aca="false">W_PH(AO$2,$A87)</f>
        <v>2015</v>
      </c>
      <c r="AP87" s="0" t="n">
        <f aca="false">W_PH(AP$2,$A87)</f>
        <v>2015</v>
      </c>
      <c r="AQ87" s="0" t="n">
        <f aca="false">W_PH(AQ$2,$A87)</f>
        <v>403.242712304667</v>
      </c>
      <c r="AR87" s="0" t="n">
        <f aca="false">W_PH(AR$2,$A87)</f>
        <v>410.404803972968</v>
      </c>
      <c r="AS87" s="0" t="n">
        <f aca="false">W_PH(AS$2,$A87)</f>
        <v>414.009796597441</v>
      </c>
    </row>
    <row r="88" customFormat="false" ht="13.8" hidden="false" customHeight="false" outlineLevel="0" collapsed="false">
      <c r="A88" s="0" t="n">
        <v>2480</v>
      </c>
      <c r="B88" s="0" t="n">
        <f aca="false">W_PH(B$2,$A88)</f>
        <v>2015</v>
      </c>
      <c r="C88" s="0" t="n">
        <f aca="false">W_PH(C$2,$A88)</f>
        <v>2015</v>
      </c>
      <c r="D88" s="0" t="n">
        <f aca="false">W_PH(D$2,$A88)</f>
        <v>2015</v>
      </c>
      <c r="E88" s="0" t="n">
        <f aca="false">W_PH(E$2,$A88)</f>
        <v>2015</v>
      </c>
      <c r="F88" s="0" t="n">
        <f aca="false">W_PH(F$2,$A88)</f>
        <v>2015</v>
      </c>
      <c r="G88" s="0" t="n">
        <f aca="false">W_PH(G$2,$A88)</f>
        <v>2015</v>
      </c>
      <c r="H88" s="0" t="n">
        <f aca="false">W_PH(H$2,$A88)</f>
        <v>2015</v>
      </c>
      <c r="I88" s="0" t="n">
        <f aca="false">W_PH(I$2,$A88)</f>
        <v>2015</v>
      </c>
      <c r="J88" s="0" t="n">
        <f aca="false">W_PH(J$2,$A88)</f>
        <v>2015</v>
      </c>
      <c r="K88" s="0" t="n">
        <f aca="false">W_PH(K$2,$A88)</f>
        <v>2015</v>
      </c>
      <c r="L88" s="0" t="n">
        <f aca="false">W_PH(L$2,$A88)</f>
        <v>2015</v>
      </c>
      <c r="M88" s="0" t="n">
        <f aca="false">W_PH(M$2,$A88)</f>
        <v>2015</v>
      </c>
      <c r="N88" s="0" t="n">
        <f aca="false">W_PH(N$2,$A88)</f>
        <v>2015</v>
      </c>
      <c r="O88" s="0" t="n">
        <f aca="false">W_PH(O$2,$A88)</f>
        <v>2015</v>
      </c>
      <c r="P88" s="0" t="n">
        <f aca="false">W_PH(P$2,$A88)</f>
        <v>2015</v>
      </c>
      <c r="Q88" s="0" t="n">
        <f aca="false">W_PH(Q$2,$A88)</f>
        <v>2015</v>
      </c>
      <c r="R88" s="0" t="n">
        <f aca="false">W_PH(R$2,$A88)</f>
        <v>2015</v>
      </c>
      <c r="S88" s="0" t="n">
        <f aca="false">W_PH(S$2,$A88)</f>
        <v>2015</v>
      </c>
      <c r="T88" s="0" t="n">
        <f aca="false">W_PH(T$2,$A88)</f>
        <v>2015</v>
      </c>
      <c r="U88" s="0" t="n">
        <f aca="false">W_PH(U$2,$A88)</f>
        <v>2015</v>
      </c>
      <c r="V88" s="0" t="n">
        <f aca="false">W_PH(V$2,$A88)</f>
        <v>2015</v>
      </c>
      <c r="W88" s="0" t="n">
        <f aca="false">W_PH(W$2,$A88)</f>
        <v>2015</v>
      </c>
      <c r="X88" s="0" t="n">
        <f aca="false">W_PH(X$2,$A88)</f>
        <v>2015</v>
      </c>
      <c r="Y88" s="0" t="n">
        <f aca="false">W_PH(Y$2,$A88)</f>
        <v>2015</v>
      </c>
      <c r="Z88" s="0" t="n">
        <f aca="false">W_PH(Z$2,$A88)</f>
        <v>2015</v>
      </c>
      <c r="AA88" s="0" t="n">
        <f aca="false">W_PH(AA$2,$A88)</f>
        <v>2015</v>
      </c>
      <c r="AB88" s="0" t="n">
        <f aca="false">W_PH(AB$2,$A88)</f>
        <v>2015</v>
      </c>
      <c r="AC88" s="0" t="n">
        <f aca="false">W_PH(AC$2,$A88)</f>
        <v>2015</v>
      </c>
      <c r="AD88" s="0" t="n">
        <f aca="false">W_PH(AD$2,$A88)</f>
        <v>2015</v>
      </c>
      <c r="AE88" s="0" t="n">
        <f aca="false">W_PH(AE$2,$A88)</f>
        <v>2015</v>
      </c>
      <c r="AF88" s="0" t="n">
        <f aca="false">W_PH(AF$2,$A88)</f>
        <v>2015</v>
      </c>
      <c r="AG88" s="0" t="n">
        <f aca="false">W_PH(AG$2,$A88)</f>
        <v>2015</v>
      </c>
      <c r="AH88" s="0" t="n">
        <f aca="false">W_PH(AH$2,$A88)</f>
        <v>2015</v>
      </c>
      <c r="AI88" s="0" t="n">
        <f aca="false">W_PH(AI$2,$A88)</f>
        <v>2015</v>
      </c>
      <c r="AJ88" s="0" t="n">
        <f aca="false">W_PH(AJ$2,$A88)</f>
        <v>2015</v>
      </c>
      <c r="AK88" s="0" t="n">
        <f aca="false">W_PH(AK$2,$A88)</f>
        <v>2015</v>
      </c>
      <c r="AL88" s="0" t="n">
        <f aca="false">W_PH(AL$2,$A88)</f>
        <v>2015</v>
      </c>
      <c r="AM88" s="0" t="n">
        <f aca="false">W_PH(AM$2,$A88)</f>
        <v>2015</v>
      </c>
      <c r="AN88" s="0" t="n">
        <f aca="false">W_PH(AN$2,$A88)</f>
        <v>2015</v>
      </c>
      <c r="AO88" s="0" t="n">
        <f aca="false">W_PH(AO$2,$A88)</f>
        <v>2015</v>
      </c>
      <c r="AP88" s="0" t="n">
        <f aca="false">W_PH(AP$2,$A88)</f>
        <v>2015</v>
      </c>
      <c r="AQ88" s="0" t="n">
        <f aca="false">W_PH(AQ$2,$A88)</f>
        <v>406.430938442105</v>
      </c>
      <c r="AR88" s="0" t="n">
        <f aca="false">W_PH(AR$2,$A88)</f>
        <v>413.380118703307</v>
      </c>
      <c r="AS88" s="0" t="n">
        <f aca="false">W_PH(AS$2,$A88)</f>
        <v>416.87353113336</v>
      </c>
    </row>
    <row r="89" customFormat="false" ht="13.8" hidden="false" customHeight="false" outlineLevel="0" collapsed="false">
      <c r="A89" s="0" t="n">
        <v>2490</v>
      </c>
      <c r="B89" s="0" t="n">
        <f aca="false">W_PH(B$2,$A89)</f>
        <v>2015</v>
      </c>
      <c r="C89" s="0" t="n">
        <f aca="false">W_PH(C$2,$A89)</f>
        <v>2015</v>
      </c>
      <c r="D89" s="0" t="n">
        <f aca="false">W_PH(D$2,$A89)</f>
        <v>2015</v>
      </c>
      <c r="E89" s="0" t="n">
        <f aca="false">W_PH(E$2,$A89)</f>
        <v>2015</v>
      </c>
      <c r="F89" s="0" t="n">
        <f aca="false">W_PH(F$2,$A89)</f>
        <v>2015</v>
      </c>
      <c r="G89" s="0" t="n">
        <f aca="false">W_PH(G$2,$A89)</f>
        <v>2015</v>
      </c>
      <c r="H89" s="0" t="n">
        <f aca="false">W_PH(H$2,$A89)</f>
        <v>2015</v>
      </c>
      <c r="I89" s="0" t="n">
        <f aca="false">W_PH(I$2,$A89)</f>
        <v>2015</v>
      </c>
      <c r="J89" s="0" t="n">
        <f aca="false">W_PH(J$2,$A89)</f>
        <v>2015</v>
      </c>
      <c r="K89" s="0" t="n">
        <f aca="false">W_PH(K$2,$A89)</f>
        <v>2015</v>
      </c>
      <c r="L89" s="0" t="n">
        <f aca="false">W_PH(L$2,$A89)</f>
        <v>2015</v>
      </c>
      <c r="M89" s="0" t="n">
        <f aca="false">W_PH(M$2,$A89)</f>
        <v>2015</v>
      </c>
      <c r="N89" s="0" t="n">
        <f aca="false">W_PH(N$2,$A89)</f>
        <v>2015</v>
      </c>
      <c r="O89" s="0" t="n">
        <f aca="false">W_PH(O$2,$A89)</f>
        <v>2015</v>
      </c>
      <c r="P89" s="0" t="n">
        <f aca="false">W_PH(P$2,$A89)</f>
        <v>2015</v>
      </c>
      <c r="Q89" s="0" t="n">
        <f aca="false">W_PH(Q$2,$A89)</f>
        <v>2015</v>
      </c>
      <c r="R89" s="0" t="n">
        <f aca="false">W_PH(R$2,$A89)</f>
        <v>2015</v>
      </c>
      <c r="S89" s="0" t="n">
        <f aca="false">W_PH(S$2,$A89)</f>
        <v>2015</v>
      </c>
      <c r="T89" s="0" t="n">
        <f aca="false">W_PH(T$2,$A89)</f>
        <v>2015</v>
      </c>
      <c r="U89" s="0" t="n">
        <f aca="false">W_PH(U$2,$A89)</f>
        <v>2015</v>
      </c>
      <c r="V89" s="0" t="n">
        <f aca="false">W_PH(V$2,$A89)</f>
        <v>2015</v>
      </c>
      <c r="W89" s="0" t="n">
        <f aca="false">W_PH(W$2,$A89)</f>
        <v>2015</v>
      </c>
      <c r="X89" s="0" t="n">
        <f aca="false">W_PH(X$2,$A89)</f>
        <v>2015</v>
      </c>
      <c r="Y89" s="0" t="n">
        <f aca="false">W_PH(Y$2,$A89)</f>
        <v>2015</v>
      </c>
      <c r="Z89" s="0" t="n">
        <f aca="false">W_PH(Z$2,$A89)</f>
        <v>2015</v>
      </c>
      <c r="AA89" s="0" t="n">
        <f aca="false">W_PH(AA$2,$A89)</f>
        <v>2015</v>
      </c>
      <c r="AB89" s="0" t="n">
        <f aca="false">W_PH(AB$2,$A89)</f>
        <v>2015</v>
      </c>
      <c r="AC89" s="0" t="n">
        <f aca="false">W_PH(AC$2,$A89)</f>
        <v>2015</v>
      </c>
      <c r="AD89" s="0" t="n">
        <f aca="false">W_PH(AD$2,$A89)</f>
        <v>2015</v>
      </c>
      <c r="AE89" s="0" t="n">
        <f aca="false">W_PH(AE$2,$A89)</f>
        <v>2015</v>
      </c>
      <c r="AF89" s="0" t="n">
        <f aca="false">W_PH(AF$2,$A89)</f>
        <v>2015</v>
      </c>
      <c r="AG89" s="0" t="n">
        <f aca="false">W_PH(AG$2,$A89)</f>
        <v>2015</v>
      </c>
      <c r="AH89" s="0" t="n">
        <f aca="false">W_PH(AH$2,$A89)</f>
        <v>2015</v>
      </c>
      <c r="AI89" s="0" t="n">
        <f aca="false">W_PH(AI$2,$A89)</f>
        <v>2015</v>
      </c>
      <c r="AJ89" s="0" t="n">
        <f aca="false">W_PH(AJ$2,$A89)</f>
        <v>2015</v>
      </c>
      <c r="AK89" s="0" t="n">
        <f aca="false">W_PH(AK$2,$A89)</f>
        <v>2015</v>
      </c>
      <c r="AL89" s="0" t="n">
        <f aca="false">W_PH(AL$2,$A89)</f>
        <v>2015</v>
      </c>
      <c r="AM89" s="0" t="n">
        <f aca="false">W_PH(AM$2,$A89)</f>
        <v>2015</v>
      </c>
      <c r="AN89" s="0" t="n">
        <f aca="false">W_PH(AN$2,$A89)</f>
        <v>2015</v>
      </c>
      <c r="AO89" s="0" t="n">
        <f aca="false">W_PH(AO$2,$A89)</f>
        <v>2015</v>
      </c>
      <c r="AP89" s="0" t="n">
        <f aca="false">W_PH(AP$2,$A89)</f>
        <v>2015</v>
      </c>
      <c r="AQ89" s="0" t="n">
        <f aca="false">W_PH(AQ$2,$A89)</f>
        <v>409.612012281464</v>
      </c>
      <c r="AR89" s="0" t="n">
        <f aca="false">W_PH(AR$2,$A89)</f>
        <v>416.351380061683</v>
      </c>
      <c r="AS89" s="0" t="n">
        <f aca="false">W_PH(AS$2,$A89)</f>
        <v>419.736353775315</v>
      </c>
    </row>
    <row r="90" customFormat="false" ht="13.8" hidden="false" customHeight="false" outlineLevel="0" collapsed="false">
      <c r="A90" s="0" t="n">
        <v>2500</v>
      </c>
      <c r="B90" s="0" t="n">
        <f aca="false">W_PH(B$2,$A90)</f>
        <v>2015</v>
      </c>
      <c r="C90" s="0" t="n">
        <f aca="false">W_PH(C$2,$A90)</f>
        <v>2015</v>
      </c>
      <c r="D90" s="0" t="n">
        <f aca="false">W_PH(D$2,$A90)</f>
        <v>2015</v>
      </c>
      <c r="E90" s="0" t="n">
        <f aca="false">W_PH(E$2,$A90)</f>
        <v>2015</v>
      </c>
      <c r="F90" s="0" t="n">
        <f aca="false">W_PH(F$2,$A90)</f>
        <v>2015</v>
      </c>
      <c r="G90" s="0" t="n">
        <f aca="false">W_PH(G$2,$A90)</f>
        <v>2015</v>
      </c>
      <c r="H90" s="0" t="n">
        <f aca="false">W_PH(H$2,$A90)</f>
        <v>2015</v>
      </c>
      <c r="I90" s="0" t="n">
        <f aca="false">W_PH(I$2,$A90)</f>
        <v>2015</v>
      </c>
      <c r="J90" s="0" t="n">
        <f aca="false">W_PH(J$2,$A90)</f>
        <v>2015</v>
      </c>
      <c r="K90" s="0" t="n">
        <f aca="false">W_PH(K$2,$A90)</f>
        <v>2015</v>
      </c>
      <c r="L90" s="0" t="n">
        <f aca="false">W_PH(L$2,$A90)</f>
        <v>2015</v>
      </c>
      <c r="M90" s="0" t="n">
        <f aca="false">W_PH(M$2,$A90)</f>
        <v>2015</v>
      </c>
      <c r="N90" s="0" t="n">
        <f aca="false">W_PH(N$2,$A90)</f>
        <v>2015</v>
      </c>
      <c r="O90" s="0" t="n">
        <f aca="false">W_PH(O$2,$A90)</f>
        <v>2015</v>
      </c>
      <c r="P90" s="0" t="n">
        <f aca="false">W_PH(P$2,$A90)</f>
        <v>2015</v>
      </c>
      <c r="Q90" s="0" t="n">
        <f aca="false">W_PH(Q$2,$A90)</f>
        <v>2015</v>
      </c>
      <c r="R90" s="0" t="n">
        <f aca="false">W_PH(R$2,$A90)</f>
        <v>2015</v>
      </c>
      <c r="S90" s="0" t="n">
        <f aca="false">W_PH(S$2,$A90)</f>
        <v>2015</v>
      </c>
      <c r="T90" s="0" t="n">
        <f aca="false">W_PH(T$2,$A90)</f>
        <v>2015</v>
      </c>
      <c r="U90" s="0" t="n">
        <f aca="false">W_PH(U$2,$A90)</f>
        <v>2015</v>
      </c>
      <c r="V90" s="0" t="n">
        <f aca="false">W_PH(V$2,$A90)</f>
        <v>2015</v>
      </c>
      <c r="W90" s="0" t="n">
        <f aca="false">W_PH(W$2,$A90)</f>
        <v>2015</v>
      </c>
      <c r="X90" s="0" t="n">
        <f aca="false">W_PH(X$2,$A90)</f>
        <v>2015</v>
      </c>
      <c r="Y90" s="0" t="n">
        <f aca="false">W_PH(Y$2,$A90)</f>
        <v>2015</v>
      </c>
      <c r="Z90" s="0" t="n">
        <f aca="false">W_PH(Z$2,$A90)</f>
        <v>2015</v>
      </c>
      <c r="AA90" s="0" t="n">
        <f aca="false">W_PH(AA$2,$A90)</f>
        <v>2015</v>
      </c>
      <c r="AB90" s="0" t="n">
        <f aca="false">W_PH(AB$2,$A90)</f>
        <v>2015</v>
      </c>
      <c r="AC90" s="0" t="n">
        <f aca="false">W_PH(AC$2,$A90)</f>
        <v>2015</v>
      </c>
      <c r="AD90" s="0" t="n">
        <f aca="false">W_PH(AD$2,$A90)</f>
        <v>2015</v>
      </c>
      <c r="AE90" s="0" t="n">
        <f aca="false">W_PH(AE$2,$A90)</f>
        <v>2015</v>
      </c>
      <c r="AF90" s="0" t="n">
        <f aca="false">W_PH(AF$2,$A90)</f>
        <v>2015</v>
      </c>
      <c r="AG90" s="0" t="n">
        <f aca="false">W_PH(AG$2,$A90)</f>
        <v>2015</v>
      </c>
      <c r="AH90" s="0" t="n">
        <f aca="false">W_PH(AH$2,$A90)</f>
        <v>2015</v>
      </c>
      <c r="AI90" s="0" t="n">
        <f aca="false">W_PH(AI$2,$A90)</f>
        <v>2015</v>
      </c>
      <c r="AJ90" s="0" t="n">
        <f aca="false">W_PH(AJ$2,$A90)</f>
        <v>2015</v>
      </c>
      <c r="AK90" s="0" t="n">
        <f aca="false">W_PH(AK$2,$A90)</f>
        <v>2015</v>
      </c>
      <c r="AL90" s="0" t="n">
        <f aca="false">W_PH(AL$2,$A90)</f>
        <v>2015</v>
      </c>
      <c r="AM90" s="0" t="n">
        <f aca="false">W_PH(AM$2,$A90)</f>
        <v>2015</v>
      </c>
      <c r="AN90" s="0" t="n">
        <f aca="false">W_PH(AN$2,$A90)</f>
        <v>2015</v>
      </c>
      <c r="AO90" s="0" t="n">
        <f aca="false">W_PH(AO$2,$A90)</f>
        <v>2015</v>
      </c>
      <c r="AP90" s="0" t="n">
        <f aca="false">W_PH(AP$2,$A90)</f>
        <v>2015</v>
      </c>
      <c r="AQ90" s="0" t="n">
        <f aca="false">W_PH(AQ$2,$A90)</f>
        <v>412.784238013988</v>
      </c>
      <c r="AR90" s="0" t="n">
        <f aca="false">W_PH(AR$2,$A90)</f>
        <v>419.317179994718</v>
      </c>
      <c r="AS90" s="0" t="n">
        <f aca="false">W_PH(AS$2,$A90)</f>
        <v>422.596916758292</v>
      </c>
    </row>
    <row r="91" customFormat="false" ht="13.8" hidden="false" customHeight="false" outlineLevel="0" collapsed="false">
      <c r="A91" s="0" t="n">
        <v>2510</v>
      </c>
      <c r="B91" s="0" t="n">
        <f aca="false">W_PH(B$2,$A91)</f>
        <v>412.740348350359</v>
      </c>
      <c r="C91" s="0" t="n">
        <f aca="false">W_PH(C$2,$A91)</f>
        <v>412.65907183848</v>
      </c>
      <c r="D91" s="0" t="n">
        <f aca="false">W_PH(D$2,$A91)</f>
        <v>412.559560929866</v>
      </c>
      <c r="E91" s="0" t="n">
        <f aca="false">W_PH(E$2,$A91)</f>
        <v>2015</v>
      </c>
      <c r="F91" s="0" t="n">
        <f aca="false">W_PH(F$2,$A91)</f>
        <v>2015</v>
      </c>
      <c r="G91" s="0" t="n">
        <f aca="false">W_PH(G$2,$A91)</f>
        <v>2015</v>
      </c>
      <c r="H91" s="0" t="n">
        <f aca="false">W_PH(H$2,$A91)</f>
        <v>2015</v>
      </c>
      <c r="I91" s="0" t="n">
        <f aca="false">W_PH(I$2,$A91)</f>
        <v>2015</v>
      </c>
      <c r="J91" s="0" t="n">
        <f aca="false">W_PH(J$2,$A91)</f>
        <v>2015</v>
      </c>
      <c r="K91" s="0" t="n">
        <f aca="false">W_PH(K$2,$A91)</f>
        <v>2015</v>
      </c>
      <c r="L91" s="0" t="n">
        <f aca="false">W_PH(L$2,$A91)</f>
        <v>2015</v>
      </c>
      <c r="M91" s="0" t="n">
        <f aca="false">W_PH(M$2,$A91)</f>
        <v>2015</v>
      </c>
      <c r="N91" s="0" t="n">
        <f aca="false">W_PH(N$2,$A91)</f>
        <v>2015</v>
      </c>
      <c r="O91" s="0" t="n">
        <f aca="false">W_PH(O$2,$A91)</f>
        <v>2015</v>
      </c>
      <c r="P91" s="0" t="n">
        <f aca="false">W_PH(P$2,$A91)</f>
        <v>2015</v>
      </c>
      <c r="Q91" s="0" t="n">
        <f aca="false">W_PH(Q$2,$A91)</f>
        <v>2015</v>
      </c>
      <c r="R91" s="0" t="n">
        <f aca="false">W_PH(R$2,$A91)</f>
        <v>2015</v>
      </c>
      <c r="S91" s="0" t="n">
        <f aca="false">W_PH(S$2,$A91)</f>
        <v>2015</v>
      </c>
      <c r="T91" s="0" t="n">
        <f aca="false">W_PH(T$2,$A91)</f>
        <v>2015</v>
      </c>
      <c r="U91" s="0" t="n">
        <f aca="false">W_PH(U$2,$A91)</f>
        <v>2015</v>
      </c>
      <c r="V91" s="0" t="n">
        <f aca="false">W_PH(V$2,$A91)</f>
        <v>2015</v>
      </c>
      <c r="W91" s="0" t="n">
        <f aca="false">W_PH(W$2,$A91)</f>
        <v>2015</v>
      </c>
      <c r="X91" s="0" t="n">
        <f aca="false">W_PH(X$2,$A91)</f>
        <v>2015</v>
      </c>
      <c r="Y91" s="0" t="n">
        <f aca="false">W_PH(Y$2,$A91)</f>
        <v>2015</v>
      </c>
      <c r="Z91" s="0" t="n">
        <f aca="false">W_PH(Z$2,$A91)</f>
        <v>2015</v>
      </c>
      <c r="AA91" s="0" t="n">
        <f aca="false">W_PH(AA$2,$A91)</f>
        <v>2015</v>
      </c>
      <c r="AB91" s="0" t="n">
        <f aca="false">W_PH(AB$2,$A91)</f>
        <v>2015</v>
      </c>
      <c r="AC91" s="0" t="n">
        <f aca="false">W_PH(AC$2,$A91)</f>
        <v>2015</v>
      </c>
      <c r="AD91" s="0" t="n">
        <f aca="false">W_PH(AD$2,$A91)</f>
        <v>2015</v>
      </c>
      <c r="AE91" s="0" t="n">
        <f aca="false">W_PH(AE$2,$A91)</f>
        <v>2015</v>
      </c>
      <c r="AF91" s="0" t="n">
        <f aca="false">W_PH(AF$2,$A91)</f>
        <v>2015</v>
      </c>
      <c r="AG91" s="0" t="n">
        <f aca="false">W_PH(AG$2,$A91)</f>
        <v>2015</v>
      </c>
      <c r="AH91" s="0" t="n">
        <f aca="false">W_PH(AH$2,$A91)</f>
        <v>2015</v>
      </c>
      <c r="AI91" s="0" t="n">
        <f aca="false">W_PH(AI$2,$A91)</f>
        <v>2015</v>
      </c>
      <c r="AJ91" s="0" t="n">
        <f aca="false">W_PH(AJ$2,$A91)</f>
        <v>2015</v>
      </c>
      <c r="AK91" s="0" t="n">
        <f aca="false">W_PH(AK$2,$A91)</f>
        <v>2015</v>
      </c>
      <c r="AL91" s="0" t="n">
        <f aca="false">W_PH(AL$2,$A91)</f>
        <v>2015</v>
      </c>
      <c r="AM91" s="0" t="n">
        <f aca="false">W_PH(AM$2,$A91)</f>
        <v>2015</v>
      </c>
      <c r="AN91" s="0" t="n">
        <f aca="false">W_PH(AN$2,$A91)</f>
        <v>2015</v>
      </c>
      <c r="AO91" s="0" t="n">
        <f aca="false">W_PH(AO$2,$A91)</f>
        <v>2015</v>
      </c>
      <c r="AP91" s="0" t="n">
        <f aca="false">W_PH(AP$2,$A91)</f>
        <v>2015</v>
      </c>
      <c r="AQ91" s="0" t="n">
        <f aca="false">W_PH(AQ$2,$A91)</f>
        <v>415.945950994085</v>
      </c>
      <c r="AR91" s="0" t="n">
        <f aca="false">W_PH(AR$2,$A91)</f>
        <v>422.276214218695</v>
      </c>
      <c r="AS91" s="0" t="n">
        <f aca="false">W_PH(AS$2,$A91)</f>
        <v>425.45399565627</v>
      </c>
    </row>
    <row r="92" customFormat="false" ht="13.8" hidden="false" customHeight="false" outlineLevel="0" collapsed="false">
      <c r="A92" s="0" t="n">
        <v>2520</v>
      </c>
      <c r="B92" s="0" t="n">
        <f aca="false">W_PH(B$2,$A92)</f>
        <v>416.783465888996</v>
      </c>
      <c r="C92" s="0" t="n">
        <f aca="false">W_PH(C$2,$A92)</f>
        <v>416.751442689975</v>
      </c>
      <c r="D92" s="0" t="n">
        <f aca="false">W_PH(D$2,$A92)</f>
        <v>416.711619442525</v>
      </c>
      <c r="E92" s="0" t="n">
        <f aca="false">W_PH(E$2,$A92)</f>
        <v>416.663461144112</v>
      </c>
      <c r="F92" s="0" t="n">
        <f aca="false">W_PH(F$2,$A92)</f>
        <v>416.606467810742</v>
      </c>
      <c r="G92" s="0" t="n">
        <f aca="false">W_PH(G$2,$A92)</f>
        <v>2015</v>
      </c>
      <c r="H92" s="0" t="n">
        <f aca="false">W_PH(H$2,$A92)</f>
        <v>2015</v>
      </c>
      <c r="I92" s="0" t="n">
        <f aca="false">W_PH(I$2,$A92)</f>
        <v>2015</v>
      </c>
      <c r="J92" s="0" t="n">
        <f aca="false">W_PH(J$2,$A92)</f>
        <v>2015</v>
      </c>
      <c r="K92" s="0" t="n">
        <f aca="false">W_PH(K$2,$A92)</f>
        <v>2015</v>
      </c>
      <c r="L92" s="0" t="n">
        <f aca="false">W_PH(L$2,$A92)</f>
        <v>2015</v>
      </c>
      <c r="M92" s="0" t="n">
        <f aca="false">W_PH(M$2,$A92)</f>
        <v>2015</v>
      </c>
      <c r="N92" s="0" t="n">
        <f aca="false">W_PH(N$2,$A92)</f>
        <v>2015</v>
      </c>
      <c r="O92" s="0" t="n">
        <f aca="false">W_PH(O$2,$A92)</f>
        <v>2015</v>
      </c>
      <c r="P92" s="0" t="n">
        <f aca="false">W_PH(P$2,$A92)</f>
        <v>2015</v>
      </c>
      <c r="Q92" s="0" t="n">
        <f aca="false">W_PH(Q$2,$A92)</f>
        <v>2015</v>
      </c>
      <c r="R92" s="0" t="n">
        <f aca="false">W_PH(R$2,$A92)</f>
        <v>2015</v>
      </c>
      <c r="S92" s="0" t="n">
        <f aca="false">W_PH(S$2,$A92)</f>
        <v>2015</v>
      </c>
      <c r="T92" s="0" t="n">
        <f aca="false">W_PH(T$2,$A92)</f>
        <v>2015</v>
      </c>
      <c r="U92" s="0" t="n">
        <f aca="false">W_PH(U$2,$A92)</f>
        <v>2015</v>
      </c>
      <c r="V92" s="0" t="n">
        <f aca="false">W_PH(V$2,$A92)</f>
        <v>2015</v>
      </c>
      <c r="W92" s="0" t="n">
        <f aca="false">W_PH(W$2,$A92)</f>
        <v>2015</v>
      </c>
      <c r="X92" s="0" t="n">
        <f aca="false">W_PH(X$2,$A92)</f>
        <v>2015</v>
      </c>
      <c r="Y92" s="0" t="n">
        <f aca="false">W_PH(Y$2,$A92)</f>
        <v>2015</v>
      </c>
      <c r="Z92" s="0" t="n">
        <f aca="false">W_PH(Z$2,$A92)</f>
        <v>2015</v>
      </c>
      <c r="AA92" s="0" t="n">
        <f aca="false">W_PH(AA$2,$A92)</f>
        <v>2015</v>
      </c>
      <c r="AB92" s="0" t="n">
        <f aca="false">W_PH(AB$2,$A92)</f>
        <v>2015</v>
      </c>
      <c r="AC92" s="0" t="n">
        <f aca="false">W_PH(AC$2,$A92)</f>
        <v>2015</v>
      </c>
      <c r="AD92" s="0" t="n">
        <f aca="false">W_PH(AD$2,$A92)</f>
        <v>2015</v>
      </c>
      <c r="AE92" s="0" t="n">
        <f aca="false">W_PH(AE$2,$A92)</f>
        <v>2015</v>
      </c>
      <c r="AF92" s="0" t="n">
        <f aca="false">W_PH(AF$2,$A92)</f>
        <v>2015</v>
      </c>
      <c r="AG92" s="0" t="n">
        <f aca="false">W_PH(AG$2,$A92)</f>
        <v>2015</v>
      </c>
      <c r="AH92" s="0" t="n">
        <f aca="false">W_PH(AH$2,$A92)</f>
        <v>2015</v>
      </c>
      <c r="AI92" s="0" t="n">
        <f aca="false">W_PH(AI$2,$A92)</f>
        <v>2015</v>
      </c>
      <c r="AJ92" s="0" t="n">
        <f aca="false">W_PH(AJ$2,$A92)</f>
        <v>2015</v>
      </c>
      <c r="AK92" s="0" t="n">
        <f aca="false">W_PH(AK$2,$A92)</f>
        <v>2015</v>
      </c>
      <c r="AL92" s="0" t="n">
        <f aca="false">W_PH(AL$2,$A92)</f>
        <v>2015</v>
      </c>
      <c r="AM92" s="0" t="n">
        <f aca="false">W_PH(AM$2,$A92)</f>
        <v>2015</v>
      </c>
      <c r="AN92" s="0" t="n">
        <f aca="false">W_PH(AN$2,$A92)</f>
        <v>2015</v>
      </c>
      <c r="AO92" s="0" t="n">
        <f aca="false">W_PH(AO$2,$A92)</f>
        <v>2015</v>
      </c>
      <c r="AP92" s="0" t="n">
        <f aca="false">W_PH(AP$2,$A92)</f>
        <v>2015</v>
      </c>
      <c r="AQ92" s="0" t="n">
        <f aca="false">W_PH(AQ$2,$A92)</f>
        <v>419.09554945127</v>
      </c>
      <c r="AR92" s="0" t="n">
        <f aca="false">W_PH(AR$2,$A92)</f>
        <v>425.227304451982</v>
      </c>
      <c r="AS92" s="0" t="n">
        <f aca="false">W_PH(AS$2,$A92)</f>
        <v>428.306507850617</v>
      </c>
    </row>
    <row r="93" customFormat="false" ht="13.8" hidden="false" customHeight="false" outlineLevel="0" collapsed="false">
      <c r="A93" s="0" t="n">
        <v>2530</v>
      </c>
      <c r="B93" s="0" t="n">
        <f aca="false">W_PH(B$2,$A93)</f>
        <v>420.715334531304</v>
      </c>
      <c r="C93" s="0" t="n">
        <f aca="false">W_PH(C$2,$A93)</f>
        <v>420.703073103594</v>
      </c>
      <c r="D93" s="0" t="n">
        <f aca="false">W_PH(D$2,$A93)</f>
        <v>420.687509617893</v>
      </c>
      <c r="E93" s="0" t="n">
        <f aca="false">W_PH(E$2,$A93)</f>
        <v>420.668392282684</v>
      </c>
      <c r="F93" s="0" t="n">
        <f aca="false">W_PH(F$2,$A93)</f>
        <v>420.645478928082</v>
      </c>
      <c r="G93" s="0" t="n">
        <f aca="false">W_PH(G$2,$A93)</f>
        <v>2015</v>
      </c>
      <c r="H93" s="0" t="n">
        <f aca="false">W_PH(H$2,$A93)</f>
        <v>2015</v>
      </c>
      <c r="I93" s="0" t="n">
        <f aca="false">W_PH(I$2,$A93)</f>
        <v>2015</v>
      </c>
      <c r="J93" s="0" t="n">
        <f aca="false">W_PH(J$2,$A93)</f>
        <v>2015</v>
      </c>
      <c r="K93" s="0" t="n">
        <f aca="false">W_PH(K$2,$A93)</f>
        <v>2015</v>
      </c>
      <c r="L93" s="0" t="n">
        <f aca="false">W_PH(L$2,$A93)</f>
        <v>2015</v>
      </c>
      <c r="M93" s="0" t="n">
        <f aca="false">W_PH(M$2,$A93)</f>
        <v>2015</v>
      </c>
      <c r="N93" s="0" t="n">
        <f aca="false">W_PH(N$2,$A93)</f>
        <v>2015</v>
      </c>
      <c r="O93" s="0" t="n">
        <f aca="false">W_PH(O$2,$A93)</f>
        <v>2015</v>
      </c>
      <c r="P93" s="0" t="n">
        <f aca="false">W_PH(P$2,$A93)</f>
        <v>2015</v>
      </c>
      <c r="Q93" s="0" t="n">
        <f aca="false">W_PH(Q$2,$A93)</f>
        <v>2015</v>
      </c>
      <c r="R93" s="0" t="n">
        <f aca="false">W_PH(R$2,$A93)</f>
        <v>2015</v>
      </c>
      <c r="S93" s="0" t="n">
        <f aca="false">W_PH(S$2,$A93)</f>
        <v>2015</v>
      </c>
      <c r="T93" s="0" t="n">
        <f aca="false">W_PH(T$2,$A93)</f>
        <v>2015</v>
      </c>
      <c r="U93" s="0" t="n">
        <f aca="false">W_PH(U$2,$A93)</f>
        <v>2015</v>
      </c>
      <c r="V93" s="0" t="n">
        <f aca="false">W_PH(V$2,$A93)</f>
        <v>2015</v>
      </c>
      <c r="W93" s="0" t="n">
        <f aca="false">W_PH(W$2,$A93)</f>
        <v>2015</v>
      </c>
      <c r="X93" s="0" t="n">
        <f aca="false">W_PH(X$2,$A93)</f>
        <v>2015</v>
      </c>
      <c r="Y93" s="0" t="n">
        <f aca="false">W_PH(Y$2,$A93)</f>
        <v>2015</v>
      </c>
      <c r="Z93" s="0" t="n">
        <f aca="false">W_PH(Z$2,$A93)</f>
        <v>2015</v>
      </c>
      <c r="AA93" s="0" t="n">
        <f aca="false">W_PH(AA$2,$A93)</f>
        <v>2015</v>
      </c>
      <c r="AB93" s="0" t="n">
        <f aca="false">W_PH(AB$2,$A93)</f>
        <v>2015</v>
      </c>
      <c r="AC93" s="0" t="n">
        <f aca="false">W_PH(AC$2,$A93)</f>
        <v>2015</v>
      </c>
      <c r="AD93" s="0" t="n">
        <f aca="false">W_PH(AD$2,$A93)</f>
        <v>2015</v>
      </c>
      <c r="AE93" s="0" t="n">
        <f aca="false">W_PH(AE$2,$A93)</f>
        <v>2015</v>
      </c>
      <c r="AF93" s="0" t="n">
        <f aca="false">W_PH(AF$2,$A93)</f>
        <v>2015</v>
      </c>
      <c r="AG93" s="0" t="n">
        <f aca="false">W_PH(AG$2,$A93)</f>
        <v>2015</v>
      </c>
      <c r="AH93" s="0" t="n">
        <f aca="false">W_PH(AH$2,$A93)</f>
        <v>2015</v>
      </c>
      <c r="AI93" s="0" t="n">
        <f aca="false">W_PH(AI$2,$A93)</f>
        <v>2015</v>
      </c>
      <c r="AJ93" s="0" t="n">
        <f aca="false">W_PH(AJ$2,$A93)</f>
        <v>2015</v>
      </c>
      <c r="AK93" s="0" t="n">
        <f aca="false">W_PH(AK$2,$A93)</f>
        <v>2015</v>
      </c>
      <c r="AL93" s="0" t="n">
        <f aca="false">W_PH(AL$2,$A93)</f>
        <v>2015</v>
      </c>
      <c r="AM93" s="0" t="n">
        <f aca="false">W_PH(AM$2,$A93)</f>
        <v>2015</v>
      </c>
      <c r="AN93" s="0" t="n">
        <f aca="false">W_PH(AN$2,$A93)</f>
        <v>2015</v>
      </c>
      <c r="AO93" s="0" t="n">
        <f aca="false">W_PH(AO$2,$A93)</f>
        <v>2015</v>
      </c>
      <c r="AP93" s="0" t="n">
        <f aca="false">W_PH(AP$2,$A93)</f>
        <v>2015</v>
      </c>
      <c r="AQ93" s="0" t="n">
        <f aca="false">W_PH(AQ$2,$A93)</f>
        <v>422.231531940163</v>
      </c>
      <c r="AR93" s="0" t="n">
        <f aca="false">W_PH(AR$2,$A93)</f>
        <v>428.16942378486</v>
      </c>
      <c r="AS93" s="0" t="n">
        <f aca="false">W_PH(AS$2,$A93)</f>
        <v>431.153533583584</v>
      </c>
    </row>
    <row r="94" customFormat="false" ht="13.8" hidden="false" customHeight="false" outlineLevel="0" collapsed="false">
      <c r="A94" s="0" t="n">
        <v>2540</v>
      </c>
      <c r="B94" s="0" t="n">
        <f aca="false">W_PH(B$2,$A94)</f>
        <v>424.5792597143</v>
      </c>
      <c r="C94" s="0" t="n">
        <f aca="false">W_PH(C$2,$A94)</f>
        <v>424.5747355967</v>
      </c>
      <c r="D94" s="0" t="n">
        <f aca="false">W_PH(D$2,$A94)</f>
        <v>424.568816788005</v>
      </c>
      <c r="E94" s="0" t="n">
        <f aca="false">W_PH(E$2,$A94)</f>
        <v>424.561389588239</v>
      </c>
      <c r="F94" s="0" t="n">
        <f aca="false">W_PH(F$2,$A94)</f>
        <v>424.552343262657</v>
      </c>
      <c r="G94" s="0" t="n">
        <f aca="false">W_PH(G$2,$A94)</f>
        <v>424.350731151362</v>
      </c>
      <c r="H94" s="0" t="n">
        <f aca="false">W_PH(H$2,$A94)</f>
        <v>2015</v>
      </c>
      <c r="I94" s="0" t="n">
        <f aca="false">W_PH(I$2,$A94)</f>
        <v>2015</v>
      </c>
      <c r="J94" s="0" t="n">
        <f aca="false">W_PH(J$2,$A94)</f>
        <v>2015</v>
      </c>
      <c r="K94" s="0" t="n">
        <f aca="false">W_PH(K$2,$A94)</f>
        <v>2015</v>
      </c>
      <c r="L94" s="0" t="n">
        <f aca="false">W_PH(L$2,$A94)</f>
        <v>2015</v>
      </c>
      <c r="M94" s="0" t="n">
        <f aca="false">W_PH(M$2,$A94)</f>
        <v>2015</v>
      </c>
      <c r="N94" s="0" t="n">
        <f aca="false">W_PH(N$2,$A94)</f>
        <v>2015</v>
      </c>
      <c r="O94" s="0" t="n">
        <f aca="false">W_PH(O$2,$A94)</f>
        <v>2015</v>
      </c>
      <c r="P94" s="0" t="n">
        <f aca="false">W_PH(P$2,$A94)</f>
        <v>2015</v>
      </c>
      <c r="Q94" s="0" t="n">
        <f aca="false">W_PH(Q$2,$A94)</f>
        <v>2015</v>
      </c>
      <c r="R94" s="0" t="n">
        <f aca="false">W_PH(R$2,$A94)</f>
        <v>2015</v>
      </c>
      <c r="S94" s="0" t="n">
        <f aca="false">W_PH(S$2,$A94)</f>
        <v>2015</v>
      </c>
      <c r="T94" s="0" t="n">
        <f aca="false">W_PH(T$2,$A94)</f>
        <v>2015</v>
      </c>
      <c r="U94" s="0" t="n">
        <f aca="false">W_PH(U$2,$A94)</f>
        <v>2015</v>
      </c>
      <c r="V94" s="0" t="n">
        <f aca="false">W_PH(V$2,$A94)</f>
        <v>2015</v>
      </c>
      <c r="W94" s="0" t="n">
        <f aca="false">W_PH(W$2,$A94)</f>
        <v>2015</v>
      </c>
      <c r="X94" s="0" t="n">
        <f aca="false">W_PH(X$2,$A94)</f>
        <v>2015</v>
      </c>
      <c r="Y94" s="0" t="n">
        <f aca="false">W_PH(Y$2,$A94)</f>
        <v>2015</v>
      </c>
      <c r="Z94" s="0" t="n">
        <f aca="false">W_PH(Z$2,$A94)</f>
        <v>2015</v>
      </c>
      <c r="AA94" s="0" t="n">
        <f aca="false">W_PH(AA$2,$A94)</f>
        <v>2015</v>
      </c>
      <c r="AB94" s="0" t="n">
        <f aca="false">W_PH(AB$2,$A94)</f>
        <v>2015</v>
      </c>
      <c r="AC94" s="0" t="n">
        <f aca="false">W_PH(AC$2,$A94)</f>
        <v>2015</v>
      </c>
      <c r="AD94" s="0" t="n">
        <f aca="false">W_PH(AD$2,$A94)</f>
        <v>2015</v>
      </c>
      <c r="AE94" s="0" t="n">
        <f aca="false">W_PH(AE$2,$A94)</f>
        <v>2015</v>
      </c>
      <c r="AF94" s="0" t="n">
        <f aca="false">W_PH(AF$2,$A94)</f>
        <v>2015</v>
      </c>
      <c r="AG94" s="0" t="n">
        <f aca="false">W_PH(AG$2,$A94)</f>
        <v>2015</v>
      </c>
      <c r="AH94" s="0" t="n">
        <f aca="false">W_PH(AH$2,$A94)</f>
        <v>2015</v>
      </c>
      <c r="AI94" s="0" t="n">
        <f aca="false">W_PH(AI$2,$A94)</f>
        <v>2015</v>
      </c>
      <c r="AJ94" s="0" t="n">
        <f aca="false">W_PH(AJ$2,$A94)</f>
        <v>2015</v>
      </c>
      <c r="AK94" s="0" t="n">
        <f aca="false">W_PH(AK$2,$A94)</f>
        <v>2015</v>
      </c>
      <c r="AL94" s="0" t="n">
        <f aca="false">W_PH(AL$2,$A94)</f>
        <v>2015</v>
      </c>
      <c r="AM94" s="0" t="n">
        <f aca="false">W_PH(AM$2,$A94)</f>
        <v>2015</v>
      </c>
      <c r="AN94" s="0" t="n">
        <f aca="false">W_PH(AN$2,$A94)</f>
        <v>2015</v>
      </c>
      <c r="AO94" s="0" t="n">
        <f aca="false">W_PH(AO$2,$A94)</f>
        <v>2015</v>
      </c>
      <c r="AP94" s="0" t="n">
        <f aca="false">W_PH(AP$2,$A94)</f>
        <v>2015</v>
      </c>
      <c r="AQ94" s="0" t="n">
        <f aca="false">W_PH(AQ$2,$A94)</f>
        <v>425.352541205826</v>
      </c>
      <c r="AR94" s="0" t="n">
        <f aca="false">W_PH(AR$2,$A94)</f>
        <v>431.101725775202</v>
      </c>
      <c r="AS94" s="0" t="n">
        <f aca="false">W_PH(AS$2,$A94)</f>
        <v>433.99434013469</v>
      </c>
    </row>
    <row r="95" customFormat="false" ht="13.8" hidden="false" customHeight="false" outlineLevel="0" collapsed="false">
      <c r="A95" s="0" t="n">
        <v>2550</v>
      </c>
      <c r="B95" s="0" t="n">
        <f aca="false">W_PH(B$2,$A95)</f>
        <v>428.392679221634</v>
      </c>
      <c r="C95" s="0" t="n">
        <f aca="false">W_PH(C$2,$A95)</f>
        <v>428.391051283327</v>
      </c>
      <c r="D95" s="0" t="n">
        <f aca="false">W_PH(D$2,$A95)</f>
        <v>428.388834741566</v>
      </c>
      <c r="E95" s="0" t="n">
        <f aca="false">W_PH(E$2,$A95)</f>
        <v>428.385978909019</v>
      </c>
      <c r="F95" s="0" t="n">
        <f aca="false">W_PH(F$2,$A95)</f>
        <v>428.382434101514</v>
      </c>
      <c r="G95" s="0" t="n">
        <f aca="false">W_PH(G$2,$A95)</f>
        <v>428.298900916</v>
      </c>
      <c r="H95" s="0" t="n">
        <f aca="false">W_PH(H$2,$A95)</f>
        <v>428.099720230938</v>
      </c>
      <c r="I95" s="0" t="n">
        <f aca="false">W_PH(I$2,$A95)</f>
        <v>2015</v>
      </c>
      <c r="J95" s="0" t="n">
        <f aca="false">W_PH(J$2,$A95)</f>
        <v>2015</v>
      </c>
      <c r="K95" s="0" t="n">
        <f aca="false">W_PH(K$2,$A95)</f>
        <v>2015</v>
      </c>
      <c r="L95" s="0" t="n">
        <f aca="false">W_PH(L$2,$A95)</f>
        <v>2015</v>
      </c>
      <c r="M95" s="0" t="n">
        <f aca="false">W_PH(M$2,$A95)</f>
        <v>2015</v>
      </c>
      <c r="N95" s="0" t="n">
        <f aca="false">W_PH(N$2,$A95)</f>
        <v>2015</v>
      </c>
      <c r="O95" s="0" t="n">
        <f aca="false">W_PH(O$2,$A95)</f>
        <v>2015</v>
      </c>
      <c r="P95" s="0" t="n">
        <f aca="false">W_PH(P$2,$A95)</f>
        <v>2015</v>
      </c>
      <c r="Q95" s="0" t="n">
        <f aca="false">W_PH(Q$2,$A95)</f>
        <v>2015</v>
      </c>
      <c r="R95" s="0" t="n">
        <f aca="false">W_PH(R$2,$A95)</f>
        <v>2015</v>
      </c>
      <c r="S95" s="0" t="n">
        <f aca="false">W_PH(S$2,$A95)</f>
        <v>2015</v>
      </c>
      <c r="T95" s="0" t="n">
        <f aca="false">W_PH(T$2,$A95)</f>
        <v>2015</v>
      </c>
      <c r="U95" s="0" t="n">
        <f aca="false">W_PH(U$2,$A95)</f>
        <v>2015</v>
      </c>
      <c r="V95" s="0" t="n">
        <f aca="false">W_PH(V$2,$A95)</f>
        <v>2015</v>
      </c>
      <c r="W95" s="0" t="n">
        <f aca="false">W_PH(W$2,$A95)</f>
        <v>2015</v>
      </c>
      <c r="X95" s="0" t="n">
        <f aca="false">W_PH(X$2,$A95)</f>
        <v>2015</v>
      </c>
      <c r="Y95" s="0" t="n">
        <f aca="false">W_PH(Y$2,$A95)</f>
        <v>2015</v>
      </c>
      <c r="Z95" s="0" t="n">
        <f aca="false">W_PH(Z$2,$A95)</f>
        <v>2015</v>
      </c>
      <c r="AA95" s="0" t="n">
        <f aca="false">W_PH(AA$2,$A95)</f>
        <v>2015</v>
      </c>
      <c r="AB95" s="0" t="n">
        <f aca="false">W_PH(AB$2,$A95)</f>
        <v>2015</v>
      </c>
      <c r="AC95" s="0" t="n">
        <f aca="false">W_PH(AC$2,$A95)</f>
        <v>2015</v>
      </c>
      <c r="AD95" s="0" t="n">
        <f aca="false">W_PH(AD$2,$A95)</f>
        <v>2015</v>
      </c>
      <c r="AE95" s="0" t="n">
        <f aca="false">W_PH(AE$2,$A95)</f>
        <v>2015</v>
      </c>
      <c r="AF95" s="0" t="n">
        <f aca="false">W_PH(AF$2,$A95)</f>
        <v>2015</v>
      </c>
      <c r="AG95" s="0" t="n">
        <f aca="false">W_PH(AG$2,$A95)</f>
        <v>2015</v>
      </c>
      <c r="AH95" s="0" t="n">
        <f aca="false">W_PH(AH$2,$A95)</f>
        <v>2015</v>
      </c>
      <c r="AI95" s="0" t="n">
        <f aca="false">W_PH(AI$2,$A95)</f>
        <v>2015</v>
      </c>
      <c r="AJ95" s="0" t="n">
        <f aca="false">W_PH(AJ$2,$A95)</f>
        <v>2015</v>
      </c>
      <c r="AK95" s="0" t="n">
        <f aca="false">W_PH(AK$2,$A95)</f>
        <v>2015</v>
      </c>
      <c r="AL95" s="0" t="n">
        <f aca="false">W_PH(AL$2,$A95)</f>
        <v>2015</v>
      </c>
      <c r="AM95" s="0" t="n">
        <f aca="false">W_PH(AM$2,$A95)</f>
        <v>2015</v>
      </c>
      <c r="AN95" s="0" t="n">
        <f aca="false">W_PH(AN$2,$A95)</f>
        <v>2015</v>
      </c>
      <c r="AO95" s="0" t="n">
        <f aca="false">W_PH(AO$2,$A95)</f>
        <v>2015</v>
      </c>
      <c r="AP95" s="0" t="n">
        <f aca="false">W_PH(AP$2,$A95)</f>
        <v>2015</v>
      </c>
      <c r="AQ95" s="0" t="n">
        <f aca="false">W_PH(AQ$2,$A95)</f>
        <v>428.457415301194</v>
      </c>
      <c r="AR95" s="0" t="n">
        <f aca="false">W_PH(AR$2,$A95)</f>
        <v>434.023578048335</v>
      </c>
      <c r="AS95" s="0" t="n">
        <f aca="false">W_PH(AS$2,$A95)</f>
        <v>436.828409831767</v>
      </c>
    </row>
    <row r="96" customFormat="false" ht="13.8" hidden="false" customHeight="false" outlineLevel="0" collapsed="false">
      <c r="A96" s="0" t="n">
        <v>2560</v>
      </c>
      <c r="B96" s="0" t="n">
        <f aca="false">W_PH(B$2,$A96)</f>
        <v>432.162707938179</v>
      </c>
      <c r="C96" s="0" t="n">
        <f aca="false">W_PH(C$2,$A96)</f>
        <v>432.162060579544</v>
      </c>
      <c r="D96" s="0" t="n">
        <f aca="false">W_PH(D$2,$A96)</f>
        <v>432.161165571391</v>
      </c>
      <c r="E96" s="0" t="n">
        <f aca="false">W_PH(E$2,$A96)</f>
        <v>432.160000359925</v>
      </c>
      <c r="F96" s="0" t="n">
        <f aca="false">W_PH(F$2,$A96)</f>
        <v>432.158542753339</v>
      </c>
      <c r="G96" s="0" t="n">
        <f aca="false">W_PH(G$2,$A96)</f>
        <v>432.123263433591</v>
      </c>
      <c r="H96" s="0" t="n">
        <f aca="false">W_PH(H$2,$A96)</f>
        <v>432.037067007997</v>
      </c>
      <c r="I96" s="0" t="n">
        <f aca="false">W_PH(I$2,$A96)</f>
        <v>431.883963303368</v>
      </c>
      <c r="J96" s="0" t="n">
        <f aca="false">W_PH(J$2,$A96)</f>
        <v>2015</v>
      </c>
      <c r="K96" s="0" t="n">
        <f aca="false">W_PH(K$2,$A96)</f>
        <v>2015</v>
      </c>
      <c r="L96" s="0" t="n">
        <f aca="false">W_PH(L$2,$A96)</f>
        <v>2015</v>
      </c>
      <c r="M96" s="0" t="n">
        <f aca="false">W_PH(M$2,$A96)</f>
        <v>2015</v>
      </c>
      <c r="N96" s="0" t="n">
        <f aca="false">W_PH(N$2,$A96)</f>
        <v>2015</v>
      </c>
      <c r="O96" s="0" t="n">
        <f aca="false">W_PH(O$2,$A96)</f>
        <v>2015</v>
      </c>
      <c r="P96" s="0" t="n">
        <f aca="false">W_PH(P$2,$A96)</f>
        <v>2015</v>
      </c>
      <c r="Q96" s="0" t="n">
        <f aca="false">W_PH(Q$2,$A96)</f>
        <v>2015</v>
      </c>
      <c r="R96" s="0" t="n">
        <f aca="false">W_PH(R$2,$A96)</f>
        <v>2015</v>
      </c>
      <c r="S96" s="0" t="n">
        <f aca="false">W_PH(S$2,$A96)</f>
        <v>2015</v>
      </c>
      <c r="T96" s="0" t="n">
        <f aca="false">W_PH(T$2,$A96)</f>
        <v>2015</v>
      </c>
      <c r="U96" s="0" t="n">
        <f aca="false">W_PH(U$2,$A96)</f>
        <v>2015</v>
      </c>
      <c r="V96" s="0" t="n">
        <f aca="false">W_PH(V$2,$A96)</f>
        <v>2015</v>
      </c>
      <c r="W96" s="0" t="n">
        <f aca="false">W_PH(W$2,$A96)</f>
        <v>2015</v>
      </c>
      <c r="X96" s="0" t="n">
        <f aca="false">W_PH(X$2,$A96)</f>
        <v>2015</v>
      </c>
      <c r="Y96" s="0" t="n">
        <f aca="false">W_PH(Y$2,$A96)</f>
        <v>2015</v>
      </c>
      <c r="Z96" s="0" t="n">
        <f aca="false">W_PH(Z$2,$A96)</f>
        <v>2015</v>
      </c>
      <c r="AA96" s="0" t="n">
        <f aca="false">W_PH(AA$2,$A96)</f>
        <v>2015</v>
      </c>
      <c r="AB96" s="0" t="n">
        <f aca="false">W_PH(AB$2,$A96)</f>
        <v>2015</v>
      </c>
      <c r="AC96" s="0" t="n">
        <f aca="false">W_PH(AC$2,$A96)</f>
        <v>2015</v>
      </c>
      <c r="AD96" s="0" t="n">
        <f aca="false">W_PH(AD$2,$A96)</f>
        <v>2015</v>
      </c>
      <c r="AE96" s="0" t="n">
        <f aca="false">W_PH(AE$2,$A96)</f>
        <v>2015</v>
      </c>
      <c r="AF96" s="0" t="n">
        <f aca="false">W_PH(AF$2,$A96)</f>
        <v>2015</v>
      </c>
      <c r="AG96" s="0" t="n">
        <f aca="false">W_PH(AG$2,$A96)</f>
        <v>2015</v>
      </c>
      <c r="AH96" s="0" t="n">
        <f aca="false">W_PH(AH$2,$A96)</f>
        <v>2015</v>
      </c>
      <c r="AI96" s="0" t="n">
        <f aca="false">W_PH(AI$2,$A96)</f>
        <v>2015</v>
      </c>
      <c r="AJ96" s="0" t="n">
        <f aca="false">W_PH(AJ$2,$A96)</f>
        <v>2015</v>
      </c>
      <c r="AK96" s="0" t="n">
        <f aca="false">W_PH(AK$2,$A96)</f>
        <v>2015</v>
      </c>
      <c r="AL96" s="0" t="n">
        <f aca="false">W_PH(AL$2,$A96)</f>
        <v>2015</v>
      </c>
      <c r="AM96" s="0" t="n">
        <f aca="false">W_PH(AM$2,$A96)</f>
        <v>2015</v>
      </c>
      <c r="AN96" s="0" t="n">
        <f aca="false">W_PH(AN$2,$A96)</f>
        <v>2015</v>
      </c>
      <c r="AO96" s="0" t="n">
        <f aca="false">W_PH(AO$2,$A96)</f>
        <v>2015</v>
      </c>
      <c r="AP96" s="0" t="n">
        <f aca="false">W_PH(AP$2,$A96)</f>
        <v>2015</v>
      </c>
      <c r="AQ96" s="0" t="n">
        <f aca="false">W_PH(AQ$2,$A96)</f>
        <v>431.545247025666</v>
      </c>
      <c r="AR96" s="0" t="n">
        <f aca="false">W_PH(AR$2,$A96)</f>
        <v>436.934601408591</v>
      </c>
      <c r="AS96" s="0" t="n">
        <f aca="false">W_PH(AS$2,$A96)</f>
        <v>439.655472810983</v>
      </c>
    </row>
    <row r="97" customFormat="false" ht="13.8" hidden="false" customHeight="false" outlineLevel="0" collapsed="false">
      <c r="A97" s="0" t="n">
        <v>2570</v>
      </c>
      <c r="B97" s="0" t="n">
        <f aca="false">W_PH(B$2,$A97)</f>
        <v>435.892375183626</v>
      </c>
      <c r="C97" s="0" t="n">
        <f aca="false">W_PH(C$2,$A97)</f>
        <v>435.891977132376</v>
      </c>
      <c r="D97" s="0" t="n">
        <f aca="false">W_PH(D$2,$A97)</f>
        <v>435.891475795292</v>
      </c>
      <c r="E97" s="0" t="n">
        <f aca="false">W_PH(E$2,$A97)</f>
        <v>435.890861109582</v>
      </c>
      <c r="F97" s="0" t="n">
        <f aca="false">W_PH(F$2,$A97)</f>
        <v>435.890123148735</v>
      </c>
      <c r="G97" s="0" t="n">
        <f aca="false">W_PH(G$2,$A97)</f>
        <v>435.873876510042</v>
      </c>
      <c r="H97" s="0" t="n">
        <f aca="false">W_PH(H$2,$A97)</f>
        <v>435.83538781273</v>
      </c>
      <c r="I97" s="0" t="n">
        <f aca="false">W_PH(I$2,$A97)</f>
        <v>435.766961637929</v>
      </c>
      <c r="J97" s="0" t="n">
        <f aca="false">W_PH(J$2,$A97)</f>
        <v>435.662263534981</v>
      </c>
      <c r="K97" s="0" t="n">
        <f aca="false">W_PH(K$2,$A97)</f>
        <v>435.516331477104</v>
      </c>
      <c r="L97" s="0" t="n">
        <f aca="false">W_PH(L$2,$A97)</f>
        <v>2015</v>
      </c>
      <c r="M97" s="0" t="n">
        <f aca="false">W_PH(M$2,$A97)</f>
        <v>2015</v>
      </c>
      <c r="N97" s="0" t="n">
        <f aca="false">W_PH(N$2,$A97)</f>
        <v>2015</v>
      </c>
      <c r="O97" s="0" t="n">
        <f aca="false">W_PH(O$2,$A97)</f>
        <v>2015</v>
      </c>
      <c r="P97" s="0" t="n">
        <f aca="false">W_PH(P$2,$A97)</f>
        <v>2015</v>
      </c>
      <c r="Q97" s="0" t="n">
        <f aca="false">W_PH(Q$2,$A97)</f>
        <v>2015</v>
      </c>
      <c r="R97" s="0" t="n">
        <f aca="false">W_PH(R$2,$A97)</f>
        <v>2015</v>
      </c>
      <c r="S97" s="0" t="n">
        <f aca="false">W_PH(S$2,$A97)</f>
        <v>2015</v>
      </c>
      <c r="T97" s="0" t="n">
        <f aca="false">W_PH(T$2,$A97)</f>
        <v>2015</v>
      </c>
      <c r="U97" s="0" t="n">
        <f aca="false">W_PH(U$2,$A97)</f>
        <v>2015</v>
      </c>
      <c r="V97" s="0" t="n">
        <f aca="false">W_PH(V$2,$A97)</f>
        <v>2015</v>
      </c>
      <c r="W97" s="0" t="n">
        <f aca="false">W_PH(W$2,$A97)</f>
        <v>2015</v>
      </c>
      <c r="X97" s="0" t="n">
        <f aca="false">W_PH(X$2,$A97)</f>
        <v>2015</v>
      </c>
      <c r="Y97" s="0" t="n">
        <f aca="false">W_PH(Y$2,$A97)</f>
        <v>2015</v>
      </c>
      <c r="Z97" s="0" t="n">
        <f aca="false">W_PH(Z$2,$A97)</f>
        <v>2015</v>
      </c>
      <c r="AA97" s="0" t="n">
        <f aca="false">W_PH(AA$2,$A97)</f>
        <v>2015</v>
      </c>
      <c r="AB97" s="0" t="n">
        <f aca="false">W_PH(AB$2,$A97)</f>
        <v>2015</v>
      </c>
      <c r="AC97" s="0" t="n">
        <f aca="false">W_PH(AC$2,$A97)</f>
        <v>2015</v>
      </c>
      <c r="AD97" s="0" t="n">
        <f aca="false">W_PH(AD$2,$A97)</f>
        <v>2015</v>
      </c>
      <c r="AE97" s="0" t="n">
        <f aca="false">W_PH(AE$2,$A97)</f>
        <v>2015</v>
      </c>
      <c r="AF97" s="0" t="n">
        <f aca="false">W_PH(AF$2,$A97)</f>
        <v>2015</v>
      </c>
      <c r="AG97" s="0" t="n">
        <f aca="false">W_PH(AG$2,$A97)</f>
        <v>2015</v>
      </c>
      <c r="AH97" s="0" t="n">
        <f aca="false">W_PH(AH$2,$A97)</f>
        <v>2015</v>
      </c>
      <c r="AI97" s="0" t="n">
        <f aca="false">W_PH(AI$2,$A97)</f>
        <v>2015</v>
      </c>
      <c r="AJ97" s="0" t="n">
        <f aca="false">W_PH(AJ$2,$A97)</f>
        <v>2015</v>
      </c>
      <c r="AK97" s="0" t="n">
        <f aca="false">W_PH(AK$2,$A97)</f>
        <v>2015</v>
      </c>
      <c r="AL97" s="0" t="n">
        <f aca="false">W_PH(AL$2,$A97)</f>
        <v>2015</v>
      </c>
      <c r="AM97" s="0" t="n">
        <f aca="false">W_PH(AM$2,$A97)</f>
        <v>2015</v>
      </c>
      <c r="AN97" s="0" t="n">
        <f aca="false">W_PH(AN$2,$A97)</f>
        <v>2015</v>
      </c>
      <c r="AO97" s="0" t="n">
        <f aca="false">W_PH(AO$2,$A97)</f>
        <v>2015</v>
      </c>
      <c r="AP97" s="0" t="n">
        <f aca="false">W_PH(AP$2,$A97)</f>
        <v>2015</v>
      </c>
      <c r="AQ97" s="0" t="n">
        <f aca="false">W_PH(AQ$2,$A97)</f>
        <v>434.61545307066</v>
      </c>
      <c r="AR97" s="0" t="n">
        <f aca="false">W_PH(AR$2,$A97)</f>
        <v>439.834715740634</v>
      </c>
      <c r="AS97" s="0" t="n">
        <f aca="false">W_PH(AS$2,$A97)</f>
        <v>442.475545672072</v>
      </c>
    </row>
    <row r="98" customFormat="false" ht="13.8" hidden="false" customHeight="false" outlineLevel="0" collapsed="false">
      <c r="A98" s="0" t="n">
        <v>2580</v>
      </c>
      <c r="B98" s="0" t="n">
        <f aca="false">W_PH(B$2,$A98)</f>
        <v>439.58311634768</v>
      </c>
      <c r="C98" s="0" t="n">
        <f aca="false">W_PH(C$2,$A98)</f>
        <v>439.582710522485</v>
      </c>
      <c r="D98" s="0" t="n">
        <f aca="false">W_PH(D$2,$A98)</f>
        <v>439.58226245793</v>
      </c>
      <c r="E98" s="0" t="n">
        <f aca="false">W_PH(E$2,$A98)</f>
        <v>439.581767642818</v>
      </c>
      <c r="F98" s="0" t="n">
        <f aca="false">W_PH(F$2,$A98)</f>
        <v>439.58122161875</v>
      </c>
      <c r="G98" s="0" t="n">
        <f aca="false">W_PH(G$2,$A98)</f>
        <v>439.57200137057</v>
      </c>
      <c r="H98" s="0" t="n">
        <f aca="false">W_PH(H$2,$A98)</f>
        <v>439.55314057813</v>
      </c>
      <c r="I98" s="0" t="n">
        <f aca="false">W_PH(I$2,$A98)</f>
        <v>439.521024831229</v>
      </c>
      <c r="J98" s="0" t="n">
        <f aca="false">W_PH(J$2,$A98)</f>
        <v>439.472536173605</v>
      </c>
      <c r="K98" s="0" t="n">
        <f aca="false">W_PH(K$2,$A98)</f>
        <v>439.405044455173</v>
      </c>
      <c r="L98" s="0" t="n">
        <f aca="false">W_PH(L$2,$A98)</f>
        <v>439.316398955815</v>
      </c>
      <c r="M98" s="0" t="n">
        <f aca="false">W_PH(M$2,$A98)</f>
        <v>439.204918329372</v>
      </c>
      <c r="N98" s="0" t="n">
        <f aca="false">W_PH(N$2,$A98)</f>
        <v>2015</v>
      </c>
      <c r="O98" s="0" t="n">
        <f aca="false">W_PH(O$2,$A98)</f>
        <v>2015</v>
      </c>
      <c r="P98" s="0" t="n">
        <f aca="false">W_PH(P$2,$A98)</f>
        <v>2015</v>
      </c>
      <c r="Q98" s="0" t="n">
        <f aca="false">W_PH(Q$2,$A98)</f>
        <v>2015</v>
      </c>
      <c r="R98" s="0" t="n">
        <f aca="false">W_PH(R$2,$A98)</f>
        <v>2015</v>
      </c>
      <c r="S98" s="0" t="n">
        <f aca="false">W_PH(S$2,$A98)</f>
        <v>2015</v>
      </c>
      <c r="T98" s="0" t="n">
        <f aca="false">W_PH(T$2,$A98)</f>
        <v>2015</v>
      </c>
      <c r="U98" s="0" t="n">
        <f aca="false">W_PH(U$2,$A98)</f>
        <v>2015</v>
      </c>
      <c r="V98" s="0" t="n">
        <f aca="false">W_PH(V$2,$A98)</f>
        <v>2015</v>
      </c>
      <c r="W98" s="0" t="n">
        <f aca="false">W_PH(W$2,$A98)</f>
        <v>2015</v>
      </c>
      <c r="X98" s="0" t="n">
        <f aca="false">W_PH(X$2,$A98)</f>
        <v>2015</v>
      </c>
      <c r="Y98" s="0" t="n">
        <f aca="false">W_PH(Y$2,$A98)</f>
        <v>2015</v>
      </c>
      <c r="Z98" s="0" t="n">
        <f aca="false">W_PH(Z$2,$A98)</f>
        <v>2015</v>
      </c>
      <c r="AA98" s="0" t="n">
        <f aca="false">W_PH(AA$2,$A98)</f>
        <v>2015</v>
      </c>
      <c r="AB98" s="0" t="n">
        <f aca="false">W_PH(AB$2,$A98)</f>
        <v>2015</v>
      </c>
      <c r="AC98" s="0" t="n">
        <f aca="false">W_PH(AC$2,$A98)</f>
        <v>2015</v>
      </c>
      <c r="AD98" s="0" t="n">
        <f aca="false">W_PH(AD$2,$A98)</f>
        <v>2015</v>
      </c>
      <c r="AE98" s="0" t="n">
        <f aca="false">W_PH(AE$2,$A98)</f>
        <v>2015</v>
      </c>
      <c r="AF98" s="0" t="n">
        <f aca="false">W_PH(AF$2,$A98)</f>
        <v>2015</v>
      </c>
      <c r="AG98" s="0" t="n">
        <f aca="false">W_PH(AG$2,$A98)</f>
        <v>2015</v>
      </c>
      <c r="AH98" s="0" t="n">
        <f aca="false">W_PH(AH$2,$A98)</f>
        <v>2015</v>
      </c>
      <c r="AI98" s="0" t="n">
        <f aca="false">W_PH(AI$2,$A98)</f>
        <v>2015</v>
      </c>
      <c r="AJ98" s="0" t="n">
        <f aca="false">W_PH(AJ$2,$A98)</f>
        <v>2015</v>
      </c>
      <c r="AK98" s="0" t="n">
        <f aca="false">W_PH(AK$2,$A98)</f>
        <v>2015</v>
      </c>
      <c r="AL98" s="0" t="n">
        <f aca="false">W_PH(AL$2,$A98)</f>
        <v>2015</v>
      </c>
      <c r="AM98" s="0" t="n">
        <f aca="false">W_PH(AM$2,$A98)</f>
        <v>2015</v>
      </c>
      <c r="AN98" s="0" t="n">
        <f aca="false">W_PH(AN$2,$A98)</f>
        <v>2015</v>
      </c>
      <c r="AO98" s="0" t="n">
        <f aca="false">W_PH(AO$2,$A98)</f>
        <v>2015</v>
      </c>
      <c r="AP98" s="0" t="n">
        <f aca="false">W_PH(AP$2,$A98)</f>
        <v>2015</v>
      </c>
      <c r="AQ98" s="0" t="n">
        <f aca="false">W_PH(AQ$2,$A98)</f>
        <v>437.667854666969</v>
      </c>
      <c r="AR98" s="0" t="n">
        <f aca="false">W_PH(AR$2,$A98)</f>
        <v>442.724194292116</v>
      </c>
      <c r="AS98" s="0" t="n">
        <f aca="false">W_PH(AS$2,$A98)</f>
        <v>445.288977437232</v>
      </c>
    </row>
    <row r="99" customFormat="false" ht="13.8" hidden="false" customHeight="false" outlineLevel="0" collapsed="false">
      <c r="A99" s="0" t="n">
        <v>2590</v>
      </c>
      <c r="B99" s="0" t="n">
        <f aca="false">W_PH(B$2,$A99)</f>
        <v>443.235766076593</v>
      </c>
      <c r="C99" s="0" t="n">
        <f aca="false">W_PH(C$2,$A99)</f>
        <v>443.235280423967</v>
      </c>
      <c r="D99" s="0" t="n">
        <f aca="false">W_PH(D$2,$A99)</f>
        <v>443.234778188908</v>
      </c>
      <c r="E99" s="0" t="n">
        <f aca="false">W_PH(E$2,$A99)</f>
        <v>443.234257337353</v>
      </c>
      <c r="F99" s="0" t="n">
        <f aca="false">W_PH(F$2,$A99)</f>
        <v>443.233715856127</v>
      </c>
      <c r="G99" s="0" t="n">
        <f aca="false">W_PH(G$2,$A99)</f>
        <v>443.226738246777</v>
      </c>
      <c r="H99" s="0" t="n">
        <f aca="false">W_PH(H$2,$A99)</f>
        <v>443.215634552838</v>
      </c>
      <c r="I99" s="0" t="n">
        <f aca="false">W_PH(I$2,$A99)</f>
        <v>443.198721921285</v>
      </c>
      <c r="J99" s="0" t="n">
        <f aca="false">W_PH(J$2,$A99)</f>
        <v>443.174508086418</v>
      </c>
      <c r="K99" s="0" t="n">
        <f aca="false">W_PH(K$2,$A99)</f>
        <v>443.141684887443</v>
      </c>
      <c r="L99" s="0" t="n">
        <f aca="false">W_PH(L$2,$A99)</f>
        <v>443.099122346696</v>
      </c>
      <c r="M99" s="0" t="n">
        <f aca="false">W_PH(M$2,$A99)</f>
        <v>443.045862936659</v>
      </c>
      <c r="N99" s="0" t="n">
        <f aca="false">W_PH(N$2,$A99)</f>
        <v>442.981115745318</v>
      </c>
      <c r="O99" s="0" t="n">
        <f aca="false">W_PH(O$2,$A99)</f>
        <v>442.904250322402</v>
      </c>
      <c r="P99" s="0" t="n">
        <f aca="false">W_PH(P$2,$A99)</f>
        <v>2015</v>
      </c>
      <c r="Q99" s="0" t="n">
        <f aca="false">W_PH(Q$2,$A99)</f>
        <v>2015</v>
      </c>
      <c r="R99" s="0" t="n">
        <f aca="false">W_PH(R$2,$A99)</f>
        <v>2015</v>
      </c>
      <c r="S99" s="0" t="n">
        <f aca="false">W_PH(S$2,$A99)</f>
        <v>2015</v>
      </c>
      <c r="T99" s="0" t="n">
        <f aca="false">W_PH(T$2,$A99)</f>
        <v>2015</v>
      </c>
      <c r="U99" s="0" t="n">
        <f aca="false">W_PH(U$2,$A99)</f>
        <v>2015</v>
      </c>
      <c r="V99" s="0" t="n">
        <f aca="false">W_PH(V$2,$A99)</f>
        <v>2015</v>
      </c>
      <c r="W99" s="0" t="n">
        <f aca="false">W_PH(W$2,$A99)</f>
        <v>2015</v>
      </c>
      <c r="X99" s="0" t="n">
        <f aca="false">W_PH(X$2,$A99)</f>
        <v>2015</v>
      </c>
      <c r="Y99" s="0" t="n">
        <f aca="false">W_PH(Y$2,$A99)</f>
        <v>2015</v>
      </c>
      <c r="Z99" s="0" t="n">
        <f aca="false">W_PH(Z$2,$A99)</f>
        <v>2015</v>
      </c>
      <c r="AA99" s="0" t="n">
        <f aca="false">W_PH(AA$2,$A99)</f>
        <v>2015</v>
      </c>
      <c r="AB99" s="0" t="n">
        <f aca="false">W_PH(AB$2,$A99)</f>
        <v>2015</v>
      </c>
      <c r="AC99" s="0" t="n">
        <f aca="false">W_PH(AC$2,$A99)</f>
        <v>2015</v>
      </c>
      <c r="AD99" s="0" t="n">
        <f aca="false">W_PH(AD$2,$A99)</f>
        <v>2015</v>
      </c>
      <c r="AE99" s="0" t="n">
        <f aca="false">W_PH(AE$2,$A99)</f>
        <v>2015</v>
      </c>
      <c r="AF99" s="0" t="n">
        <f aca="false">W_PH(AF$2,$A99)</f>
        <v>2015</v>
      </c>
      <c r="AG99" s="0" t="n">
        <f aca="false">W_PH(AG$2,$A99)</f>
        <v>2015</v>
      </c>
      <c r="AH99" s="0" t="n">
        <f aca="false">W_PH(AH$2,$A99)</f>
        <v>2015</v>
      </c>
      <c r="AI99" s="0" t="n">
        <f aca="false">W_PH(AI$2,$A99)</f>
        <v>2015</v>
      </c>
      <c r="AJ99" s="0" t="n">
        <f aca="false">W_PH(AJ$2,$A99)</f>
        <v>2015</v>
      </c>
      <c r="AK99" s="0" t="n">
        <f aca="false">W_PH(AK$2,$A99)</f>
        <v>2015</v>
      </c>
      <c r="AL99" s="0" t="n">
        <f aca="false">W_PH(AL$2,$A99)</f>
        <v>2015</v>
      </c>
      <c r="AM99" s="0" t="n">
        <f aca="false">W_PH(AM$2,$A99)</f>
        <v>2015</v>
      </c>
      <c r="AN99" s="0" t="n">
        <f aca="false">W_PH(AN$2,$A99)</f>
        <v>2015</v>
      </c>
      <c r="AO99" s="0" t="n">
        <f aca="false">W_PH(AO$2,$A99)</f>
        <v>2015</v>
      </c>
      <c r="AP99" s="0" t="n">
        <f aca="false">W_PH(AP$2,$A99)</f>
        <v>2015</v>
      </c>
      <c r="AQ99" s="0" t="n">
        <f aca="false">W_PH(AQ$2,$A99)</f>
        <v>440.702772035628</v>
      </c>
      <c r="AR99" s="0" t="n">
        <f aca="false">W_PH(AR$2,$A99)</f>
        <v>445.603728285934</v>
      </c>
      <c r="AS99" s="0" t="n">
        <f aca="false">W_PH(AS$2,$A99)</f>
        <v>448.096504515111</v>
      </c>
    </row>
    <row r="100" customFormat="false" ht="13.8" hidden="false" customHeight="false" outlineLevel="0" collapsed="false">
      <c r="A100" s="0" t="n">
        <v>2600</v>
      </c>
      <c r="B100" s="0" t="n">
        <f aca="false">W_PH(B$2,$A100)</f>
        <v>446.850951112544</v>
      </c>
      <c r="C100" s="0" t="n">
        <f aca="false">W_PH(C$2,$A100)</f>
        <v>446.85038158302</v>
      </c>
      <c r="D100" s="0" t="n">
        <f aca="false">W_PH(D$2,$A100)</f>
        <v>446.849806097222</v>
      </c>
      <c r="E100" s="0" t="n">
        <f aca="false">W_PH(E$2,$A100)</f>
        <v>446.849223732275</v>
      </c>
      <c r="F100" s="0" t="n">
        <f aca="false">W_PH(F$2,$A100)</f>
        <v>446.848633573705</v>
      </c>
      <c r="G100" s="0" t="n">
        <f aca="false">W_PH(G$2,$A100)</f>
        <v>446.842108076748</v>
      </c>
      <c r="H100" s="0" t="n">
        <f aca="false">W_PH(H$2,$A100)</f>
        <v>446.833858092583</v>
      </c>
      <c r="I100" s="0" t="n">
        <f aca="false">W_PH(I$2,$A100)</f>
        <v>446.823101538765</v>
      </c>
      <c r="J100" s="0" t="n">
        <f aca="false">W_PH(J$2,$A100)</f>
        <v>446.809132099699</v>
      </c>
      <c r="K100" s="0" t="n">
        <f aca="false">W_PH(K$2,$A100)</f>
        <v>446.791316024019</v>
      </c>
      <c r="L100" s="0" t="n">
        <f aca="false">W_PH(L$2,$A100)</f>
        <v>446.76908915605</v>
      </c>
      <c r="M100" s="0" t="n">
        <f aca="false">W_PH(M$2,$A100)</f>
        <v>446.741954128184</v>
      </c>
      <c r="N100" s="0" t="n">
        <f aca="false">W_PH(N$2,$A100)</f>
        <v>446.709477654955</v>
      </c>
      <c r="O100" s="0" t="n">
        <f aca="false">W_PH(O$2,$A100)</f>
        <v>446.671287881866</v>
      </c>
      <c r="P100" s="0" t="n">
        <f aca="false">W_PH(P$2,$A100)</f>
        <v>2015</v>
      </c>
      <c r="Q100" s="0" t="n">
        <f aca="false">W_PH(Q$2,$A100)</f>
        <v>2015</v>
      </c>
      <c r="R100" s="0" t="n">
        <f aca="false">W_PH(R$2,$A100)</f>
        <v>2015</v>
      </c>
      <c r="S100" s="0" t="n">
        <f aca="false">W_PH(S$2,$A100)</f>
        <v>2015</v>
      </c>
      <c r="T100" s="0" t="n">
        <f aca="false">W_PH(T$2,$A100)</f>
        <v>2015</v>
      </c>
      <c r="U100" s="0" t="n">
        <f aca="false">W_PH(U$2,$A100)</f>
        <v>2015</v>
      </c>
      <c r="V100" s="0" t="n">
        <f aca="false">W_PH(V$2,$A100)</f>
        <v>2015</v>
      </c>
      <c r="W100" s="0" t="n">
        <f aca="false">W_PH(W$2,$A100)</f>
        <v>2015</v>
      </c>
      <c r="X100" s="0" t="n">
        <f aca="false">W_PH(X$2,$A100)</f>
        <v>2015</v>
      </c>
      <c r="Y100" s="0" t="n">
        <f aca="false">W_PH(Y$2,$A100)</f>
        <v>2015</v>
      </c>
      <c r="Z100" s="0" t="n">
        <f aca="false">W_PH(Z$2,$A100)</f>
        <v>2015</v>
      </c>
      <c r="AA100" s="0" t="n">
        <f aca="false">W_PH(AA$2,$A100)</f>
        <v>2015</v>
      </c>
      <c r="AB100" s="0" t="n">
        <f aca="false">W_PH(AB$2,$A100)</f>
        <v>2015</v>
      </c>
      <c r="AC100" s="0" t="n">
        <f aca="false">W_PH(AC$2,$A100)</f>
        <v>2015</v>
      </c>
      <c r="AD100" s="0" t="n">
        <f aca="false">W_PH(AD$2,$A100)</f>
        <v>2015</v>
      </c>
      <c r="AE100" s="0" t="n">
        <f aca="false">W_PH(AE$2,$A100)</f>
        <v>2015</v>
      </c>
      <c r="AF100" s="0" t="n">
        <f aca="false">W_PH(AF$2,$A100)</f>
        <v>2015</v>
      </c>
      <c r="AG100" s="0" t="n">
        <f aca="false">W_PH(AG$2,$A100)</f>
        <v>2015</v>
      </c>
      <c r="AH100" s="0" t="n">
        <f aca="false">W_PH(AH$2,$A100)</f>
        <v>2015</v>
      </c>
      <c r="AI100" s="0" t="n">
        <f aca="false">W_PH(AI$2,$A100)</f>
        <v>2015</v>
      </c>
      <c r="AJ100" s="0" t="n">
        <f aca="false">W_PH(AJ$2,$A100)</f>
        <v>2015</v>
      </c>
      <c r="AK100" s="0" t="n">
        <f aca="false">W_PH(AK$2,$A100)</f>
        <v>2015</v>
      </c>
      <c r="AL100" s="0" t="n">
        <f aca="false">W_PH(AL$2,$A100)</f>
        <v>2015</v>
      </c>
      <c r="AM100" s="0" t="n">
        <f aca="false">W_PH(AM$2,$A100)</f>
        <v>2015</v>
      </c>
      <c r="AN100" s="0" t="n">
        <f aca="false">W_PH(AN$2,$A100)</f>
        <v>2015</v>
      </c>
      <c r="AO100" s="0" t="n">
        <f aca="false">W_PH(AO$2,$A100)</f>
        <v>2015</v>
      </c>
      <c r="AP100" s="0" t="n">
        <f aca="false">W_PH(AP$2,$A100)</f>
        <v>2015</v>
      </c>
      <c r="AQ100" s="0" t="n">
        <f aca="false">W_PH(AQ$2,$A100)</f>
        <v>443.721135550381</v>
      </c>
      <c r="AR100" s="0" t="n">
        <f aca="false">W_PH(AR$2,$A100)</f>
        <v>448.474504210686</v>
      </c>
      <c r="AS100" s="0" t="n">
        <f aca="false">W_PH(AS$2,$A100)</f>
        <v>450.899316695332</v>
      </c>
    </row>
    <row r="101" customFormat="false" ht="13.8" hidden="false" customHeight="false" outlineLevel="0" collapsed="false">
      <c r="A101" s="0" t="n">
        <v>2610</v>
      </c>
      <c r="B101" s="0" t="n">
        <f aca="false">W_PH(B$2,$A101)</f>
        <v>450.429242024638</v>
      </c>
      <c r="C101" s="0" t="n">
        <f aca="false">W_PH(C$2,$A101)</f>
        <v>450.428606038143</v>
      </c>
      <c r="D101" s="0" t="n">
        <f aca="false">W_PH(D$2,$A101)</f>
        <v>450.427968365308</v>
      </c>
      <c r="E101" s="0" t="n">
        <f aca="false">W_PH(E$2,$A101)</f>
        <v>450.427328584701</v>
      </c>
      <c r="F101" s="0" t="n">
        <f aca="false">W_PH(F$2,$A101)</f>
        <v>450.426686278316</v>
      </c>
      <c r="G101" s="0" t="n">
        <f aca="false">W_PH(G$2,$A101)</f>
        <v>450.42003475219</v>
      </c>
      <c r="H101" s="0" t="n">
        <f aca="false">W_PH(H$2,$A101)</f>
        <v>450.412695652565</v>
      </c>
      <c r="I101" s="0" t="n">
        <f aca="false">W_PH(I$2,$A101)</f>
        <v>450.404304989589</v>
      </c>
      <c r="J101" s="0" t="n">
        <f aca="false">W_PH(J$2,$A101)</f>
        <v>450.39452962893</v>
      </c>
      <c r="K101" s="0" t="n">
        <f aca="false">W_PH(K$2,$A101)</f>
        <v>450.383065899664</v>
      </c>
      <c r="L101" s="0" t="n">
        <f aca="false">W_PH(L$2,$A101)</f>
        <v>450.369638282963</v>
      </c>
      <c r="M101" s="0" t="n">
        <f aca="false">W_PH(M$2,$A101)</f>
        <v>450.353998166794</v>
      </c>
      <c r="N101" s="0" t="n">
        <f aca="false">W_PH(N$2,$A101)</f>
        <v>450.335922654285</v>
      </c>
      <c r="O101" s="0" t="n">
        <f aca="false">W_PH(O$2,$A101)</f>
        <v>450.315213415635</v>
      </c>
      <c r="P101" s="0" t="n">
        <f aca="false">W_PH(P$2,$A101)</f>
        <v>449.935043651853</v>
      </c>
      <c r="Q101" s="0" t="n">
        <f aca="false">W_PH(Q$2,$A101)</f>
        <v>2015</v>
      </c>
      <c r="R101" s="0" t="n">
        <f aca="false">W_PH(R$2,$A101)</f>
        <v>2015</v>
      </c>
      <c r="S101" s="0" t="n">
        <f aca="false">W_PH(S$2,$A101)</f>
        <v>2015</v>
      </c>
      <c r="T101" s="0" t="n">
        <f aca="false">W_PH(T$2,$A101)</f>
        <v>2015</v>
      </c>
      <c r="U101" s="0" t="n">
        <f aca="false">W_PH(U$2,$A101)</f>
        <v>2015</v>
      </c>
      <c r="V101" s="0" t="n">
        <f aca="false">W_PH(V$2,$A101)</f>
        <v>2015</v>
      </c>
      <c r="W101" s="0" t="n">
        <f aca="false">W_PH(W$2,$A101)</f>
        <v>2015</v>
      </c>
      <c r="X101" s="0" t="n">
        <f aca="false">W_PH(X$2,$A101)</f>
        <v>2015</v>
      </c>
      <c r="Y101" s="0" t="n">
        <f aca="false">W_PH(Y$2,$A101)</f>
        <v>2015</v>
      </c>
      <c r="Z101" s="0" t="n">
        <f aca="false">W_PH(Z$2,$A101)</f>
        <v>2015</v>
      </c>
      <c r="AA101" s="0" t="n">
        <f aca="false">W_PH(AA$2,$A101)</f>
        <v>2015</v>
      </c>
      <c r="AB101" s="0" t="n">
        <f aca="false">W_PH(AB$2,$A101)</f>
        <v>2015</v>
      </c>
      <c r="AC101" s="0" t="n">
        <f aca="false">W_PH(AC$2,$A101)</f>
        <v>2015</v>
      </c>
      <c r="AD101" s="0" t="n">
        <f aca="false">W_PH(AD$2,$A101)</f>
        <v>2015</v>
      </c>
      <c r="AE101" s="0" t="n">
        <f aca="false">W_PH(AE$2,$A101)</f>
        <v>2015</v>
      </c>
      <c r="AF101" s="0" t="n">
        <f aca="false">W_PH(AF$2,$A101)</f>
        <v>2015</v>
      </c>
      <c r="AG101" s="0" t="n">
        <f aca="false">W_PH(AG$2,$A101)</f>
        <v>2015</v>
      </c>
      <c r="AH101" s="0" t="n">
        <f aca="false">W_PH(AH$2,$A101)</f>
        <v>2015</v>
      </c>
      <c r="AI101" s="0" t="n">
        <f aca="false">W_PH(AI$2,$A101)</f>
        <v>2015</v>
      </c>
      <c r="AJ101" s="0" t="n">
        <f aca="false">W_PH(AJ$2,$A101)</f>
        <v>2015</v>
      </c>
      <c r="AK101" s="0" t="n">
        <f aca="false">W_PH(AK$2,$A101)</f>
        <v>2015</v>
      </c>
      <c r="AL101" s="0" t="n">
        <f aca="false">W_PH(AL$2,$A101)</f>
        <v>2015</v>
      </c>
      <c r="AM101" s="0" t="n">
        <f aca="false">W_PH(AM$2,$A101)</f>
        <v>2015</v>
      </c>
      <c r="AN101" s="0" t="n">
        <f aca="false">W_PH(AN$2,$A101)</f>
        <v>2015</v>
      </c>
      <c r="AO101" s="0" t="n">
        <f aca="false">W_PH(AO$2,$A101)</f>
        <v>2015</v>
      </c>
      <c r="AP101" s="0" t="n">
        <f aca="false">W_PH(AP$2,$A101)</f>
        <v>2015</v>
      </c>
      <c r="AQ101" s="0" t="n">
        <f aca="false">W_PH(AQ$2,$A101)</f>
        <v>446.724617227362</v>
      </c>
      <c r="AR101" s="0" t="n">
        <f aca="false">W_PH(AR$2,$A101)</f>
        <v>451.338296582239</v>
      </c>
      <c r="AS101" s="0" t="n">
        <f aca="false">W_PH(AS$2,$A101)</f>
        <v>453.699136555099</v>
      </c>
    </row>
    <row r="102" customFormat="false" ht="13.8" hidden="false" customHeight="false" outlineLevel="0" collapsed="false">
      <c r="A102" s="0" t="n">
        <v>2620</v>
      </c>
      <c r="B102" s="0" t="n">
        <f aca="false">W_PH(B$2,$A102)</f>
        <v>453.971208227099</v>
      </c>
      <c r="C102" s="0" t="n">
        <f aca="false">W_PH(C$2,$A102)</f>
        <v>453.97052693261</v>
      </c>
      <c r="D102" s="0" t="n">
        <f aca="false">W_PH(D$2,$A102)</f>
        <v>453.969845564623</v>
      </c>
      <c r="E102" s="0" t="n">
        <f aca="false">W_PH(E$2,$A102)</f>
        <v>453.969163929423</v>
      </c>
      <c r="F102" s="0" t="n">
        <f aca="false">W_PH(F$2,$A102)</f>
        <v>453.968481834711</v>
      </c>
      <c r="G102" s="0" t="n">
        <f aca="false">W_PH(G$2,$A102)</f>
        <v>453.961594307968</v>
      </c>
      <c r="H102" s="0" t="n">
        <f aca="false">W_PH(H$2,$A102)</f>
        <v>453.954459564331</v>
      </c>
      <c r="I102" s="0" t="n">
        <f aca="false">W_PH(I$2,$A102)</f>
        <v>453.946907663937</v>
      </c>
      <c r="J102" s="0" t="n">
        <f aca="false">W_PH(J$2,$A102)</f>
        <v>453.938781456419</v>
      </c>
      <c r="K102" s="0" t="n">
        <f aca="false">W_PH(K$2,$A102)</f>
        <v>453.929936006052</v>
      </c>
      <c r="L102" s="0" t="n">
        <f aca="false">W_PH(L$2,$A102)</f>
        <v>453.920238043277</v>
      </c>
      <c r="M102" s="0" t="n">
        <f aca="false">W_PH(M$2,$A102)</f>
        <v>453.909565439567</v>
      </c>
      <c r="N102" s="0" t="n">
        <f aca="false">W_PH(N$2,$A102)</f>
        <v>453.897806703048</v>
      </c>
      <c r="O102" s="0" t="n">
        <f aca="false">W_PH(O$2,$A102)</f>
        <v>453.884860492697</v>
      </c>
      <c r="P102" s="0" t="n">
        <f aca="false">W_PH(P$2,$A102)</f>
        <v>453.674152988961</v>
      </c>
      <c r="Q102" s="0" t="n">
        <f aca="false">W_PH(Q$2,$A102)</f>
        <v>2015</v>
      </c>
      <c r="R102" s="0" t="n">
        <f aca="false">W_PH(R$2,$A102)</f>
        <v>2015</v>
      </c>
      <c r="S102" s="0" t="n">
        <f aca="false">W_PH(S$2,$A102)</f>
        <v>2015</v>
      </c>
      <c r="T102" s="0" t="n">
        <f aca="false">W_PH(T$2,$A102)</f>
        <v>2015</v>
      </c>
      <c r="U102" s="0" t="n">
        <f aca="false">W_PH(U$2,$A102)</f>
        <v>2015</v>
      </c>
      <c r="V102" s="0" t="n">
        <f aca="false">W_PH(V$2,$A102)</f>
        <v>2015</v>
      </c>
      <c r="W102" s="0" t="n">
        <f aca="false">W_PH(W$2,$A102)</f>
        <v>2015</v>
      </c>
      <c r="X102" s="0" t="n">
        <f aca="false">W_PH(X$2,$A102)</f>
        <v>2015</v>
      </c>
      <c r="Y102" s="0" t="n">
        <f aca="false">W_PH(Y$2,$A102)</f>
        <v>2015</v>
      </c>
      <c r="Z102" s="0" t="n">
        <f aca="false">W_PH(Z$2,$A102)</f>
        <v>2015</v>
      </c>
      <c r="AA102" s="0" t="n">
        <f aca="false">W_PH(AA$2,$A102)</f>
        <v>2015</v>
      </c>
      <c r="AB102" s="0" t="n">
        <f aca="false">W_PH(AB$2,$A102)</f>
        <v>2015</v>
      </c>
      <c r="AC102" s="0" t="n">
        <f aca="false">W_PH(AC$2,$A102)</f>
        <v>2015</v>
      </c>
      <c r="AD102" s="0" t="n">
        <f aca="false">W_PH(AD$2,$A102)</f>
        <v>2015</v>
      </c>
      <c r="AE102" s="0" t="n">
        <f aca="false">W_PH(AE$2,$A102)</f>
        <v>2015</v>
      </c>
      <c r="AF102" s="0" t="n">
        <f aca="false">W_PH(AF$2,$A102)</f>
        <v>2015</v>
      </c>
      <c r="AG102" s="0" t="n">
        <f aca="false">W_PH(AG$2,$A102)</f>
        <v>2015</v>
      </c>
      <c r="AH102" s="0" t="n">
        <f aca="false">W_PH(AH$2,$A102)</f>
        <v>2015</v>
      </c>
      <c r="AI102" s="0" t="n">
        <f aca="false">W_PH(AI$2,$A102)</f>
        <v>2015</v>
      </c>
      <c r="AJ102" s="0" t="n">
        <f aca="false">W_PH(AJ$2,$A102)</f>
        <v>2015</v>
      </c>
      <c r="AK102" s="0" t="n">
        <f aca="false">W_PH(AK$2,$A102)</f>
        <v>2015</v>
      </c>
      <c r="AL102" s="0" t="n">
        <f aca="false">W_PH(AL$2,$A102)</f>
        <v>2015</v>
      </c>
      <c r="AM102" s="0" t="n">
        <f aca="false">W_PH(AM$2,$A102)</f>
        <v>2015</v>
      </c>
      <c r="AN102" s="0" t="n">
        <f aca="false">W_PH(AN$2,$A102)</f>
        <v>2015</v>
      </c>
      <c r="AO102" s="0" t="n">
        <f aca="false">W_PH(AO$2,$A102)</f>
        <v>2015</v>
      </c>
      <c r="AP102" s="0" t="n">
        <f aca="false">W_PH(AP$2,$A102)</f>
        <v>2015</v>
      </c>
      <c r="AQ102" s="0" t="n">
        <f aca="false">W_PH(AQ$2,$A102)</f>
        <v>449.715786969137</v>
      </c>
      <c r="AR102" s="0" t="n">
        <f aca="false">W_PH(AR$2,$A102)</f>
        <v>454.197579458918</v>
      </c>
      <c r="AS102" s="0" t="n">
        <f aca="false">W_PH(AS$2,$A102)</f>
        <v>456.498315048699</v>
      </c>
    </row>
    <row r="103" customFormat="false" ht="13.8" hidden="false" customHeight="false" outlineLevel="0" collapsed="false">
      <c r="A103" s="0" t="n">
        <v>2630</v>
      </c>
      <c r="B103" s="0" t="n">
        <f aca="false">W_PH(B$2,$A103)</f>
        <v>457.477434623953</v>
      </c>
      <c r="C103" s="0" t="n">
        <f aca="false">W_PH(C$2,$A103)</f>
        <v>457.476726790772</v>
      </c>
      <c r="D103" s="0" t="n">
        <f aca="false">W_PH(D$2,$A103)</f>
        <v>457.476019412524</v>
      </c>
      <c r="E103" s="0" t="n">
        <f aca="false">W_PH(E$2,$A103)</f>
        <v>457.475312399581</v>
      </c>
      <c r="F103" s="0" t="n">
        <f aca="false">W_PH(F$2,$A103)</f>
        <v>457.474605662903</v>
      </c>
      <c r="G103" s="0" t="n">
        <f aca="false">W_PH(G$2,$A103)</f>
        <v>457.467534320309</v>
      </c>
      <c r="H103" s="0" t="n">
        <f aca="false">W_PH(H$2,$A103)</f>
        <v>457.460396958584</v>
      </c>
      <c r="I103" s="0" t="n">
        <f aca="false">W_PH(I$2,$A103)</f>
        <v>457.453113910404</v>
      </c>
      <c r="J103" s="0" t="n">
        <f aca="false">W_PH(J$2,$A103)</f>
        <v>457.445610884282</v>
      </c>
      <c r="K103" s="0" t="n">
        <f aca="false">W_PH(K$2,$A103)</f>
        <v>457.437818731976</v>
      </c>
      <c r="L103" s="0" t="n">
        <f aca="false">W_PH(L$2,$A103)</f>
        <v>457.42967322432</v>
      </c>
      <c r="M103" s="0" t="n">
        <f aca="false">W_PH(M$2,$A103)</f>
        <v>457.421114834855</v>
      </c>
      <c r="N103" s="0" t="n">
        <f aca="false">W_PH(N$2,$A103)</f>
        <v>457.412088530735</v>
      </c>
      <c r="O103" s="0" t="n">
        <f aca="false">W_PH(O$2,$A103)</f>
        <v>457.402543570474</v>
      </c>
      <c r="P103" s="0" t="n">
        <f aca="false">W_PH(P$2,$A103)</f>
        <v>457.270098448247</v>
      </c>
      <c r="Q103" s="0" t="n">
        <f aca="false">W_PH(Q$2,$A103)</f>
        <v>457.055005742037</v>
      </c>
      <c r="R103" s="0" t="n">
        <f aca="false">W_PH(R$2,$A103)</f>
        <v>2015</v>
      </c>
      <c r="S103" s="0" t="n">
        <f aca="false">W_PH(S$2,$A103)</f>
        <v>2015</v>
      </c>
      <c r="T103" s="0" t="n">
        <f aca="false">W_PH(T$2,$A103)</f>
        <v>2015</v>
      </c>
      <c r="U103" s="0" t="n">
        <f aca="false">W_PH(U$2,$A103)</f>
        <v>2015</v>
      </c>
      <c r="V103" s="0" t="n">
        <f aca="false">W_PH(V$2,$A103)</f>
        <v>2015</v>
      </c>
      <c r="W103" s="0" t="n">
        <f aca="false">W_PH(W$2,$A103)</f>
        <v>2015</v>
      </c>
      <c r="X103" s="0" t="n">
        <f aca="false">W_PH(X$2,$A103)</f>
        <v>2015</v>
      </c>
      <c r="Y103" s="0" t="n">
        <f aca="false">W_PH(Y$2,$A103)</f>
        <v>2015</v>
      </c>
      <c r="Z103" s="0" t="n">
        <f aca="false">W_PH(Z$2,$A103)</f>
        <v>2015</v>
      </c>
      <c r="AA103" s="0" t="n">
        <f aca="false">W_PH(AA$2,$A103)</f>
        <v>2015</v>
      </c>
      <c r="AB103" s="0" t="n">
        <f aca="false">W_PH(AB$2,$A103)</f>
        <v>2015</v>
      </c>
      <c r="AC103" s="0" t="n">
        <f aca="false">W_PH(AC$2,$A103)</f>
        <v>2015</v>
      </c>
      <c r="AD103" s="0" t="n">
        <f aca="false">W_PH(AD$2,$A103)</f>
        <v>2015</v>
      </c>
      <c r="AE103" s="0" t="n">
        <f aca="false">W_PH(AE$2,$A103)</f>
        <v>2015</v>
      </c>
      <c r="AF103" s="0" t="n">
        <f aca="false">W_PH(AF$2,$A103)</f>
        <v>2015</v>
      </c>
      <c r="AG103" s="0" t="n">
        <f aca="false">W_PH(AG$2,$A103)</f>
        <v>2015</v>
      </c>
      <c r="AH103" s="0" t="n">
        <f aca="false">W_PH(AH$2,$A103)</f>
        <v>2015</v>
      </c>
      <c r="AI103" s="0" t="n">
        <f aca="false">W_PH(AI$2,$A103)</f>
        <v>2015</v>
      </c>
      <c r="AJ103" s="0" t="n">
        <f aca="false">W_PH(AJ$2,$A103)</f>
        <v>2015</v>
      </c>
      <c r="AK103" s="0" t="n">
        <f aca="false">W_PH(AK$2,$A103)</f>
        <v>2015</v>
      </c>
      <c r="AL103" s="0" t="n">
        <f aca="false">W_PH(AL$2,$A103)</f>
        <v>2015</v>
      </c>
      <c r="AM103" s="0" t="n">
        <f aca="false">W_PH(AM$2,$A103)</f>
        <v>2015</v>
      </c>
      <c r="AN103" s="0" t="n">
        <f aca="false">W_PH(AN$2,$A103)</f>
        <v>2015</v>
      </c>
      <c r="AO103" s="0" t="n">
        <f aca="false">W_PH(AO$2,$A103)</f>
        <v>2015</v>
      </c>
      <c r="AP103" s="0" t="n">
        <f aca="false">W_PH(AP$2,$A103)</f>
        <v>2015</v>
      </c>
      <c r="AQ103" s="0" t="n">
        <f aca="false">W_PH(AQ$2,$A103)</f>
        <v>452.686387935294</v>
      </c>
      <c r="AR103" s="0" t="n">
        <f aca="false">W_PH(AR$2,$A103)</f>
        <v>457.13244350405</v>
      </c>
      <c r="AS103" s="0" t="n">
        <f aca="false">W_PH(AS$2,$A103)</f>
        <v>459.388560738873</v>
      </c>
    </row>
    <row r="104" customFormat="false" ht="13.8" hidden="false" customHeight="false" outlineLevel="0" collapsed="false">
      <c r="A104" s="0" t="n">
        <v>2640</v>
      </c>
      <c r="B104" s="0" t="n">
        <f aca="false">W_PH(B$2,$A104)</f>
        <v>460.94852351564</v>
      </c>
      <c r="C104" s="0" t="n">
        <f aca="false">W_PH(C$2,$A104)</f>
        <v>460.947803989065</v>
      </c>
      <c r="D104" s="0" t="n">
        <f aca="false">W_PH(D$2,$A104)</f>
        <v>460.947085023895</v>
      </c>
      <c r="E104" s="0" t="n">
        <f aca="false">W_PH(E$2,$A104)</f>
        <v>460.946366578381</v>
      </c>
      <c r="F104" s="0" t="n">
        <f aca="false">W_PH(F$2,$A104)</f>
        <v>460.945648611032</v>
      </c>
      <c r="G104" s="0" t="n">
        <f aca="false">W_PH(G$2,$A104)</f>
        <v>460.938486284543</v>
      </c>
      <c r="H104" s="0" t="n">
        <f aca="false">W_PH(H$2,$A104)</f>
        <v>460.931327949265</v>
      </c>
      <c r="I104" s="0" t="n">
        <f aca="false">W_PH(I$2,$A104)</f>
        <v>460.924136082892</v>
      </c>
      <c r="J104" s="0" t="n">
        <f aca="false">W_PH(J$2,$A104)</f>
        <v>460.916875449815</v>
      </c>
      <c r="K104" s="0" t="n">
        <f aca="false">W_PH(K$2,$A104)</f>
        <v>460.909513007548</v>
      </c>
      <c r="L104" s="0" t="n">
        <f aca="false">W_PH(L$2,$A104)</f>
        <v>460.902017815782</v>
      </c>
      <c r="M104" s="0" t="n">
        <f aca="false">W_PH(M$2,$A104)</f>
        <v>460.894360947947</v>
      </c>
      <c r="N104" s="0" t="n">
        <f aca="false">W_PH(N$2,$A104)</f>
        <v>460.88651540522</v>
      </c>
      <c r="O104" s="0" t="n">
        <f aca="false">W_PH(O$2,$A104)</f>
        <v>460.878456032867</v>
      </c>
      <c r="P104" s="0" t="n">
        <f aca="false">W_PH(P$2,$A104)</f>
        <v>460.781729715477</v>
      </c>
      <c r="Q104" s="0" t="n">
        <f aca="false">W_PH(Q$2,$A104)</f>
        <v>460.646778922426</v>
      </c>
      <c r="R104" s="0" t="n">
        <f aca="false">W_PH(R$2,$A104)</f>
        <v>460.468051462294</v>
      </c>
      <c r="S104" s="0" t="n">
        <f aca="false">W_PH(S$2,$A104)</f>
        <v>2015</v>
      </c>
      <c r="T104" s="0" t="n">
        <f aca="false">W_PH(T$2,$A104)</f>
        <v>2015</v>
      </c>
      <c r="U104" s="0" t="n">
        <f aca="false">W_PH(U$2,$A104)</f>
        <v>2015</v>
      </c>
      <c r="V104" s="0" t="n">
        <f aca="false">W_PH(V$2,$A104)</f>
        <v>2015</v>
      </c>
      <c r="W104" s="0" t="n">
        <f aca="false">W_PH(W$2,$A104)</f>
        <v>2015</v>
      </c>
      <c r="X104" s="0" t="n">
        <f aca="false">W_PH(X$2,$A104)</f>
        <v>2015</v>
      </c>
      <c r="Y104" s="0" t="n">
        <f aca="false">W_PH(Y$2,$A104)</f>
        <v>2015</v>
      </c>
      <c r="Z104" s="0" t="n">
        <f aca="false">W_PH(Z$2,$A104)</f>
        <v>2015</v>
      </c>
      <c r="AA104" s="0" t="n">
        <f aca="false">W_PH(AA$2,$A104)</f>
        <v>2015</v>
      </c>
      <c r="AB104" s="0" t="n">
        <f aca="false">W_PH(AB$2,$A104)</f>
        <v>2015</v>
      </c>
      <c r="AC104" s="0" t="n">
        <f aca="false">W_PH(AC$2,$A104)</f>
        <v>2015</v>
      </c>
      <c r="AD104" s="0" t="n">
        <f aca="false">W_PH(AD$2,$A104)</f>
        <v>2015</v>
      </c>
      <c r="AE104" s="0" t="n">
        <f aca="false">W_PH(AE$2,$A104)</f>
        <v>2015</v>
      </c>
      <c r="AF104" s="0" t="n">
        <f aca="false">W_PH(AF$2,$A104)</f>
        <v>2015</v>
      </c>
      <c r="AG104" s="0" t="n">
        <f aca="false">W_PH(AG$2,$A104)</f>
        <v>2015</v>
      </c>
      <c r="AH104" s="0" t="n">
        <f aca="false">W_PH(AH$2,$A104)</f>
        <v>2015</v>
      </c>
      <c r="AI104" s="0" t="n">
        <f aca="false">W_PH(AI$2,$A104)</f>
        <v>2015</v>
      </c>
      <c r="AJ104" s="0" t="n">
        <f aca="false">W_PH(AJ$2,$A104)</f>
        <v>2015</v>
      </c>
      <c r="AK104" s="0" t="n">
        <f aca="false">W_PH(AK$2,$A104)</f>
        <v>2015</v>
      </c>
      <c r="AL104" s="0" t="n">
        <f aca="false">W_PH(AL$2,$A104)</f>
        <v>2015</v>
      </c>
      <c r="AM104" s="0" t="n">
        <f aca="false">W_PH(AM$2,$A104)</f>
        <v>2015</v>
      </c>
      <c r="AN104" s="0" t="n">
        <f aca="false">W_PH(AN$2,$A104)</f>
        <v>2015</v>
      </c>
      <c r="AO104" s="0" t="n">
        <f aca="false">W_PH(AO$2,$A104)</f>
        <v>2015</v>
      </c>
      <c r="AP104" s="0" t="n">
        <f aca="false">W_PH(AP$2,$A104)</f>
        <v>2015</v>
      </c>
      <c r="AQ104" s="0" t="n">
        <f aca="false">W_PH(AQ$2,$A104)</f>
        <v>455.638591645691</v>
      </c>
      <c r="AR104" s="0" t="n">
        <f aca="false">W_PH(AR$2,$A104)</f>
        <v>459.973900178695</v>
      </c>
      <c r="AS104" s="0" t="n">
        <f aca="false">W_PH(AS$2,$A104)</f>
        <v>462.178962565673</v>
      </c>
    </row>
    <row r="105" customFormat="false" ht="13.8" hidden="false" customHeight="false" outlineLevel="0" collapsed="false">
      <c r="A105" s="0" t="n">
        <v>2650</v>
      </c>
      <c r="B105" s="0" t="n">
        <f aca="false">W_PH(B$2,$A105)</f>
        <v>464.385091313461</v>
      </c>
      <c r="C105" s="0" t="n">
        <f aca="false">W_PH(C$2,$A105)</f>
        <v>464.384371142851</v>
      </c>
      <c r="D105" s="0" t="n">
        <f aca="false">W_PH(D$2,$A105)</f>
        <v>464.383651491712</v>
      </c>
      <c r="E105" s="0" t="n">
        <f aca="false">W_PH(E$2,$A105)</f>
        <v>464.382932340476</v>
      </c>
      <c r="F105" s="0" t="n">
        <f aca="false">W_PH(F$2,$A105)</f>
        <v>464.382213669678</v>
      </c>
      <c r="G105" s="0" t="n">
        <f aca="false">W_PH(G$2,$A105)</f>
        <v>464.375049179403</v>
      </c>
      <c r="H105" s="0" t="n">
        <f aca="false">W_PH(H$2,$A105)</f>
        <v>464.36791210124</v>
      </c>
      <c r="I105" s="0" t="n">
        <f aca="false">W_PH(I$2,$A105)</f>
        <v>464.360784673362</v>
      </c>
      <c r="J105" s="0" t="n">
        <f aca="false">W_PH(J$2,$A105)</f>
        <v>464.353650117109</v>
      </c>
      <c r="K105" s="0" t="n">
        <f aca="false">W_PH(K$2,$A105)</f>
        <v>464.346492599258</v>
      </c>
      <c r="L105" s="0" t="n">
        <f aca="false">W_PH(L$2,$A105)</f>
        <v>464.339297195093</v>
      </c>
      <c r="M105" s="0" t="n">
        <f aca="false">W_PH(M$2,$A105)</f>
        <v>464.332049852248</v>
      </c>
      <c r="N105" s="0" t="n">
        <f aca="false">W_PH(N$2,$A105)</f>
        <v>464.32473735533</v>
      </c>
      <c r="O105" s="0" t="n">
        <f aca="false">W_PH(O$2,$A105)</f>
        <v>464.3173472913</v>
      </c>
      <c r="P105" s="0" t="n">
        <f aca="false">W_PH(P$2,$A105)</f>
        <v>464.236957763216</v>
      </c>
      <c r="Q105" s="0" t="n">
        <f aca="false">W_PH(Q$2,$A105)</f>
        <v>464.139907383731</v>
      </c>
      <c r="R105" s="0" t="n">
        <f aca="false">W_PH(R$2,$A105)</f>
        <v>464.022418586998</v>
      </c>
      <c r="S105" s="0" t="n">
        <f aca="false">W_PH(S$2,$A105)</f>
        <v>463.883091681763</v>
      </c>
      <c r="T105" s="0" t="n">
        <f aca="false">W_PH(T$2,$A105)</f>
        <v>2015</v>
      </c>
      <c r="U105" s="0" t="n">
        <f aca="false">W_PH(U$2,$A105)</f>
        <v>2015</v>
      </c>
      <c r="V105" s="0" t="n">
        <f aca="false">W_PH(V$2,$A105)</f>
        <v>2015</v>
      </c>
      <c r="W105" s="0" t="n">
        <f aca="false">W_PH(W$2,$A105)</f>
        <v>2015</v>
      </c>
      <c r="X105" s="0" t="n">
        <f aca="false">W_PH(X$2,$A105)</f>
        <v>2015</v>
      </c>
      <c r="Y105" s="0" t="n">
        <f aca="false">W_PH(Y$2,$A105)</f>
        <v>2015</v>
      </c>
      <c r="Z105" s="0" t="n">
        <f aca="false">W_PH(Z$2,$A105)</f>
        <v>2015</v>
      </c>
      <c r="AA105" s="0" t="n">
        <f aca="false">W_PH(AA$2,$A105)</f>
        <v>2015</v>
      </c>
      <c r="AB105" s="0" t="n">
        <f aca="false">W_PH(AB$2,$A105)</f>
        <v>2015</v>
      </c>
      <c r="AC105" s="0" t="n">
        <f aca="false">W_PH(AC$2,$A105)</f>
        <v>2015</v>
      </c>
      <c r="AD105" s="0" t="n">
        <f aca="false">W_PH(AD$2,$A105)</f>
        <v>2015</v>
      </c>
      <c r="AE105" s="0" t="n">
        <f aca="false">W_PH(AE$2,$A105)</f>
        <v>2015</v>
      </c>
      <c r="AF105" s="0" t="n">
        <f aca="false">W_PH(AF$2,$A105)</f>
        <v>2015</v>
      </c>
      <c r="AG105" s="0" t="n">
        <f aca="false">W_PH(AG$2,$A105)</f>
        <v>2015</v>
      </c>
      <c r="AH105" s="0" t="n">
        <f aca="false">W_PH(AH$2,$A105)</f>
        <v>2015</v>
      </c>
      <c r="AI105" s="0" t="n">
        <f aca="false">W_PH(AI$2,$A105)</f>
        <v>2015</v>
      </c>
      <c r="AJ105" s="0" t="n">
        <f aca="false">W_PH(AJ$2,$A105)</f>
        <v>2015</v>
      </c>
      <c r="AK105" s="0" t="n">
        <f aca="false">W_PH(AK$2,$A105)</f>
        <v>2015</v>
      </c>
      <c r="AL105" s="0" t="n">
        <f aca="false">W_PH(AL$2,$A105)</f>
        <v>2015</v>
      </c>
      <c r="AM105" s="0" t="n">
        <f aca="false">W_PH(AM$2,$A105)</f>
        <v>2015</v>
      </c>
      <c r="AN105" s="0" t="n">
        <f aca="false">W_PH(AN$2,$A105)</f>
        <v>2015</v>
      </c>
      <c r="AO105" s="0" t="n">
        <f aca="false">W_PH(AO$2,$A105)</f>
        <v>2015</v>
      </c>
      <c r="AP105" s="0" t="n">
        <f aca="false">W_PH(AP$2,$A105)</f>
        <v>2015</v>
      </c>
      <c r="AQ105" s="0" t="n">
        <f aca="false">W_PH(AQ$2,$A105)</f>
        <v>458.582664849558</v>
      </c>
      <c r="AR105" s="0" t="n">
        <f aca="false">W_PH(AR$2,$A105)</f>
        <v>462.815042211087</v>
      </c>
      <c r="AS105" s="0" t="n">
        <f aca="false">W_PH(AS$2,$A105)</f>
        <v>464.971824611947</v>
      </c>
    </row>
    <row r="106" customFormat="false" ht="13.8" hidden="false" customHeight="false" outlineLevel="0" collapsed="false">
      <c r="A106" s="0" t="n">
        <v>2660</v>
      </c>
      <c r="B106" s="0" t="n">
        <f aca="false">W_PH(B$2,$A106)</f>
        <v>467.787763858472</v>
      </c>
      <c r="C106" s="0" t="n">
        <f aca="false">W_PH(C$2,$A106)</f>
        <v>467.78705093669</v>
      </c>
      <c r="D106" s="0" t="n">
        <f aca="false">W_PH(D$2,$A106)</f>
        <v>467.78633845272</v>
      </c>
      <c r="E106" s="0" t="n">
        <f aca="false">W_PH(E$2,$A106)</f>
        <v>467.785626397326</v>
      </c>
      <c r="F106" s="0" t="n">
        <f aca="false">W_PH(F$2,$A106)</f>
        <v>467.784914761317</v>
      </c>
      <c r="G106" s="0" t="n">
        <f aca="false">W_PH(G$2,$A106)</f>
        <v>467.77781947844</v>
      </c>
      <c r="H106" s="0" t="n">
        <f aca="false">W_PH(H$2,$A106)</f>
        <v>467.770756362127</v>
      </c>
      <c r="I106" s="0" t="n">
        <f aca="false">W_PH(I$2,$A106)</f>
        <v>467.763716959361</v>
      </c>
      <c r="J106" s="0" t="n">
        <f aca="false">W_PH(J$2,$A106)</f>
        <v>467.756693244091</v>
      </c>
      <c r="K106" s="0" t="n">
        <f aca="false">W_PH(K$2,$A106)</f>
        <v>467.749677601929</v>
      </c>
      <c r="L106" s="0" t="n">
        <f aca="false">W_PH(L$2,$A106)</f>
        <v>467.74266281507</v>
      </c>
      <c r="M106" s="0" t="n">
        <f aca="false">W_PH(M$2,$A106)</f>
        <v>467.73564204743</v>
      </c>
      <c r="N106" s="0" t="n">
        <f aca="false">W_PH(N$2,$A106)</f>
        <v>467.728608830016</v>
      </c>
      <c r="O106" s="0" t="n">
        <f aca="false">W_PH(O$2,$A106)</f>
        <v>467.721557046533</v>
      </c>
      <c r="P106" s="0" t="n">
        <f aca="false">W_PH(P$2,$A106)</f>
        <v>467.648897077034</v>
      </c>
      <c r="Q106" s="0" t="n">
        <f aca="false">W_PH(Q$2,$A106)</f>
        <v>467.569758833274</v>
      </c>
      <c r="R106" s="0" t="n">
        <f aca="false">W_PH(R$2,$A106)</f>
        <v>467.481870716723</v>
      </c>
      <c r="S106" s="0" t="n">
        <f aca="false">W_PH(S$2,$A106)</f>
        <v>467.384020166965</v>
      </c>
      <c r="T106" s="0" t="n">
        <f aca="false">W_PH(T$2,$A106)</f>
        <v>467.275334680267</v>
      </c>
      <c r="U106" s="0" t="n">
        <f aca="false">W_PH(U$2,$A106)</f>
        <v>467.154805237866</v>
      </c>
      <c r="V106" s="0" t="n">
        <f aca="false">W_PH(V$2,$A106)</f>
        <v>2015</v>
      </c>
      <c r="W106" s="0" t="n">
        <f aca="false">W_PH(W$2,$A106)</f>
        <v>2015</v>
      </c>
      <c r="X106" s="0" t="n">
        <f aca="false">W_PH(X$2,$A106)</f>
        <v>2015</v>
      </c>
      <c r="Y106" s="0" t="n">
        <f aca="false">W_PH(Y$2,$A106)</f>
        <v>2015</v>
      </c>
      <c r="Z106" s="0" t="n">
        <f aca="false">W_PH(Z$2,$A106)</f>
        <v>2015</v>
      </c>
      <c r="AA106" s="0" t="n">
        <f aca="false">W_PH(AA$2,$A106)</f>
        <v>2015</v>
      </c>
      <c r="AB106" s="0" t="n">
        <f aca="false">W_PH(AB$2,$A106)</f>
        <v>2015</v>
      </c>
      <c r="AC106" s="0" t="n">
        <f aca="false">W_PH(AC$2,$A106)</f>
        <v>2015</v>
      </c>
      <c r="AD106" s="0" t="n">
        <f aca="false">W_PH(AD$2,$A106)</f>
        <v>2015</v>
      </c>
      <c r="AE106" s="0" t="n">
        <f aca="false">W_PH(AE$2,$A106)</f>
        <v>2015</v>
      </c>
      <c r="AF106" s="0" t="n">
        <f aca="false">W_PH(AF$2,$A106)</f>
        <v>2015</v>
      </c>
      <c r="AG106" s="0" t="n">
        <f aca="false">W_PH(AG$2,$A106)</f>
        <v>2015</v>
      </c>
      <c r="AH106" s="0" t="n">
        <f aca="false">W_PH(AH$2,$A106)</f>
        <v>2015</v>
      </c>
      <c r="AI106" s="0" t="n">
        <f aca="false">W_PH(AI$2,$A106)</f>
        <v>2015</v>
      </c>
      <c r="AJ106" s="0" t="n">
        <f aca="false">W_PH(AJ$2,$A106)</f>
        <v>2015</v>
      </c>
      <c r="AK106" s="0" t="n">
        <f aca="false">W_PH(AK$2,$A106)</f>
        <v>2015</v>
      </c>
      <c r="AL106" s="0" t="n">
        <f aca="false">W_PH(AL$2,$A106)</f>
        <v>2015</v>
      </c>
      <c r="AM106" s="0" t="n">
        <f aca="false">W_PH(AM$2,$A106)</f>
        <v>2015</v>
      </c>
      <c r="AN106" s="0" t="n">
        <f aca="false">W_PH(AN$2,$A106)</f>
        <v>2015</v>
      </c>
      <c r="AO106" s="0" t="n">
        <f aca="false">W_PH(AO$2,$A106)</f>
        <v>2015</v>
      </c>
      <c r="AP106" s="0" t="n">
        <f aca="false">W_PH(AP$2,$A106)</f>
        <v>2015</v>
      </c>
      <c r="AQ106" s="0" t="n">
        <f aca="false">W_PH(AQ$2,$A106)</f>
        <v>461.520688852053</v>
      </c>
      <c r="AR106" s="0" t="n">
        <f aca="false">W_PH(AR$2,$A106)</f>
        <v>465.657088119413</v>
      </c>
      <c r="AS106" s="0" t="n">
        <f aca="false">W_PH(AS$2,$A106)</f>
        <v>467.76793170898</v>
      </c>
    </row>
    <row r="107" customFormat="false" ht="13.8" hidden="false" customHeight="false" outlineLevel="0" collapsed="false">
      <c r="A107" s="0" t="n">
        <v>2670</v>
      </c>
      <c r="B107" s="0" t="n">
        <f aca="false">W_PH(B$2,$A107)</f>
        <v>471.157171792189</v>
      </c>
      <c r="C107" s="0" t="n">
        <f aca="false">W_PH(C$2,$A107)</f>
        <v>471.156471561401</v>
      </c>
      <c r="D107" s="0" t="n">
        <f aca="false">W_PH(D$2,$A107)</f>
        <v>471.155771686934</v>
      </c>
      <c r="E107" s="0" t="n">
        <f aca="false">W_PH(E$2,$A107)</f>
        <v>471.155072164404</v>
      </c>
      <c r="F107" s="0" t="n">
        <f aca="false">W_PH(F$2,$A107)</f>
        <v>471.15437298944</v>
      </c>
      <c r="G107" s="0" t="n">
        <f aca="false">W_PH(G$2,$A107)</f>
        <v>471.14739940931</v>
      </c>
      <c r="H107" s="0" t="n">
        <f aca="false">W_PH(H$2,$A107)</f>
        <v>471.140455928092</v>
      </c>
      <c r="I107" s="0" t="n">
        <f aca="false">W_PH(I$2,$A107)</f>
        <v>471.133538499797</v>
      </c>
      <c r="J107" s="0" t="n">
        <f aca="false">W_PH(J$2,$A107)</f>
        <v>471.126643265646</v>
      </c>
      <c r="K107" s="0" t="n">
        <f aca="false">W_PH(K$2,$A107)</f>
        <v>471.119766547813</v>
      </c>
      <c r="L107" s="0" t="n">
        <f aca="false">W_PH(L$2,$A107)</f>
        <v>471.112904843209</v>
      </c>
      <c r="M107" s="0" t="n">
        <f aca="false">W_PH(M$2,$A107)</f>
        <v>471.10605481733</v>
      </c>
      <c r="N107" s="0" t="n">
        <f aca="false">W_PH(N$2,$A107)</f>
        <v>471.099213298154</v>
      </c>
      <c r="O107" s="0" t="n">
        <f aca="false">W_PH(O$2,$A107)</f>
        <v>471.092377270112</v>
      </c>
      <c r="P107" s="0" t="n">
        <f aca="false">W_PH(P$2,$A107)</f>
        <v>471.023755719781</v>
      </c>
      <c r="Q107" s="0" t="n">
        <f aca="false">W_PH(Q$2,$A107)</f>
        <v>470.95330833074</v>
      </c>
      <c r="R107" s="0" t="n">
        <f aca="false">W_PH(R$2,$A107)</f>
        <v>470.879745773141</v>
      </c>
      <c r="S107" s="0" t="n">
        <f aca="false">W_PH(S$2,$A107)</f>
        <v>470.802252732714</v>
      </c>
      <c r="T107" s="0" t="n">
        <f aca="false">W_PH(T$2,$A107)</f>
        <v>470.72014667425</v>
      </c>
      <c r="U107" s="0" t="n">
        <f aca="false">W_PH(U$2,$A107)</f>
        <v>470.632637362778</v>
      </c>
      <c r="V107" s="0" t="n">
        <f aca="false">W_PH(V$2,$A107)</f>
        <v>470.538678101655</v>
      </c>
      <c r="W107" s="0" t="n">
        <f aca="false">W_PH(W$2,$A107)</f>
        <v>2015</v>
      </c>
      <c r="X107" s="0" t="n">
        <f aca="false">W_PH(X$2,$A107)</f>
        <v>2015</v>
      </c>
      <c r="Y107" s="0" t="n">
        <f aca="false">W_PH(Y$2,$A107)</f>
        <v>2015</v>
      </c>
      <c r="Z107" s="0" t="n">
        <f aca="false">W_PH(Z$2,$A107)</f>
        <v>2015</v>
      </c>
      <c r="AA107" s="0" t="n">
        <f aca="false">W_PH(AA$2,$A107)</f>
        <v>2015</v>
      </c>
      <c r="AB107" s="0" t="n">
        <f aca="false">W_PH(AB$2,$A107)</f>
        <v>2015</v>
      </c>
      <c r="AC107" s="0" t="n">
        <f aca="false">W_PH(AC$2,$A107)</f>
        <v>2015</v>
      </c>
      <c r="AD107" s="0" t="n">
        <f aca="false">W_PH(AD$2,$A107)</f>
        <v>2015</v>
      </c>
      <c r="AE107" s="0" t="n">
        <f aca="false">W_PH(AE$2,$A107)</f>
        <v>2015</v>
      </c>
      <c r="AF107" s="0" t="n">
        <f aca="false">W_PH(AF$2,$A107)</f>
        <v>2015</v>
      </c>
      <c r="AG107" s="0" t="n">
        <f aca="false">W_PH(AG$2,$A107)</f>
        <v>2015</v>
      </c>
      <c r="AH107" s="0" t="n">
        <f aca="false">W_PH(AH$2,$A107)</f>
        <v>2015</v>
      </c>
      <c r="AI107" s="0" t="n">
        <f aca="false">W_PH(AI$2,$A107)</f>
        <v>2015</v>
      </c>
      <c r="AJ107" s="0" t="n">
        <f aca="false">W_PH(AJ$2,$A107)</f>
        <v>2015</v>
      </c>
      <c r="AK107" s="0" t="n">
        <f aca="false">W_PH(AK$2,$A107)</f>
        <v>2015</v>
      </c>
      <c r="AL107" s="0" t="n">
        <f aca="false">W_PH(AL$2,$A107)</f>
        <v>2015</v>
      </c>
      <c r="AM107" s="0" t="n">
        <f aca="false">W_PH(AM$2,$A107)</f>
        <v>2015</v>
      </c>
      <c r="AN107" s="0" t="n">
        <f aca="false">W_PH(AN$2,$A107)</f>
        <v>2015</v>
      </c>
      <c r="AO107" s="0" t="n">
        <f aca="false">W_PH(AO$2,$A107)</f>
        <v>2015</v>
      </c>
      <c r="AP107" s="0" t="n">
        <f aca="false">W_PH(AP$2,$A107)</f>
        <v>2015</v>
      </c>
      <c r="AQ107" s="0" t="n">
        <f aca="false">W_PH(AQ$2,$A107)</f>
        <v>464.454859332601</v>
      </c>
      <c r="AR107" s="0" t="n">
        <f aca="false">W_PH(AR$2,$A107)</f>
        <v>468.501162865601</v>
      </c>
      <c r="AS107" s="0" t="n">
        <f aca="false">W_PH(AS$2,$A107)</f>
        <v>470.567944146729</v>
      </c>
    </row>
    <row r="108" customFormat="false" ht="13.8" hidden="false" customHeight="false" outlineLevel="0" collapsed="false">
      <c r="A108" s="0" t="n">
        <v>2680</v>
      </c>
      <c r="B108" s="0" t="n">
        <f aca="false">W_PH(B$2,$A108)</f>
        <v>474.493946472519</v>
      </c>
      <c r="C108" s="0" t="n">
        <f aca="false">W_PH(C$2,$A108)</f>
        <v>474.493262543825</v>
      </c>
      <c r="D108" s="0" t="n">
        <f aca="false">W_PH(D$2,$A108)</f>
        <v>474.492578902283</v>
      </c>
      <c r="E108" s="0" t="n">
        <f aca="false">W_PH(E$2,$A108)</f>
        <v>474.491895545794</v>
      </c>
      <c r="F108" s="0" t="n">
        <f aca="false">W_PH(F$2,$A108)</f>
        <v>474.491212472267</v>
      </c>
      <c r="G108" s="0" t="n">
        <f aca="false">W_PH(G$2,$A108)</f>
        <v>474.484396846178</v>
      </c>
      <c r="H108" s="0" t="n">
        <f aca="false">W_PH(H$2,$A108)</f>
        <v>474.477607281002</v>
      </c>
      <c r="I108" s="0" t="n">
        <f aca="false">W_PH(I$2,$A108)</f>
        <v>474.470841827848</v>
      </c>
      <c r="J108" s="0" t="n">
        <f aca="false">W_PH(J$2,$A108)</f>
        <v>474.464098620681</v>
      </c>
      <c r="K108" s="0" t="n">
        <f aca="false">W_PH(K$2,$A108)</f>
        <v>474.457375873736</v>
      </c>
      <c r="L108" s="0" t="n">
        <f aca="false">W_PH(L$2,$A108)</f>
        <v>474.450671878933</v>
      </c>
      <c r="M108" s="0" t="n">
        <f aca="false">W_PH(M$2,$A108)</f>
        <v>474.443985003304</v>
      </c>
      <c r="N108" s="0" t="n">
        <f aca="false">W_PH(N$2,$A108)</f>
        <v>474.43731368642</v>
      </c>
      <c r="O108" s="0" t="n">
        <f aca="false">W_PH(O$2,$A108)</f>
        <v>474.430656437844</v>
      </c>
      <c r="P108" s="0" t="n">
        <f aca="false">W_PH(P$2,$A108)</f>
        <v>474.364574828145</v>
      </c>
      <c r="Q108" s="0" t="n">
        <f aca="false">W_PH(Q$2,$A108)</f>
        <v>474.29868530007</v>
      </c>
      <c r="R108" s="0" t="n">
        <f aca="false">W_PH(R$2,$A108)</f>
        <v>474.232278024414</v>
      </c>
      <c r="S108" s="0" t="n">
        <f aca="false">W_PH(S$2,$A108)</f>
        <v>474.16485599885</v>
      </c>
      <c r="T108" s="0" t="n">
        <f aca="false">W_PH(T$2,$A108)</f>
        <v>474.095971811658</v>
      </c>
      <c r="U108" s="0" t="n">
        <f aca="false">W_PH(U$2,$A108)</f>
        <v>474.02510622522</v>
      </c>
      <c r="V108" s="0" t="n">
        <f aca="false">W_PH(V$2,$A108)</f>
        <v>473.951586653538</v>
      </c>
      <c r="W108" s="0" t="n">
        <f aca="false">W_PH(W$2,$A108)</f>
        <v>473.874541657256</v>
      </c>
      <c r="X108" s="0" t="n">
        <f aca="false">W_PH(X$2,$A108)</f>
        <v>473.792886703822</v>
      </c>
      <c r="Y108" s="0" t="n">
        <f aca="false">W_PH(Y$2,$A108)</f>
        <v>2015</v>
      </c>
      <c r="Z108" s="0" t="n">
        <f aca="false">W_PH(Z$2,$A108)</f>
        <v>2015</v>
      </c>
      <c r="AA108" s="0" t="n">
        <f aca="false">W_PH(AA$2,$A108)</f>
        <v>2015</v>
      </c>
      <c r="AB108" s="0" t="n">
        <f aca="false">W_PH(AB$2,$A108)</f>
        <v>2015</v>
      </c>
      <c r="AC108" s="0" t="n">
        <f aca="false">W_PH(AC$2,$A108)</f>
        <v>2015</v>
      </c>
      <c r="AD108" s="0" t="n">
        <f aca="false">W_PH(AD$2,$A108)</f>
        <v>2015</v>
      </c>
      <c r="AE108" s="0" t="n">
        <f aca="false">W_PH(AE$2,$A108)</f>
        <v>2015</v>
      </c>
      <c r="AF108" s="0" t="n">
        <f aca="false">W_PH(AF$2,$A108)</f>
        <v>2015</v>
      </c>
      <c r="AG108" s="0" t="n">
        <f aca="false">W_PH(AG$2,$A108)</f>
        <v>2015</v>
      </c>
      <c r="AH108" s="0" t="n">
        <f aca="false">W_PH(AH$2,$A108)</f>
        <v>2015</v>
      </c>
      <c r="AI108" s="0" t="n">
        <f aca="false">W_PH(AI$2,$A108)</f>
        <v>2015</v>
      </c>
      <c r="AJ108" s="0" t="n">
        <f aca="false">W_PH(AJ$2,$A108)</f>
        <v>2015</v>
      </c>
      <c r="AK108" s="0" t="n">
        <f aca="false">W_PH(AK$2,$A108)</f>
        <v>2015</v>
      </c>
      <c r="AL108" s="0" t="n">
        <f aca="false">W_PH(AL$2,$A108)</f>
        <v>2015</v>
      </c>
      <c r="AM108" s="0" t="n">
        <f aca="false">W_PH(AM$2,$A108)</f>
        <v>2015</v>
      </c>
      <c r="AN108" s="0" t="n">
        <f aca="false">W_PH(AN$2,$A108)</f>
        <v>2015</v>
      </c>
      <c r="AO108" s="0" t="n">
        <f aca="false">W_PH(AO$2,$A108)</f>
        <v>2015</v>
      </c>
      <c r="AP108" s="0" t="n">
        <f aca="false">W_PH(AP$2,$A108)</f>
        <v>2015</v>
      </c>
      <c r="AQ108" s="0" t="n">
        <f aca="false">W_PH(AQ$2,$A108)</f>
        <v>467.387166368115</v>
      </c>
      <c r="AR108" s="0" t="n">
        <f aca="false">W_PH(AR$2,$A108)</f>
        <v>471.3480832016</v>
      </c>
      <c r="AS108" s="0" t="n">
        <f aca="false">W_PH(AS$2,$A108)</f>
        <v>473.372217186453</v>
      </c>
    </row>
    <row r="109" customFormat="false" ht="13.8" hidden="false" customHeight="false" outlineLevel="0" collapsed="false">
      <c r="A109" s="0" t="n">
        <v>2690</v>
      </c>
      <c r="B109" s="0" t="n">
        <f aca="false">W_PH(B$2,$A109)</f>
        <v>477.798716548978</v>
      </c>
      <c r="C109" s="0" t="n">
        <f aca="false">W_PH(C$2,$A109)</f>
        <v>477.798051199402</v>
      </c>
      <c r="D109" s="0" t="n">
        <f aca="false">W_PH(D$2,$A109)</f>
        <v>477.797386081764</v>
      </c>
      <c r="E109" s="0" t="n">
        <f aca="false">W_PH(E$2,$A109)</f>
        <v>477.796721195051</v>
      </c>
      <c r="F109" s="0" t="n">
        <f aca="false">W_PH(F$2,$A109)</f>
        <v>477.796056538256</v>
      </c>
      <c r="G109" s="0" t="n">
        <f aca="false">W_PH(G$2,$A109)</f>
        <v>477.789422396512</v>
      </c>
      <c r="H109" s="0" t="n">
        <f aca="false">W_PH(H$2,$A109)</f>
        <v>477.782810165302</v>
      </c>
      <c r="I109" s="0" t="n">
        <f aca="false">W_PH(I$2,$A109)</f>
        <v>477.776218898866</v>
      </c>
      <c r="J109" s="0" t="n">
        <f aca="false">W_PH(J$2,$A109)</f>
        <v>477.769647688451</v>
      </c>
      <c r="K109" s="0" t="n">
        <f aca="false">W_PH(K$2,$A109)</f>
        <v>477.763095661233</v>
      </c>
      <c r="L109" s="0" t="n">
        <f aca="false">W_PH(L$2,$A109)</f>
        <v>477.756561979225</v>
      </c>
      <c r="M109" s="0" t="n">
        <f aca="false">W_PH(M$2,$A109)</f>
        <v>477.750045838194</v>
      </c>
      <c r="N109" s="0" t="n">
        <f aca="false">W_PH(N$2,$A109)</f>
        <v>477.743546466563</v>
      </c>
      <c r="O109" s="0" t="n">
        <f aca="false">W_PH(O$2,$A109)</f>
        <v>477.73706312432</v>
      </c>
      <c r="P109" s="0" t="n">
        <f aca="false">W_PH(P$2,$A109)</f>
        <v>477.672968905389</v>
      </c>
      <c r="Q109" s="0" t="n">
        <f aca="false">W_PH(Q$2,$A109)</f>
        <v>477.609856466312</v>
      </c>
      <c r="R109" s="0" t="n">
        <f aca="false">W_PH(R$2,$A109)</f>
        <v>477.547341055035</v>
      </c>
      <c r="S109" s="0" t="n">
        <f aca="false">W_PH(S$2,$A109)</f>
        <v>477.485133611325</v>
      </c>
      <c r="T109" s="0" t="n">
        <f aca="false">W_PH(T$2,$A109)</f>
        <v>477.422962118153</v>
      </c>
      <c r="U109" s="0" t="n">
        <f aca="false">W_PH(U$2,$A109)</f>
        <v>477.36051025593</v>
      </c>
      <c r="V109" s="0" t="n">
        <f aca="false">W_PH(V$2,$A109)</f>
        <v>477.297373428882</v>
      </c>
      <c r="W109" s="0" t="n">
        <f aca="false">W_PH(W$2,$A109)</f>
        <v>477.233031110437</v>
      </c>
      <c r="X109" s="0" t="n">
        <f aca="false">W_PH(X$2,$A109)</f>
        <v>477.166833850038</v>
      </c>
      <c r="Y109" s="0" t="n">
        <f aca="false">W_PH(Y$2,$A109)</f>
        <v>2015</v>
      </c>
      <c r="Z109" s="0" t="n">
        <f aca="false">W_PH(Z$2,$A109)</f>
        <v>2015</v>
      </c>
      <c r="AA109" s="0" t="n">
        <f aca="false">W_PH(AA$2,$A109)</f>
        <v>2015</v>
      </c>
      <c r="AB109" s="0" t="n">
        <f aca="false">W_PH(AB$2,$A109)</f>
        <v>2015</v>
      </c>
      <c r="AC109" s="0" t="n">
        <f aca="false">W_PH(AC$2,$A109)</f>
        <v>2015</v>
      </c>
      <c r="AD109" s="0" t="n">
        <f aca="false">W_PH(AD$2,$A109)</f>
        <v>2015</v>
      </c>
      <c r="AE109" s="0" t="n">
        <f aca="false">W_PH(AE$2,$A109)</f>
        <v>2015</v>
      </c>
      <c r="AF109" s="0" t="n">
        <f aca="false">W_PH(AF$2,$A109)</f>
        <v>2015</v>
      </c>
      <c r="AG109" s="0" t="n">
        <f aca="false">W_PH(AG$2,$A109)</f>
        <v>2015</v>
      </c>
      <c r="AH109" s="0" t="n">
        <f aca="false">W_PH(AH$2,$A109)</f>
        <v>2015</v>
      </c>
      <c r="AI109" s="0" t="n">
        <f aca="false">W_PH(AI$2,$A109)</f>
        <v>2015</v>
      </c>
      <c r="AJ109" s="0" t="n">
        <f aca="false">W_PH(AJ$2,$A109)</f>
        <v>2015</v>
      </c>
      <c r="AK109" s="0" t="n">
        <f aca="false">W_PH(AK$2,$A109)</f>
        <v>2015</v>
      </c>
      <c r="AL109" s="0" t="n">
        <f aca="false">W_PH(AL$2,$A109)</f>
        <v>2015</v>
      </c>
      <c r="AM109" s="0" t="n">
        <f aca="false">W_PH(AM$2,$A109)</f>
        <v>2015</v>
      </c>
      <c r="AN109" s="0" t="n">
        <f aca="false">W_PH(AN$2,$A109)</f>
        <v>2015</v>
      </c>
      <c r="AO109" s="0" t="n">
        <f aca="false">W_PH(AO$2,$A109)</f>
        <v>2015</v>
      </c>
      <c r="AP109" s="0" t="n">
        <f aca="false">W_PH(AP$2,$A109)</f>
        <v>2015</v>
      </c>
      <c r="AQ109" s="0" t="n">
        <f aca="false">W_PH(AQ$2,$A109)</f>
        <v>470.319179718632</v>
      </c>
      <c r="AR109" s="0" t="n">
        <f aca="false">W_PH(AR$2,$A109)</f>
        <v>474.198239532114</v>
      </c>
      <c r="AS109" s="0" t="n">
        <f aca="false">W_PH(AS$2,$A109)</f>
        <v>476.180712115921</v>
      </c>
    </row>
    <row r="110" customFormat="false" ht="13.8" hidden="false" customHeight="false" outlineLevel="0" collapsed="false">
      <c r="A110" s="0" t="n">
        <v>2700</v>
      </c>
      <c r="B110" s="0" t="n">
        <f aca="false">W_PH(B$2,$A110)</f>
        <v>481.072105168556</v>
      </c>
      <c r="C110" s="0" t="n">
        <f aca="false">W_PH(C$2,$A110)</f>
        <v>481.071459721649</v>
      </c>
      <c r="D110" s="0" t="n">
        <f aca="false">W_PH(D$2,$A110)</f>
        <v>481.070814463609</v>
      </c>
      <c r="E110" s="0" t="n">
        <f aca="false">W_PH(E$2,$A110)</f>
        <v>481.070169393945</v>
      </c>
      <c r="F110" s="0" t="n">
        <f aca="false">W_PH(F$2,$A110)</f>
        <v>481.069524512163</v>
      </c>
      <c r="G110" s="0" t="n">
        <f aca="false">W_PH(G$2,$A110)</f>
        <v>481.06308592096</v>
      </c>
      <c r="H110" s="0" t="n">
        <f aca="false">W_PH(H$2,$A110)</f>
        <v>481.05666559001</v>
      </c>
      <c r="I110" s="0" t="n">
        <f aca="false">W_PH(I$2,$A110)</f>
        <v>481.050263055964</v>
      </c>
      <c r="J110" s="0" t="n">
        <f aca="false">W_PH(J$2,$A110)</f>
        <v>481.04387787215</v>
      </c>
      <c r="K110" s="0" t="n">
        <f aca="false">W_PH(K$2,$A110)</f>
        <v>481.037509608114</v>
      </c>
      <c r="L110" s="0" t="n">
        <f aca="false">W_PH(L$2,$A110)</f>
        <v>481.031157849162</v>
      </c>
      <c r="M110" s="0" t="n">
        <f aca="false">W_PH(M$2,$A110)</f>
        <v>481.024822195892</v>
      </c>
      <c r="N110" s="0" t="n">
        <f aca="false">W_PH(N$2,$A110)</f>
        <v>481.018502263725</v>
      </c>
      <c r="O110" s="0" t="n">
        <f aca="false">W_PH(O$2,$A110)</f>
        <v>481.012197682428</v>
      </c>
      <c r="P110" s="0" t="n">
        <f aca="false">W_PH(P$2,$A110)</f>
        <v>480.949924019624</v>
      </c>
      <c r="Q110" s="0" t="n">
        <f aca="false">W_PH(Q$2,$A110)</f>
        <v>480.888866359135</v>
      </c>
      <c r="R110" s="0" t="n">
        <f aca="false">W_PH(R$2,$A110)</f>
        <v>480.828817117947</v>
      </c>
      <c r="S110" s="0" t="n">
        <f aca="false">W_PH(S$2,$A110)</f>
        <v>480.769611740407</v>
      </c>
      <c r="T110" s="0" t="n">
        <f aca="false">W_PH(T$2,$A110)</f>
        <v>480.711090533025</v>
      </c>
      <c r="U110" s="0" t="n">
        <f aca="false">W_PH(U$2,$A110)</f>
        <v>480.653067613866</v>
      </c>
      <c r="V110" s="0" t="n">
        <f aca="false">W_PH(V$2,$A110)</f>
        <v>480.595307424351</v>
      </c>
      <c r="W110" s="0" t="n">
        <f aca="false">W_PH(W$2,$A110)</f>
        <v>480.537508644736</v>
      </c>
      <c r="X110" s="0" t="n">
        <f aca="false">W_PH(X$2,$A110)</f>
        <v>480.479294989673</v>
      </c>
      <c r="Y110" s="0" t="n">
        <f aca="false">W_PH(Y$2,$A110)</f>
        <v>2015</v>
      </c>
      <c r="Z110" s="0" t="n">
        <f aca="false">W_PH(Z$2,$A110)</f>
        <v>2015</v>
      </c>
      <c r="AA110" s="0" t="n">
        <f aca="false">W_PH(AA$2,$A110)</f>
        <v>2015</v>
      </c>
      <c r="AB110" s="0" t="n">
        <f aca="false">W_PH(AB$2,$A110)</f>
        <v>2015</v>
      </c>
      <c r="AC110" s="0" t="n">
        <f aca="false">W_PH(AC$2,$A110)</f>
        <v>2015</v>
      </c>
      <c r="AD110" s="0" t="n">
        <f aca="false">W_PH(AD$2,$A110)</f>
        <v>2015</v>
      </c>
      <c r="AE110" s="0" t="n">
        <f aca="false">W_PH(AE$2,$A110)</f>
        <v>2015</v>
      </c>
      <c r="AF110" s="0" t="n">
        <f aca="false">W_PH(AF$2,$A110)</f>
        <v>2015</v>
      </c>
      <c r="AG110" s="0" t="n">
        <f aca="false">W_PH(AG$2,$A110)</f>
        <v>2015</v>
      </c>
      <c r="AH110" s="0" t="n">
        <f aca="false">W_PH(AH$2,$A110)</f>
        <v>2015</v>
      </c>
      <c r="AI110" s="0" t="n">
        <f aca="false">W_PH(AI$2,$A110)</f>
        <v>2015</v>
      </c>
      <c r="AJ110" s="0" t="n">
        <f aca="false">W_PH(AJ$2,$A110)</f>
        <v>2015</v>
      </c>
      <c r="AK110" s="0" t="n">
        <f aca="false">W_PH(AK$2,$A110)</f>
        <v>2015</v>
      </c>
      <c r="AL110" s="0" t="n">
        <f aca="false">W_PH(AL$2,$A110)</f>
        <v>2015</v>
      </c>
      <c r="AM110" s="0" t="n">
        <f aca="false">W_PH(AM$2,$A110)</f>
        <v>2015</v>
      </c>
      <c r="AN110" s="0" t="n">
        <f aca="false">W_PH(AN$2,$A110)</f>
        <v>2015</v>
      </c>
      <c r="AO110" s="0" t="n">
        <f aca="false">W_PH(AO$2,$A110)</f>
        <v>2015</v>
      </c>
      <c r="AP110" s="0" t="n">
        <f aca="false">W_PH(AP$2,$A110)</f>
        <v>2015</v>
      </c>
      <c r="AQ110" s="0" t="n">
        <f aca="false">W_PH(AQ$2,$A110)</f>
        <v>473.251927305106</v>
      </c>
      <c r="AR110" s="0" t="n">
        <f aca="false">W_PH(AR$2,$A110)</f>
        <v>477.051554244973</v>
      </c>
      <c r="AS110" s="0" t="n">
        <f aca="false">W_PH(AS$2,$A110)</f>
        <v>478.992976952705</v>
      </c>
    </row>
    <row r="111" customFormat="false" ht="13.8" hidden="false" customHeight="false" outlineLevel="0" collapsed="false">
      <c r="A111" s="0" t="n">
        <v>2710</v>
      </c>
      <c r="B111" s="0" t="n">
        <f aca="false">W_PH(B$2,$A111)</f>
        <v>484.314727737184</v>
      </c>
      <c r="C111" s="0" t="n">
        <f aca="false">W_PH(C$2,$A111)</f>
        <v>484.314102846566</v>
      </c>
      <c r="D111" s="0" t="n">
        <f aca="false">W_PH(D$2,$A111)</f>
        <v>484.313478111361</v>
      </c>
      <c r="E111" s="0" t="n">
        <f aca="false">W_PH(E$2,$A111)</f>
        <v>484.312853531327</v>
      </c>
      <c r="F111" s="0" t="n">
        <f aca="false">W_PH(F$2,$A111)</f>
        <v>484.31222910622</v>
      </c>
      <c r="G111" s="0" t="n">
        <f aca="false">W_PH(G$2,$A111)</f>
        <v>484.305993323276</v>
      </c>
      <c r="H111" s="0" t="n">
        <f aca="false">W_PH(H$2,$A111)</f>
        <v>484.299772771684</v>
      </c>
      <c r="I111" s="0" t="n">
        <f aca="false">W_PH(I$2,$A111)</f>
        <v>484.293567221388</v>
      </c>
      <c r="J111" s="0" t="n">
        <f aca="false">W_PH(J$2,$A111)</f>
        <v>484.287376449912</v>
      </c>
      <c r="K111" s="0" t="n">
        <f aca="false">W_PH(K$2,$A111)</f>
        <v>484.281200242165</v>
      </c>
      <c r="L111" s="0" t="n">
        <f aca="false">W_PH(L$2,$A111)</f>
        <v>484.275038390241</v>
      </c>
      <c r="M111" s="0" t="n">
        <f aca="false">W_PH(M$2,$A111)</f>
        <v>484.268890693217</v>
      </c>
      <c r="N111" s="0" t="n">
        <f aca="false">W_PH(N$2,$A111)</f>
        <v>484.262756956951</v>
      </c>
      <c r="O111" s="0" t="n">
        <f aca="false">W_PH(O$2,$A111)</f>
        <v>484.256636993871</v>
      </c>
      <c r="P111" s="0" t="n">
        <f aca="false">W_PH(P$2,$A111)</f>
        <v>484.19615789728</v>
      </c>
      <c r="Q111" s="0" t="n">
        <f aca="false">W_PH(Q$2,$A111)</f>
        <v>484.136890364585</v>
      </c>
      <c r="R111" s="0" t="n">
        <f aca="false">W_PH(R$2,$A111)</f>
        <v>484.078721705167</v>
      </c>
      <c r="S111" s="0" t="n">
        <f aca="false">W_PH(S$2,$A111)</f>
        <v>484.021558549647</v>
      </c>
      <c r="T111" s="0" t="n">
        <f aca="false">W_PH(T$2,$A111)</f>
        <v>483.965308197483</v>
      </c>
      <c r="U111" s="0" t="n">
        <f aca="false">W_PH(U$2,$A111)</f>
        <v>483.909862858325</v>
      </c>
      <c r="V111" s="0" t="n">
        <f aca="false">W_PH(V$2,$A111)</f>
        <v>483.855087176813</v>
      </c>
      <c r="W111" s="0" t="n">
        <f aca="false">W_PH(W$2,$A111)</f>
        <v>483.800809116272</v>
      </c>
      <c r="X111" s="0" t="n">
        <f aca="false">W_PH(X$2,$A111)</f>
        <v>483.74681407308</v>
      </c>
      <c r="Y111" s="0" t="n">
        <f aca="false">W_PH(Y$2,$A111)</f>
        <v>483.145745536626</v>
      </c>
      <c r="Z111" s="0" t="n">
        <f aca="false">W_PH(Z$2,$A111)</f>
        <v>2015</v>
      </c>
      <c r="AA111" s="0" t="n">
        <f aca="false">W_PH(AA$2,$A111)</f>
        <v>2015</v>
      </c>
      <c r="AB111" s="0" t="n">
        <f aca="false">W_PH(AB$2,$A111)</f>
        <v>2015</v>
      </c>
      <c r="AC111" s="0" t="n">
        <f aca="false">W_PH(AC$2,$A111)</f>
        <v>2015</v>
      </c>
      <c r="AD111" s="0" t="n">
        <f aca="false">W_PH(AD$2,$A111)</f>
        <v>2015</v>
      </c>
      <c r="AE111" s="0" t="n">
        <f aca="false">W_PH(AE$2,$A111)</f>
        <v>2015</v>
      </c>
      <c r="AF111" s="0" t="n">
        <f aca="false">W_PH(AF$2,$A111)</f>
        <v>2015</v>
      </c>
      <c r="AG111" s="0" t="n">
        <f aca="false">W_PH(AG$2,$A111)</f>
        <v>2015</v>
      </c>
      <c r="AH111" s="0" t="n">
        <f aca="false">W_PH(AH$2,$A111)</f>
        <v>2015</v>
      </c>
      <c r="AI111" s="0" t="n">
        <f aca="false">W_PH(AI$2,$A111)</f>
        <v>2015</v>
      </c>
      <c r="AJ111" s="0" t="n">
        <f aca="false">W_PH(AJ$2,$A111)</f>
        <v>2015</v>
      </c>
      <c r="AK111" s="0" t="n">
        <f aca="false">W_PH(AK$2,$A111)</f>
        <v>2015</v>
      </c>
      <c r="AL111" s="0" t="n">
        <f aca="false">W_PH(AL$2,$A111)</f>
        <v>2015</v>
      </c>
      <c r="AM111" s="0" t="n">
        <f aca="false">W_PH(AM$2,$A111)</f>
        <v>2015</v>
      </c>
      <c r="AN111" s="0" t="n">
        <f aca="false">W_PH(AN$2,$A111)</f>
        <v>2015</v>
      </c>
      <c r="AO111" s="0" t="n">
        <f aca="false">W_PH(AO$2,$A111)</f>
        <v>2015</v>
      </c>
      <c r="AP111" s="0" t="n">
        <f aca="false">W_PH(AP$2,$A111)</f>
        <v>2015</v>
      </c>
      <c r="AQ111" s="0" t="n">
        <f aca="false">W_PH(AQ$2,$A111)</f>
        <v>476.185852077512</v>
      </c>
      <c r="AR111" s="0" t="n">
        <f aca="false">W_PH(AR$2,$A111)</f>
        <v>479.90749804442</v>
      </c>
      <c r="AS111" s="0" t="n">
        <f aca="false">W_PH(AS$2,$A111)</f>
        <v>481.808177724167</v>
      </c>
    </row>
    <row r="112" customFormat="false" ht="13.8" hidden="false" customHeight="false" outlineLevel="0" collapsed="false">
      <c r="A112" s="0" t="n">
        <v>2720</v>
      </c>
      <c r="B112" s="0" t="n">
        <f aca="false">W_PH(B$2,$A112)</f>
        <v>487.527190153563</v>
      </c>
      <c r="C112" s="0" t="n">
        <f aca="false">W_PH(C$2,$A112)</f>
        <v>487.526586010206</v>
      </c>
      <c r="D112" s="0" t="n">
        <f aca="false">W_PH(D$2,$A112)</f>
        <v>487.52598199613</v>
      </c>
      <c r="E112" s="0" t="n">
        <f aca="false">W_PH(E$2,$A112)</f>
        <v>487.52537811121</v>
      </c>
      <c r="F112" s="0" t="n">
        <f aca="false">W_PH(F$2,$A112)</f>
        <v>487.524774355326</v>
      </c>
      <c r="G112" s="0" t="n">
        <f aca="false">W_PH(G$2,$A112)</f>
        <v>487.518743866725</v>
      </c>
      <c r="H112" s="0" t="n">
        <f aca="false">W_PH(H$2,$A112)</f>
        <v>487.512726149615</v>
      </c>
      <c r="I112" s="0" t="n">
        <f aca="false">W_PH(I$2,$A112)</f>
        <v>487.506721087463</v>
      </c>
      <c r="J112" s="0" t="n">
        <f aca="false">W_PH(J$2,$A112)</f>
        <v>487.500728567208</v>
      </c>
      <c r="K112" s="0" t="n">
        <f aca="false">W_PH(K$2,$A112)</f>
        <v>487.494748479176</v>
      </c>
      <c r="L112" s="0" t="n">
        <f aca="false">W_PH(L$2,$A112)</f>
        <v>487.488780716993</v>
      </c>
      <c r="M112" s="0" t="n">
        <f aca="false">W_PH(M$2,$A112)</f>
        <v>487.4828251775</v>
      </c>
      <c r="N112" s="0" t="n">
        <f aca="false">W_PH(N$2,$A112)</f>
        <v>487.47688176066</v>
      </c>
      <c r="O112" s="0" t="n">
        <f aca="false">W_PH(O$2,$A112)</f>
        <v>487.470950369468</v>
      </c>
      <c r="P112" s="0" t="n">
        <f aca="false">W_PH(P$2,$A112)</f>
        <v>487.412278503357</v>
      </c>
      <c r="Q112" s="0" t="n">
        <f aca="false">W_PH(Q$2,$A112)</f>
        <v>487.354721276</v>
      </c>
      <c r="R112" s="0" t="n">
        <f aca="false">W_PH(R$2,$A112)</f>
        <v>487.298216322928</v>
      </c>
      <c r="S112" s="0" t="n">
        <f aca="false">W_PH(S$2,$A112)</f>
        <v>487.242709926545</v>
      </c>
      <c r="T112" s="0" t="n">
        <f aca="false">W_PH(T$2,$A112)</f>
        <v>487.188147837245</v>
      </c>
      <c r="U112" s="0" t="n">
        <f aca="false">W_PH(U$2,$A112)</f>
        <v>487.134467250811</v>
      </c>
      <c r="V112" s="0" t="n">
        <f aca="false">W_PH(V$2,$A112)</f>
        <v>487.081590203458</v>
      </c>
      <c r="W112" s="0" t="n">
        <f aca="false">W_PH(W$2,$A112)</f>
        <v>487.029418487824</v>
      </c>
      <c r="X112" s="0" t="n">
        <f aca="false">W_PH(X$2,$A112)</f>
        <v>486.977830084841</v>
      </c>
      <c r="Y112" s="0" t="n">
        <f aca="false">W_PH(Y$2,$A112)</f>
        <v>486.44934573136</v>
      </c>
      <c r="Z112" s="0" t="n">
        <f aca="false">W_PH(Z$2,$A112)</f>
        <v>2015</v>
      </c>
      <c r="AA112" s="0" t="n">
        <f aca="false">W_PH(AA$2,$A112)</f>
        <v>2015</v>
      </c>
      <c r="AB112" s="0" t="n">
        <f aca="false">W_PH(AB$2,$A112)</f>
        <v>2015</v>
      </c>
      <c r="AC112" s="0" t="n">
        <f aca="false">W_PH(AC$2,$A112)</f>
        <v>2015</v>
      </c>
      <c r="AD112" s="0" t="n">
        <f aca="false">W_PH(AD$2,$A112)</f>
        <v>2015</v>
      </c>
      <c r="AE112" s="0" t="n">
        <f aca="false">W_PH(AE$2,$A112)</f>
        <v>2015</v>
      </c>
      <c r="AF112" s="0" t="n">
        <f aca="false">W_PH(AF$2,$A112)</f>
        <v>2015</v>
      </c>
      <c r="AG112" s="0" t="n">
        <f aca="false">W_PH(AG$2,$A112)</f>
        <v>2015</v>
      </c>
      <c r="AH112" s="0" t="n">
        <f aca="false">W_PH(AH$2,$A112)</f>
        <v>2015</v>
      </c>
      <c r="AI112" s="0" t="n">
        <f aca="false">W_PH(AI$2,$A112)</f>
        <v>2015</v>
      </c>
      <c r="AJ112" s="0" t="n">
        <f aca="false">W_PH(AJ$2,$A112)</f>
        <v>2015</v>
      </c>
      <c r="AK112" s="0" t="n">
        <f aca="false">W_PH(AK$2,$A112)</f>
        <v>2015</v>
      </c>
      <c r="AL112" s="0" t="n">
        <f aca="false">W_PH(AL$2,$A112)</f>
        <v>2015</v>
      </c>
      <c r="AM112" s="0" t="n">
        <f aca="false">W_PH(AM$2,$A112)</f>
        <v>2015</v>
      </c>
      <c r="AN112" s="0" t="n">
        <f aca="false">W_PH(AN$2,$A112)</f>
        <v>2015</v>
      </c>
      <c r="AO112" s="0" t="n">
        <f aca="false">W_PH(AO$2,$A112)</f>
        <v>2015</v>
      </c>
      <c r="AP112" s="0" t="n">
        <f aca="false">W_PH(AP$2,$A112)</f>
        <v>2015</v>
      </c>
      <c r="AQ112" s="0" t="n">
        <f aca="false">W_PH(AQ$2,$A112)</f>
        <v>479.12083103669</v>
      </c>
      <c r="AR112" s="0" t="n">
        <f aca="false">W_PH(AR$2,$A112)</f>
        <v>482.765147568735</v>
      </c>
      <c r="AS112" s="0" t="n">
        <f aca="false">W_PH(AS$2,$A112)</f>
        <v>484.625163840989</v>
      </c>
    </row>
    <row r="113" customFormat="false" ht="13.8" hidden="false" customHeight="false" outlineLevel="0" collapsed="false">
      <c r="A113" s="0" t="n">
        <v>2730</v>
      </c>
      <c r="B113" s="0" t="n">
        <f aca="false">W_PH(B$2,$A113)</f>
        <v>490.710087437913</v>
      </c>
      <c r="C113" s="0" t="n">
        <f aca="false">W_PH(C$2,$A113)</f>
        <v>490.709503919472</v>
      </c>
      <c r="D113" s="0" t="n">
        <f aca="false">W_PH(D$2,$A113)</f>
        <v>490.708920509672</v>
      </c>
      <c r="E113" s="0" t="n">
        <f aca="false">W_PH(E$2,$A113)</f>
        <v>490.708337208449</v>
      </c>
      <c r="F113" s="0" t="n">
        <f aca="false">W_PH(F$2,$A113)</f>
        <v>490.70775401574</v>
      </c>
      <c r="G113" s="0" t="n">
        <f aca="false">W_PH(G$2,$A113)</f>
        <v>490.701928043016</v>
      </c>
      <c r="H113" s="0" t="n">
        <f aca="false">W_PH(H$2,$A113)</f>
        <v>490.696112852919</v>
      </c>
      <c r="I113" s="0" t="n">
        <f aca="false">W_PH(I$2,$A113)</f>
        <v>490.690308384573</v>
      </c>
      <c r="J113" s="0" t="n">
        <f aca="false">W_PH(J$2,$A113)</f>
        <v>490.684514578703</v>
      </c>
      <c r="K113" s="0" t="n">
        <f aca="false">W_PH(K$2,$A113)</f>
        <v>490.678731377598</v>
      </c>
      <c r="L113" s="0" t="n">
        <f aca="false">W_PH(L$2,$A113)</f>
        <v>490.672958725074</v>
      </c>
      <c r="M113" s="0" t="n">
        <f aca="false">W_PH(M$2,$A113)</f>
        <v>490.667196566435</v>
      </c>
      <c r="N113" s="0" t="n">
        <f aca="false">W_PH(N$2,$A113)</f>
        <v>490.66144484843</v>
      </c>
      <c r="O113" s="0" t="n">
        <f aca="false">W_PH(O$2,$A113)</f>
        <v>490.655703519215</v>
      </c>
      <c r="P113" s="0" t="n">
        <f aca="false">W_PH(P$2,$A113)</f>
        <v>490.598851123604</v>
      </c>
      <c r="Q113" s="0" t="n">
        <f aca="false">W_PH(Q$2,$A113)</f>
        <v>490.542989312814</v>
      </c>
      <c r="R113" s="0" t="n">
        <f aca="false">W_PH(R$2,$A113)</f>
        <v>490.488082325955</v>
      </c>
      <c r="S113" s="0" t="n">
        <f aca="false">W_PH(S$2,$A113)</f>
        <v>490.434098244589</v>
      </c>
      <c r="T113" s="0" t="n">
        <f aca="false">W_PH(T$2,$A113)</f>
        <v>490.381004446885</v>
      </c>
      <c r="U113" s="0" t="n">
        <f aca="false">W_PH(U$2,$A113)</f>
        <v>490.328763510682</v>
      </c>
      <c r="V113" s="0" t="n">
        <f aca="false">W_PH(V$2,$A113)</f>
        <v>490.277329722963</v>
      </c>
      <c r="W113" s="0" t="n">
        <f aca="false">W_PH(W$2,$A113)</f>
        <v>490.2266462752</v>
      </c>
      <c r="X113" s="0" t="n">
        <f aca="false">W_PH(X$2,$A113)</f>
        <v>490.176643168232</v>
      </c>
      <c r="Y113" s="0" t="n">
        <f aca="false">W_PH(Y$2,$A113)</f>
        <v>489.688143737949</v>
      </c>
      <c r="Z113" s="0" t="n">
        <f aca="false">W_PH(Z$2,$A113)</f>
        <v>489.101219188653</v>
      </c>
      <c r="AA113" s="0" t="n">
        <f aca="false">W_PH(AA$2,$A113)</f>
        <v>2015</v>
      </c>
      <c r="AB113" s="0" t="n">
        <f aca="false">W_PH(AB$2,$A113)</f>
        <v>2015</v>
      </c>
      <c r="AC113" s="0" t="n">
        <f aca="false">W_PH(AC$2,$A113)</f>
        <v>2015</v>
      </c>
      <c r="AD113" s="0" t="n">
        <f aca="false">W_PH(AD$2,$A113)</f>
        <v>2015</v>
      </c>
      <c r="AE113" s="0" t="n">
        <f aca="false">W_PH(AE$2,$A113)</f>
        <v>2015</v>
      </c>
      <c r="AF113" s="0" t="n">
        <f aca="false">W_PH(AF$2,$A113)</f>
        <v>2015</v>
      </c>
      <c r="AG113" s="0" t="n">
        <f aca="false">W_PH(AG$2,$A113)</f>
        <v>2015</v>
      </c>
      <c r="AH113" s="0" t="n">
        <f aca="false">W_PH(AH$2,$A113)</f>
        <v>2015</v>
      </c>
      <c r="AI113" s="0" t="n">
        <f aca="false">W_PH(AI$2,$A113)</f>
        <v>2015</v>
      </c>
      <c r="AJ113" s="0" t="n">
        <f aca="false">W_PH(AJ$2,$A113)</f>
        <v>2015</v>
      </c>
      <c r="AK113" s="0" t="n">
        <f aca="false">W_PH(AK$2,$A113)</f>
        <v>2015</v>
      </c>
      <c r="AL113" s="0" t="n">
        <f aca="false">W_PH(AL$2,$A113)</f>
        <v>2015</v>
      </c>
      <c r="AM113" s="0" t="n">
        <f aca="false">W_PH(AM$2,$A113)</f>
        <v>2015</v>
      </c>
      <c r="AN113" s="0" t="n">
        <f aca="false">W_PH(AN$2,$A113)</f>
        <v>2015</v>
      </c>
      <c r="AO113" s="0" t="n">
        <f aca="false">W_PH(AO$2,$A113)</f>
        <v>2015</v>
      </c>
      <c r="AP113" s="0" t="n">
        <f aca="false">W_PH(AP$2,$A113)</f>
        <v>474.065707481651</v>
      </c>
      <c r="AQ113" s="0" t="n">
        <f aca="false">W_PH(AQ$2,$A113)</f>
        <v>482.056239994759</v>
      </c>
      <c r="AR113" s="0" t="n">
        <f aca="false">W_PH(AR$2,$A113)</f>
        <v>485.62326945661</v>
      </c>
      <c r="AS113" s="0" t="n">
        <f aca="false">W_PH(AS$2,$A113)</f>
        <v>487.442553489852</v>
      </c>
    </row>
    <row r="114" customFormat="false" ht="13.8" hidden="false" customHeight="false" outlineLevel="0" collapsed="false">
      <c r="A114" s="0" t="n">
        <v>2740</v>
      </c>
      <c r="B114" s="0" t="n">
        <f aca="false">W_PH(B$2,$A114)</f>
        <v>493.864002688283</v>
      </c>
      <c r="C114" s="0" t="n">
        <f aca="false">W_PH(C$2,$A114)</f>
        <v>493.863439465289</v>
      </c>
      <c r="D114" s="0" t="n">
        <f aca="false">W_PH(D$2,$A114)</f>
        <v>493.86287633442</v>
      </c>
      <c r="E114" s="0" t="n">
        <f aca="false">W_PH(E$2,$A114)</f>
        <v>493.862313295643</v>
      </c>
      <c r="F114" s="0" t="n">
        <f aca="false">W_PH(F$2,$A114)</f>
        <v>493.861750348923</v>
      </c>
      <c r="G114" s="0" t="n">
        <f aca="false">W_PH(G$2,$A114)</f>
        <v>493.8561259373</v>
      </c>
      <c r="H114" s="0" t="n">
        <f aca="false">W_PH(H$2,$A114)</f>
        <v>493.850510693919</v>
      </c>
      <c r="I114" s="0" t="n">
        <f aca="false">W_PH(I$2,$A114)</f>
        <v>493.844904585474</v>
      </c>
      <c r="J114" s="0" t="n">
        <f aca="false">W_PH(J$2,$A114)</f>
        <v>493.839307579399</v>
      </c>
      <c r="K114" s="0" t="n">
        <f aca="false">W_PH(K$2,$A114)</f>
        <v>493.833719643858</v>
      </c>
      <c r="L114" s="0" t="n">
        <f aca="false">W_PH(L$2,$A114)</f>
        <v>493.828140747721</v>
      </c>
      <c r="M114" s="0" t="n">
        <f aca="false">W_PH(M$2,$A114)</f>
        <v>493.822570860549</v>
      </c>
      <c r="N114" s="0" t="n">
        <f aca="false">W_PH(N$2,$A114)</f>
        <v>493.817009952579</v>
      </c>
      <c r="O114" s="0" t="n">
        <f aca="false">W_PH(O$2,$A114)</f>
        <v>493.8114579947</v>
      </c>
      <c r="P114" s="0" t="n">
        <f aca="false">W_PH(P$2,$A114)</f>
        <v>493.756424695127</v>
      </c>
      <c r="Q114" s="0" t="n">
        <f aca="false">W_PH(Q$2,$A114)</f>
        <v>493.702258456023</v>
      </c>
      <c r="R114" s="0" t="n">
        <f aca="false">W_PH(R$2,$A114)</f>
        <v>493.648937642917</v>
      </c>
      <c r="S114" s="0" t="n">
        <f aca="false">W_PH(S$2,$A114)</f>
        <v>493.596442304821</v>
      </c>
      <c r="T114" s="0" t="n">
        <f aca="false">W_PH(T$2,$A114)</f>
        <v>493.544751910182</v>
      </c>
      <c r="U114" s="0" t="n">
        <f aca="false">W_PH(U$2,$A114)</f>
        <v>493.493843248958</v>
      </c>
      <c r="V114" s="0" t="n">
        <f aca="false">W_PH(V$2,$A114)</f>
        <v>493.443688590367</v>
      </c>
      <c r="W114" s="0" t="n">
        <f aca="false">W_PH(W$2,$A114)</f>
        <v>493.394254147913</v>
      </c>
      <c r="X114" s="0" t="n">
        <f aca="false">W_PH(X$2,$A114)</f>
        <v>493.345498875134</v>
      </c>
      <c r="Y114" s="0" t="n">
        <f aca="false">W_PH(Y$2,$A114)</f>
        <v>492.880219882964</v>
      </c>
      <c r="Z114" s="0" t="n">
        <f aca="false">W_PH(Z$2,$A114)</f>
        <v>492.38259819085</v>
      </c>
      <c r="AA114" s="0" t="n">
        <f aca="false">W_PH(AA$2,$A114)</f>
        <v>491.744476010626</v>
      </c>
      <c r="AB114" s="0" t="n">
        <f aca="false">W_PH(AB$2,$A114)</f>
        <v>2015</v>
      </c>
      <c r="AC114" s="0" t="n">
        <f aca="false">W_PH(AC$2,$A114)</f>
        <v>2015</v>
      </c>
      <c r="AD114" s="0" t="n">
        <f aca="false">W_PH(AD$2,$A114)</f>
        <v>2015</v>
      </c>
      <c r="AE114" s="0" t="n">
        <f aca="false">W_PH(AE$2,$A114)</f>
        <v>2015</v>
      </c>
      <c r="AF114" s="0" t="n">
        <f aca="false">W_PH(AF$2,$A114)</f>
        <v>2015</v>
      </c>
      <c r="AG114" s="0" t="n">
        <f aca="false">W_PH(AG$2,$A114)</f>
        <v>2015</v>
      </c>
      <c r="AH114" s="0" t="n">
        <f aca="false">W_PH(AH$2,$A114)</f>
        <v>2015</v>
      </c>
      <c r="AI114" s="0" t="n">
        <f aca="false">W_PH(AI$2,$A114)</f>
        <v>2015</v>
      </c>
      <c r="AJ114" s="0" t="n">
        <f aca="false">W_PH(AJ$2,$A114)</f>
        <v>2015</v>
      </c>
      <c r="AK114" s="0" t="n">
        <f aca="false">W_PH(AK$2,$A114)</f>
        <v>2015</v>
      </c>
      <c r="AL114" s="0" t="n">
        <f aca="false">W_PH(AL$2,$A114)</f>
        <v>2015</v>
      </c>
      <c r="AM114" s="0" t="n">
        <f aca="false">W_PH(AM$2,$A114)</f>
        <v>2015</v>
      </c>
      <c r="AN114" s="0" t="n">
        <f aca="false">W_PH(AN$2,$A114)</f>
        <v>2015</v>
      </c>
      <c r="AO114" s="0" t="n">
        <f aca="false">W_PH(AO$2,$A114)</f>
        <v>2015</v>
      </c>
      <c r="AP114" s="0" t="n">
        <f aca="false">W_PH(AP$2,$A114)</f>
        <v>477.611352173054</v>
      </c>
      <c r="AQ114" s="0" t="n">
        <f aca="false">W_PH(AQ$2,$A114)</f>
        <v>484.991048490077</v>
      </c>
      <c r="AR114" s="0" t="n">
        <f aca="false">W_PH(AR$2,$A114)</f>
        <v>488.480418017272</v>
      </c>
      <c r="AS114" s="0" t="n">
        <f aca="false">W_PH(AS$2,$A114)</f>
        <v>490.258827263149</v>
      </c>
    </row>
    <row r="115" customFormat="false" ht="13.8" hidden="false" customHeight="false" outlineLevel="0" collapsed="false">
      <c r="A115" s="0" t="n">
        <v>2750</v>
      </c>
      <c r="B115" s="0" t="n">
        <f aca="false">W_PH(B$2,$A115)</f>
        <v>496.989506307452</v>
      </c>
      <c r="C115" s="0" t="n">
        <f aca="false">W_PH(C$2,$A115)</f>
        <v>496.988962917881</v>
      </c>
      <c r="D115" s="0" t="n">
        <f aca="false">W_PH(D$2,$A115)</f>
        <v>496.988419607044</v>
      </c>
      <c r="E115" s="0" t="n">
        <f aca="false">W_PH(E$2,$A115)</f>
        <v>496.987876374919</v>
      </c>
      <c r="F115" s="0" t="n">
        <f aca="false">W_PH(F$2,$A115)</f>
        <v>496.987333221487</v>
      </c>
      <c r="G115" s="0" t="n">
        <f aca="false">W_PH(G$2,$A115)</f>
        <v>496.981906010917</v>
      </c>
      <c r="H115" s="0" t="n">
        <f aca="false">W_PH(H$2,$A115)</f>
        <v>496.976486647906</v>
      </c>
      <c r="I115" s="0" t="n">
        <f aca="false">W_PH(I$2,$A115)</f>
        <v>496.971075113022</v>
      </c>
      <c r="J115" s="0" t="n">
        <f aca="false">W_PH(J$2,$A115)</f>
        <v>496.965671387177</v>
      </c>
      <c r="K115" s="0" t="n">
        <f aca="false">W_PH(K$2,$A115)</f>
        <v>496.960275451616</v>
      </c>
      <c r="L115" s="0" t="n">
        <f aca="false">W_PH(L$2,$A115)</f>
        <v>496.954887287919</v>
      </c>
      <c r="M115" s="0" t="n">
        <f aca="false">W_PH(M$2,$A115)</f>
        <v>496.949506877986</v>
      </c>
      <c r="N115" s="0" t="n">
        <f aca="false">W_PH(N$2,$A115)</f>
        <v>496.944134204028</v>
      </c>
      <c r="O115" s="0" t="n">
        <f aca="false">W_PH(O$2,$A115)</f>
        <v>496.938769248564</v>
      </c>
      <c r="P115" s="0" t="n">
        <f aca="false">W_PH(P$2,$A115)</f>
        <v>496.88554056477</v>
      </c>
      <c r="Q115" s="0" t="n">
        <f aca="false">W_PH(Q$2,$A115)</f>
        <v>496.833066397021</v>
      </c>
      <c r="R115" s="0" t="n">
        <f aca="false">W_PH(R$2,$A115)</f>
        <v>496.781332727671</v>
      </c>
      <c r="S115" s="0" t="n">
        <f aca="false">W_PH(S$2,$A115)</f>
        <v>496.730326256249</v>
      </c>
      <c r="T115" s="0" t="n">
        <f aca="false">W_PH(T$2,$A115)</f>
        <v>496.680033266634</v>
      </c>
      <c r="U115" s="0" t="n">
        <f aca="false">W_PH(U$2,$A115)</f>
        <v>496.630438550539</v>
      </c>
      <c r="V115" s="0" t="n">
        <f aca="false">W_PH(V$2,$A115)</f>
        <v>496.581524436457</v>
      </c>
      <c r="W115" s="0" t="n">
        <f aca="false">W_PH(W$2,$A115)</f>
        <v>496.533269954964</v>
      </c>
      <c r="X115" s="0" t="n">
        <f aca="false">W_PH(X$2,$A115)</f>
        <v>496.485650157264</v>
      </c>
      <c r="Y115" s="0" t="n">
        <f aca="false">W_PH(Y$2,$A115)</f>
        <v>496.035425213089</v>
      </c>
      <c r="Z115" s="0" t="n">
        <f aca="false">W_PH(Z$2,$A115)</f>
        <v>495.588228052617</v>
      </c>
      <c r="AA115" s="0" t="n">
        <f aca="false">W_PH(AA$2,$A115)</f>
        <v>495.071769992051</v>
      </c>
      <c r="AB115" s="0" t="n">
        <f aca="false">W_PH(AB$2,$A115)</f>
        <v>494.439479855721</v>
      </c>
      <c r="AC115" s="0" t="n">
        <f aca="false">W_PH(AC$2,$A115)</f>
        <v>2015</v>
      </c>
      <c r="AD115" s="0" t="n">
        <f aca="false">W_PH(AD$2,$A115)</f>
        <v>2015</v>
      </c>
      <c r="AE115" s="0" t="n">
        <f aca="false">W_PH(AE$2,$A115)</f>
        <v>2015</v>
      </c>
      <c r="AF115" s="0" t="n">
        <f aca="false">W_PH(AF$2,$A115)</f>
        <v>2015</v>
      </c>
      <c r="AG115" s="0" t="n">
        <f aca="false">W_PH(AG$2,$A115)</f>
        <v>2015</v>
      </c>
      <c r="AH115" s="0" t="n">
        <f aca="false">W_PH(AH$2,$A115)</f>
        <v>2015</v>
      </c>
      <c r="AI115" s="0" t="n">
        <f aca="false">W_PH(AI$2,$A115)</f>
        <v>2015</v>
      </c>
      <c r="AJ115" s="0" t="n">
        <f aca="false">W_PH(AJ$2,$A115)</f>
        <v>2015</v>
      </c>
      <c r="AK115" s="0" t="n">
        <f aca="false">W_PH(AK$2,$A115)</f>
        <v>2015</v>
      </c>
      <c r="AL115" s="0" t="n">
        <f aca="false">W_PH(AL$2,$A115)</f>
        <v>2015</v>
      </c>
      <c r="AM115" s="0" t="n">
        <f aca="false">W_PH(AM$2,$A115)</f>
        <v>2015</v>
      </c>
      <c r="AN115" s="0" t="n">
        <f aca="false">W_PH(AN$2,$A115)</f>
        <v>2015</v>
      </c>
      <c r="AO115" s="0" t="n">
        <f aca="false">W_PH(AO$2,$A115)</f>
        <v>480.961179607186</v>
      </c>
      <c r="AP115" s="0" t="n">
        <f aca="false">W_PH(AP$2,$A115)</f>
        <v>481.046514228155</v>
      </c>
      <c r="AQ115" s="0" t="n">
        <f aca="false">W_PH(AQ$2,$A115)</f>
        <v>487.923930818818</v>
      </c>
      <c r="AR115" s="0" t="n">
        <f aca="false">W_PH(AR$2,$A115)</f>
        <v>491.33503573696</v>
      </c>
      <c r="AS115" s="0" t="n">
        <f aca="false">W_PH(AS$2,$A115)</f>
        <v>493.072420474233</v>
      </c>
    </row>
    <row r="116" customFormat="false" ht="13.8" hidden="false" customHeight="false" outlineLevel="0" collapsed="false">
      <c r="A116" s="0" t="n">
        <v>2760</v>
      </c>
      <c r="B116" s="0" t="n">
        <f aca="false">W_PH(B$2,$A116)</f>
        <v>500.087155452905</v>
      </c>
      <c r="C116" s="0" t="n">
        <f aca="false">W_PH(C$2,$A116)</f>
        <v>500.086631353855</v>
      </c>
      <c r="D116" s="0" t="n">
        <f aca="false">W_PH(D$2,$A116)</f>
        <v>500.086107322538</v>
      </c>
      <c r="E116" s="0" t="n">
        <f aca="false">W_PH(E$2,$A116)</f>
        <v>500.085583358942</v>
      </c>
      <c r="F116" s="0" t="n">
        <f aca="false">W_PH(F$2,$A116)</f>
        <v>500.085059463055</v>
      </c>
      <c r="G116" s="0" t="n">
        <f aca="false">W_PH(G$2,$A116)</f>
        <v>500.079824225411</v>
      </c>
      <c r="H116" s="0" t="n">
        <f aca="false">W_PH(H$2,$A116)</f>
        <v>500.074595744953</v>
      </c>
      <c r="I116" s="0" t="n">
        <f aca="false">W_PH(I$2,$A116)</f>
        <v>500.069374009406</v>
      </c>
      <c r="J116" s="0" t="n">
        <f aca="false">W_PH(J$2,$A116)</f>
        <v>500.064159006652</v>
      </c>
      <c r="K116" s="0" t="n">
        <f aca="false">W_PH(K$2,$A116)</f>
        <v>500.058950724732</v>
      </c>
      <c r="L116" s="0" t="n">
        <f aca="false">W_PH(L$2,$A116)</f>
        <v>500.053749151837</v>
      </c>
      <c r="M116" s="0" t="n">
        <f aca="false">W_PH(M$2,$A116)</f>
        <v>500.048554276309</v>
      </c>
      <c r="N116" s="0" t="n">
        <f aca="false">W_PH(N$2,$A116)</f>
        <v>500.043366086636</v>
      </c>
      <c r="O116" s="0" t="n">
        <f aca="false">W_PH(O$2,$A116)</f>
        <v>500.038184571444</v>
      </c>
      <c r="P116" s="0" t="n">
        <f aca="false">W_PH(P$2,$A116)</f>
        <v>499.986734106822</v>
      </c>
      <c r="Q116" s="0" t="n">
        <f aca="false">W_PH(Q$2,$A116)</f>
        <v>499.935939458921</v>
      </c>
      <c r="R116" s="0" t="n">
        <f aca="false">W_PH(R$2,$A116)</f>
        <v>499.885790845563</v>
      </c>
      <c r="S116" s="0" t="n">
        <f aca="false">W_PH(S$2,$A116)</f>
        <v>499.836278773121</v>
      </c>
      <c r="T116" s="0" t="n">
        <f aca="false">W_PH(T$2,$A116)</f>
        <v>499.787393467819</v>
      </c>
      <c r="U116" s="0" t="n">
        <f aca="false">W_PH(U$2,$A116)</f>
        <v>499.739124322709</v>
      </c>
      <c r="V116" s="0" t="n">
        <f aca="false">W_PH(V$2,$A116)</f>
        <v>499.6914593867</v>
      </c>
      <c r="W116" s="0" t="n">
        <f aca="false">W_PH(W$2,$A116)</f>
        <v>499.644384913295</v>
      </c>
      <c r="X116" s="0" t="n">
        <f aca="false">W_PH(X$2,$A116)</f>
        <v>499.597884979755</v>
      </c>
      <c r="Y116" s="0" t="n">
        <f aca="false">W_PH(Y$2,$A116)</f>
        <v>499.159037830303</v>
      </c>
      <c r="Z116" s="0" t="n">
        <f aca="false">W_PH(Z$2,$A116)</f>
        <v>498.740749584322</v>
      </c>
      <c r="AA116" s="0" t="n">
        <f aca="false">W_PH(AA$2,$A116)</f>
        <v>498.295993232725</v>
      </c>
      <c r="AB116" s="0" t="n">
        <f aca="false">W_PH(AB$2,$A116)</f>
        <v>497.78746682506</v>
      </c>
      <c r="AC116" s="0" t="n">
        <f aca="false">W_PH(AC$2,$A116)</f>
        <v>497.202484221681</v>
      </c>
      <c r="AD116" s="0" t="n">
        <f aca="false">W_PH(AD$2,$A116)</f>
        <v>2015</v>
      </c>
      <c r="AE116" s="0" t="n">
        <f aca="false">W_PH(AE$2,$A116)</f>
        <v>2015</v>
      </c>
      <c r="AF116" s="0" t="n">
        <f aca="false">W_PH(AF$2,$A116)</f>
        <v>2015</v>
      </c>
      <c r="AG116" s="0" t="n">
        <f aca="false">W_PH(AG$2,$A116)</f>
        <v>2015</v>
      </c>
      <c r="AH116" s="0" t="n">
        <f aca="false">W_PH(AH$2,$A116)</f>
        <v>2015</v>
      </c>
      <c r="AI116" s="0" t="n">
        <f aca="false">W_PH(AI$2,$A116)</f>
        <v>2015</v>
      </c>
      <c r="AJ116" s="0" t="n">
        <f aca="false">W_PH(AJ$2,$A116)</f>
        <v>2015</v>
      </c>
      <c r="AK116" s="0" t="n">
        <f aca="false">W_PH(AK$2,$A116)</f>
        <v>2015</v>
      </c>
      <c r="AL116" s="0" t="n">
        <f aca="false">W_PH(AL$2,$A116)</f>
        <v>2015</v>
      </c>
      <c r="AM116" s="0" t="n">
        <f aca="false">W_PH(AM$2,$A116)</f>
        <v>2015</v>
      </c>
      <c r="AN116" s="0" t="n">
        <f aca="false">W_PH(AN$2,$A116)</f>
        <v>484.534976300384</v>
      </c>
      <c r="AO116" s="0" t="n">
        <f aca="false">W_PH(AO$2,$A116)</f>
        <v>484.441864894557</v>
      </c>
      <c r="AP116" s="0" t="n">
        <f aca="false">W_PH(AP$2,$A116)</f>
        <v>484.391750287341</v>
      </c>
      <c r="AQ116" s="0" t="n">
        <f aca="false">W_PH(AQ$2,$A116)</f>
        <v>490.853381152095</v>
      </c>
      <c r="AR116" s="0" t="n">
        <f aca="false">W_PH(AR$2,$A116)</f>
        <v>494.1855480014</v>
      </c>
      <c r="AS116" s="0" t="n">
        <f aca="false">W_PH(AS$2,$A116)</f>
        <v>495.881806806285</v>
      </c>
    </row>
    <row r="117" customFormat="false" ht="13.8" hidden="false" customHeight="false" outlineLevel="0" collapsed="false">
      <c r="A117" s="0" t="n">
        <v>2770</v>
      </c>
      <c r="B117" s="0" t="n">
        <f aca="false">W_PH(B$2,$A117)</f>
        <v>503.157493670436</v>
      </c>
      <c r="C117" s="0" t="n">
        <f aca="false">W_PH(C$2,$A117)</f>
        <v>503.156988273391</v>
      </c>
      <c r="D117" s="0" t="n">
        <f aca="false">W_PH(D$2,$A117)</f>
        <v>503.156482934943</v>
      </c>
      <c r="E117" s="0" t="n">
        <f aca="false">W_PH(E$2,$A117)</f>
        <v>503.155977655084</v>
      </c>
      <c r="F117" s="0" t="n">
        <f aca="false">W_PH(F$2,$A117)</f>
        <v>503.155472433804</v>
      </c>
      <c r="G117" s="0" t="n">
        <f aca="false">W_PH(G$2,$A117)</f>
        <v>503.150423441022</v>
      </c>
      <c r="H117" s="0" t="n">
        <f aca="false">W_PH(H$2,$A117)</f>
        <v>503.145380296869</v>
      </c>
      <c r="I117" s="0" t="n">
        <f aca="false">W_PH(I$2,$A117)</f>
        <v>503.140342992913</v>
      </c>
      <c r="J117" s="0" t="n">
        <f aca="false">W_PH(J$2,$A117)</f>
        <v>503.135311520797</v>
      </c>
      <c r="K117" s="0" t="n">
        <f aca="false">W_PH(K$2,$A117)</f>
        <v>503.130285872232</v>
      </c>
      <c r="L117" s="0" t="n">
        <f aca="false">W_PH(L$2,$A117)</f>
        <v>503.125266039001</v>
      </c>
      <c r="M117" s="0" t="n">
        <f aca="false">W_PH(M$2,$A117)</f>
        <v>503.120252012955</v>
      </c>
      <c r="N117" s="0" t="n">
        <f aca="false">W_PH(N$2,$A117)</f>
        <v>503.115243786011</v>
      </c>
      <c r="O117" s="0" t="n">
        <f aca="false">W_PH(O$2,$A117)</f>
        <v>503.110241350151</v>
      </c>
      <c r="P117" s="0" t="n">
        <f aca="false">W_PH(P$2,$A117)</f>
        <v>503.060533779543</v>
      </c>
      <c r="Q117" s="0" t="n">
        <f aca="false">W_PH(Q$2,$A117)</f>
        <v>503.011396896944</v>
      </c>
      <c r="R117" s="0" t="n">
        <f aca="false">W_PH(R$2,$A117)</f>
        <v>502.962823398138</v>
      </c>
      <c r="S117" s="0" t="n">
        <f aca="false">W_PH(S$2,$A117)</f>
        <v>502.914806080935</v>
      </c>
      <c r="T117" s="0" t="n">
        <f aca="false">W_PH(T$2,$A117)</f>
        <v>502.867337559195</v>
      </c>
      <c r="U117" s="0" t="n">
        <f aca="false">W_PH(U$2,$A117)</f>
        <v>502.820409978755</v>
      </c>
      <c r="V117" s="0" t="n">
        <f aca="false">W_PH(V$2,$A117)</f>
        <v>502.774014749246</v>
      </c>
      <c r="W117" s="0" t="n">
        <f aca="false">W_PH(W$2,$A117)</f>
        <v>502.728142301525</v>
      </c>
      <c r="X117" s="0" t="n">
        <f aca="false">W_PH(X$2,$A117)</f>
        <v>502.682781877156</v>
      </c>
      <c r="Y117" s="0" t="n">
        <f aca="false">W_PH(Y$2,$A117)</f>
        <v>502.253882176171</v>
      </c>
      <c r="Z117" s="0" t="n">
        <f aca="false">W_PH(Z$2,$A117)</f>
        <v>501.853125793919</v>
      </c>
      <c r="AA117" s="0" t="n">
        <f aca="false">W_PH(AA$2,$A117)</f>
        <v>501.450181282786</v>
      </c>
      <c r="AB117" s="0" t="n">
        <f aca="false">W_PH(AB$2,$A117)</f>
        <v>501.017688307391</v>
      </c>
      <c r="AC117" s="0" t="n">
        <f aca="false">W_PH(AC$2,$A117)</f>
        <v>500.54075389911</v>
      </c>
      <c r="AD117" s="0" t="n">
        <f aca="false">W_PH(AD$2,$A117)</f>
        <v>500.018858734672</v>
      </c>
      <c r="AE117" s="0" t="n">
        <f aca="false">W_PH(AE$2,$A117)</f>
        <v>499.462360026003</v>
      </c>
      <c r="AF117" s="0" t="n">
        <f aca="false">W_PH(AF$2,$A117)</f>
        <v>2015</v>
      </c>
      <c r="AG117" s="0" t="n">
        <f aca="false">W_PH(AG$2,$A117)</f>
        <v>2015</v>
      </c>
      <c r="AH117" s="0" t="n">
        <f aca="false">W_PH(AH$2,$A117)</f>
        <v>2015</v>
      </c>
      <c r="AI117" s="0" t="n">
        <f aca="false">W_PH(AI$2,$A117)</f>
        <v>2015</v>
      </c>
      <c r="AJ117" s="0" t="n">
        <f aca="false">W_PH(AJ$2,$A117)</f>
        <v>2015</v>
      </c>
      <c r="AK117" s="0" t="n">
        <f aca="false">W_PH(AK$2,$A117)</f>
        <v>2015</v>
      </c>
      <c r="AL117" s="0" t="n">
        <f aca="false">W_PH(AL$2,$A117)</f>
        <v>2015</v>
      </c>
      <c r="AM117" s="0" t="n">
        <f aca="false">W_PH(AM$2,$A117)</f>
        <v>2015</v>
      </c>
      <c r="AN117" s="0" t="n">
        <f aca="false">W_PH(AN$2,$A117)</f>
        <v>488.046793166041</v>
      </c>
      <c r="AO117" s="0" t="n">
        <f aca="false">W_PH(AO$2,$A117)</f>
        <v>487.822054036515</v>
      </c>
      <c r="AP117" s="0" t="n">
        <f aca="false">W_PH(AP$2,$A117)</f>
        <v>487.665238258203</v>
      </c>
      <c r="AQ117" s="0" t="n">
        <f aca="false">W_PH(AQ$2,$A117)</f>
        <v>493.777822986097</v>
      </c>
      <c r="AR117" s="0" t="n">
        <f aca="false">W_PH(AR$2,$A117)</f>
        <v>497.030445601041</v>
      </c>
      <c r="AS117" s="0" t="n">
        <f aca="false">W_PH(AS$2,$A117)</f>
        <v>498.685568106553</v>
      </c>
    </row>
    <row r="118" customFormat="false" ht="13.8" hidden="false" customHeight="false" outlineLevel="0" collapsed="false">
      <c r="A118" s="0" t="n">
        <v>2780</v>
      </c>
      <c r="B118" s="0" t="n">
        <f aca="false">W_PH(B$2,$A118)</f>
        <v>506.201050678655</v>
      </c>
      <c r="C118" s="0" t="n">
        <f aca="false">W_PH(C$2,$A118)</f>
        <v>506.200563373147</v>
      </c>
      <c r="D118" s="0" t="n">
        <f aca="false">W_PH(D$2,$A118)</f>
        <v>506.20007611857</v>
      </c>
      <c r="E118" s="0" t="n">
        <f aca="false">W_PH(E$2,$A118)</f>
        <v>506.199588914919</v>
      </c>
      <c r="F118" s="0" t="n">
        <f aca="false">W_PH(F$2,$A118)</f>
        <v>506.199101762188</v>
      </c>
      <c r="G118" s="0" t="n">
        <f aca="false">W_PH(G$2,$A118)</f>
        <v>506.194233034067</v>
      </c>
      <c r="H118" s="0" t="n">
        <f aca="false">W_PH(H$2,$A118)</f>
        <v>506.189369391003</v>
      </c>
      <c r="I118" s="0" t="n">
        <f aca="false">W_PH(I$2,$A118)</f>
        <v>506.184510826755</v>
      </c>
      <c r="J118" s="0" t="n">
        <f aca="false">W_PH(J$2,$A118)</f>
        <v>506.179657335116</v>
      </c>
      <c r="K118" s="0" t="n">
        <f aca="false">W_PH(K$2,$A118)</f>
        <v>506.174808909913</v>
      </c>
      <c r="L118" s="0" t="n">
        <f aca="false">W_PH(L$2,$A118)</f>
        <v>506.169965545001</v>
      </c>
      <c r="M118" s="0" t="n">
        <f aca="false">W_PH(M$2,$A118)</f>
        <v>506.165127234267</v>
      </c>
      <c r="N118" s="0" t="n">
        <f aca="false">W_PH(N$2,$A118)</f>
        <v>506.160293971628</v>
      </c>
      <c r="O118" s="0" t="n">
        <f aca="false">W_PH(O$2,$A118)</f>
        <v>506.155465751028</v>
      </c>
      <c r="P118" s="0" t="n">
        <f aca="false">W_PH(P$2,$A118)</f>
        <v>506.10745954394</v>
      </c>
      <c r="Q118" s="0" t="n">
        <f aca="false">W_PH(Q$2,$A118)</f>
        <v>506.0599510564</v>
      </c>
      <c r="R118" s="0" t="n">
        <f aca="false">W_PH(R$2,$A118)</f>
        <v>506.01293454058</v>
      </c>
      <c r="S118" s="0" t="n">
        <f aca="false">W_PH(S$2,$A118)</f>
        <v>505.966404272685</v>
      </c>
      <c r="T118" s="0" t="n">
        <f aca="false">W_PH(T$2,$A118)</f>
        <v>505.920354409206</v>
      </c>
      <c r="U118" s="0" t="n">
        <f aca="false">W_PH(U$2,$A118)</f>
        <v>505.874778841265</v>
      </c>
      <c r="V118" s="0" t="n">
        <f aca="false">W_PH(V$2,$A118)</f>
        <v>505.829671054367</v>
      </c>
      <c r="W118" s="0" t="n">
        <f aca="false">W_PH(W$2,$A118)</f>
        <v>505.785023998855</v>
      </c>
      <c r="X118" s="0" t="n">
        <f aca="false">W_PH(X$2,$A118)</f>
        <v>505.74082997473</v>
      </c>
      <c r="Y118" s="0" t="n">
        <f aca="false">W_PH(Y$2,$A118)</f>
        <v>505.32150471604</v>
      </c>
      <c r="Z118" s="0" t="n">
        <f aca="false">W_PH(Z$2,$A118)</f>
        <v>504.932581013779</v>
      </c>
      <c r="AA118" s="0" t="n">
        <f aca="false">W_PH(AA$2,$A118)</f>
        <v>504.554399310441</v>
      </c>
      <c r="AB118" s="0" t="n">
        <f aca="false">W_PH(AB$2,$A118)</f>
        <v>504.16768315948</v>
      </c>
      <c r="AC118" s="0" t="n">
        <f aca="false">W_PH(AC$2,$A118)</f>
        <v>503.759315400946</v>
      </c>
      <c r="AD118" s="0" t="n">
        <f aca="false">W_PH(AD$2,$A118)</f>
        <v>503.324377522486</v>
      </c>
      <c r="AE118" s="0" t="n">
        <f aca="false">W_PH(AE$2,$A118)</f>
        <v>502.86512578303</v>
      </c>
      <c r="AF118" s="0" t="n">
        <f aca="false">W_PH(AF$2,$A118)</f>
        <v>502.388517517838</v>
      </c>
      <c r="AG118" s="0" t="n">
        <f aca="false">W_PH(AG$2,$A118)</f>
        <v>501.903599176174</v>
      </c>
      <c r="AH118" s="0" t="n">
        <f aca="false">W_PH(AH$2,$A118)</f>
        <v>2015</v>
      </c>
      <c r="AI118" s="0" t="n">
        <f aca="false">W_PH(AI$2,$A118)</f>
        <v>2015</v>
      </c>
      <c r="AJ118" s="0" t="n">
        <f aca="false">W_PH(AJ$2,$A118)</f>
        <v>2015</v>
      </c>
      <c r="AK118" s="0" t="n">
        <f aca="false">W_PH(AK$2,$A118)</f>
        <v>2015</v>
      </c>
      <c r="AL118" s="0" t="n">
        <f aca="false">W_PH(AL$2,$A118)</f>
        <v>2015</v>
      </c>
      <c r="AM118" s="0" t="n">
        <f aca="false">W_PH(AM$2,$A118)</f>
        <v>491.860396204112</v>
      </c>
      <c r="AN118" s="0" t="n">
        <f aca="false">W_PH(AN$2,$A118)</f>
        <v>491.451528870511</v>
      </c>
      <c r="AO118" s="0" t="n">
        <f aca="false">W_PH(AO$2,$A118)</f>
        <v>491.121689619217</v>
      </c>
      <c r="AP118" s="0" t="n">
        <f aca="false">W_PH(AP$2,$A118)</f>
        <v>490.88219557417</v>
      </c>
      <c r="AQ118" s="0" t="n">
        <f aca="false">W_PH(AQ$2,$A118)</f>
        <v>496.695705585139</v>
      </c>
      <c r="AR118" s="0" t="n">
        <f aca="false">W_PH(AR$2,$A118)</f>
        <v>499.868350759511</v>
      </c>
      <c r="AS118" s="0" t="n">
        <f aca="false">W_PH(AS$2,$A118)</f>
        <v>501.482447220984</v>
      </c>
    </row>
    <row r="119" customFormat="false" ht="13.8" hidden="false" customHeight="false" outlineLevel="0" collapsed="false">
      <c r="A119" s="0" t="n">
        <v>2790</v>
      </c>
      <c r="B119" s="0" t="n">
        <f aca="false">W_PH(B$2,$A119)</f>
        <v>509.218342277283</v>
      </c>
      <c r="C119" s="0" t="n">
        <f aca="false">W_PH(C$2,$A119)</f>
        <v>509.217872446417</v>
      </c>
      <c r="D119" s="0" t="n">
        <f aca="false">W_PH(D$2,$A119)</f>
        <v>509.217402659997</v>
      </c>
      <c r="E119" s="0" t="n">
        <f aca="false">W_PH(E$2,$A119)</f>
        <v>509.216932918021</v>
      </c>
      <c r="F119" s="0" t="n">
        <f aca="false">W_PH(F$2,$A119)</f>
        <v>509.216463220482</v>
      </c>
      <c r="G119" s="0" t="n">
        <f aca="false">W_PH(G$2,$A119)</f>
        <v>509.211768688092</v>
      </c>
      <c r="H119" s="0" t="n">
        <f aca="false">W_PH(H$2,$A119)</f>
        <v>509.207078594089</v>
      </c>
      <c r="I119" s="0" t="n">
        <f aca="false">W_PH(I$2,$A119)</f>
        <v>509.202392933588</v>
      </c>
      <c r="J119" s="0" t="n">
        <f aca="false">W_PH(J$2,$A119)</f>
        <v>509.197711701717</v>
      </c>
      <c r="K119" s="0" t="n">
        <f aca="false">W_PH(K$2,$A119)</f>
        <v>509.193034893619</v>
      </c>
      <c r="L119" s="0" t="n">
        <f aca="false">W_PH(L$2,$A119)</f>
        <v>509.188362504451</v>
      </c>
      <c r="M119" s="0" t="n">
        <f aca="false">W_PH(M$2,$A119)</f>
        <v>509.18369452938</v>
      </c>
      <c r="N119" s="0" t="n">
        <f aca="false">W_PH(N$2,$A119)</f>
        <v>509.179030963587</v>
      </c>
      <c r="O119" s="0" t="n">
        <f aca="false">W_PH(O$2,$A119)</f>
        <v>509.174371802267</v>
      </c>
      <c r="P119" s="0" t="n">
        <f aca="false">W_PH(P$2,$A119)</f>
        <v>509.128021385418</v>
      </c>
      <c r="Q119" s="0" t="n">
        <f aca="false">W_PH(Q$2,$A119)</f>
        <v>509.082106200964</v>
      </c>
      <c r="R119" s="0" t="n">
        <f aca="false">W_PH(R$2,$A119)</f>
        <v>509.036621563158</v>
      </c>
      <c r="S119" s="0" t="n">
        <f aca="false">W_PH(S$2,$A119)</f>
        <v>508.991562780403</v>
      </c>
      <c r="T119" s="0" t="n">
        <f aca="false">W_PH(T$2,$A119)</f>
        <v>508.946925083226</v>
      </c>
      <c r="U119" s="0" t="n">
        <f aca="false">W_PH(U$2,$A119)</f>
        <v>508.902703549887</v>
      </c>
      <c r="V119" s="0" t="n">
        <f aca="false">W_PH(V$2,$A119)</f>
        <v>508.858893033437</v>
      </c>
      <c r="W119" s="0" t="n">
        <f aca="false">W_PH(W$2,$A119)</f>
        <v>508.815488093052</v>
      </c>
      <c r="X119" s="0" t="n">
        <f aca="false">W_PH(X$2,$A119)</f>
        <v>508.772482931681</v>
      </c>
      <c r="Y119" s="0" t="n">
        <f aca="false">W_PH(Y$2,$A119)</f>
        <v>508.362806318258</v>
      </c>
      <c r="Z119" s="0" t="n">
        <f aca="false">W_PH(Z$2,$A119)</f>
        <v>507.983078535441</v>
      </c>
      <c r="AA119" s="0" t="n">
        <f aca="false">W_PH(AA$2,$A119)</f>
        <v>507.62035541384</v>
      </c>
      <c r="AB119" s="0" t="n">
        <f aca="false">W_PH(AB$2,$A119)</f>
        <v>507.261258517988</v>
      </c>
      <c r="AC119" s="0" t="n">
        <f aca="false">W_PH(AC$2,$A119)</f>
        <v>506.895393041645</v>
      </c>
      <c r="AD119" s="0" t="n">
        <f aca="false">W_PH(AD$2,$A119)</f>
        <v>506.516948225744</v>
      </c>
      <c r="AE119" s="0" t="n">
        <f aca="false">W_PH(AE$2,$A119)</f>
        <v>506.124599612643</v>
      </c>
      <c r="AF119" s="0" t="n">
        <f aca="false">W_PH(AF$2,$A119)</f>
        <v>505.720446653154</v>
      </c>
      <c r="AG119" s="0" t="n">
        <f aca="false">W_PH(AG$2,$A119)</f>
        <v>505.308662665717</v>
      </c>
      <c r="AH119" s="0" t="n">
        <f aca="false">W_PH(AH$2,$A119)</f>
        <v>2015</v>
      </c>
      <c r="AI119" s="0" t="n">
        <f aca="false">W_PH(AI$2,$A119)</f>
        <v>2015</v>
      </c>
      <c r="AJ119" s="0" t="n">
        <f aca="false">W_PH(AJ$2,$A119)</f>
        <v>2015</v>
      </c>
      <c r="AK119" s="0" t="n">
        <f aca="false">W_PH(AK$2,$A119)</f>
        <v>2015</v>
      </c>
      <c r="AL119" s="0" t="n">
        <f aca="false">W_PH(AL$2,$A119)</f>
        <v>495.911611428423</v>
      </c>
      <c r="AM119" s="0" t="n">
        <f aca="false">W_PH(AM$2,$A119)</f>
        <v>495.280692817485</v>
      </c>
      <c r="AN119" s="0" t="n">
        <f aca="false">W_PH(AN$2,$A119)</f>
        <v>494.769593580156</v>
      </c>
      <c r="AO119" s="0" t="n">
        <f aca="false">W_PH(AO$2,$A119)</f>
        <v>494.35744153525</v>
      </c>
      <c r="AP119" s="0" t="n">
        <f aca="false">W_PH(AP$2,$A119)</f>
        <v>494.054775801645</v>
      </c>
      <c r="AQ119" s="0" t="n">
        <f aca="false">W_PH(AQ$2,$A119)</f>
        <v>499.605582508491</v>
      </c>
      <c r="AR119" s="0" t="n">
        <f aca="false">W_PH(AR$2,$A119)</f>
        <v>502.698064504756</v>
      </c>
      <c r="AS119" s="0" t="n">
        <f aca="false">W_PH(AS$2,$A119)</f>
        <v>504.271382691222</v>
      </c>
    </row>
    <row r="120" customFormat="false" ht="13.8" hidden="false" customHeight="false" outlineLevel="0" collapsed="false">
      <c r="A120" s="0" t="n">
        <v>2800</v>
      </c>
      <c r="B120" s="0" t="n">
        <f aca="false">W_PH(B$2,$A120)</f>
        <v>512.209870356647</v>
      </c>
      <c r="C120" s="0" t="n">
        <f aca="false">W_PH(C$2,$A120)</f>
        <v>512.20941738703</v>
      </c>
      <c r="D120" s="0" t="n">
        <f aca="false">W_PH(D$2,$A120)</f>
        <v>512.208964456334</v>
      </c>
      <c r="E120" s="0" t="n">
        <f aca="false">W_PH(E$2,$A120)</f>
        <v>512.208511564556</v>
      </c>
      <c r="F120" s="0" t="n">
        <f aca="false">W_PH(F$2,$A120)</f>
        <v>512.208058711693</v>
      </c>
      <c r="G120" s="0" t="n">
        <f aca="false">W_PH(G$2,$A120)</f>
        <v>512.203532322446</v>
      </c>
      <c r="H120" s="0" t="n">
        <f aca="false">W_PH(H$2,$A120)</f>
        <v>512.199009820221</v>
      </c>
      <c r="I120" s="0" t="n">
        <f aca="false">W_PH(I$2,$A120)</f>
        <v>512.194491201049</v>
      </c>
      <c r="J120" s="0" t="n">
        <f aca="false">W_PH(J$2,$A120)</f>
        <v>512.189976460965</v>
      </c>
      <c r="K120" s="0" t="n">
        <f aca="false">W_PH(K$2,$A120)</f>
        <v>512.185465596011</v>
      </c>
      <c r="L120" s="0" t="n">
        <f aca="false">W_PH(L$2,$A120)</f>
        <v>512.180958602234</v>
      </c>
      <c r="M120" s="0" t="n">
        <f aca="false">W_PH(M$2,$A120)</f>
        <v>512.176455475684</v>
      </c>
      <c r="N120" s="0" t="n">
        <f aca="false">W_PH(N$2,$A120)</f>
        <v>512.171956212419</v>
      </c>
      <c r="O120" s="0" t="n">
        <f aca="false">W_PH(O$2,$A120)</f>
        <v>512.167460808498</v>
      </c>
      <c r="P120" s="0" t="n">
        <f aca="false">W_PH(P$2,$A120)</f>
        <v>512.122718169505</v>
      </c>
      <c r="Q120" s="0" t="n">
        <f aca="false">W_PH(Q$2,$A120)</f>
        <v>512.078357157717</v>
      </c>
      <c r="R120" s="0" t="n">
        <f aca="false">W_PH(R$2,$A120)</f>
        <v>512.034373872424</v>
      </c>
      <c r="S120" s="0" t="n">
        <f aca="false">W_PH(S$2,$A120)</f>
        <v>511.990764397968</v>
      </c>
      <c r="T120" s="0" t="n">
        <f aca="false">W_PH(T$2,$A120)</f>
        <v>511.947524767899</v>
      </c>
      <c r="U120" s="0" t="n">
        <f aca="false">W_PH(U$2,$A120)</f>
        <v>511.904650927246</v>
      </c>
      <c r="V120" s="0" t="n">
        <f aca="false">W_PH(V$2,$A120)</f>
        <v>511.862138694876</v>
      </c>
      <c r="W120" s="0" t="n">
        <f aca="false">W_PH(W$2,$A120)</f>
        <v>511.81998372744</v>
      </c>
      <c r="X120" s="0" t="n">
        <f aca="false">W_PH(X$2,$A120)</f>
        <v>511.778181486018</v>
      </c>
      <c r="Y120" s="0" t="n">
        <f aca="false">W_PH(Y$2,$A120)</f>
        <v>511.378373720931</v>
      </c>
      <c r="Z120" s="0" t="n">
        <f aca="false">W_PH(Z$2,$A120)</f>
        <v>511.006788633456</v>
      </c>
      <c r="AA120" s="0" t="n">
        <f aca="false">W_PH(AA$2,$A120)</f>
        <v>510.65469475517</v>
      </c>
      <c r="AB120" s="0" t="n">
        <f aca="false">W_PH(AB$2,$A120)</f>
        <v>510.312799354573</v>
      </c>
      <c r="AC120" s="0" t="n">
        <f aca="false">W_PH(AC$2,$A120)</f>
        <v>509.973234236074</v>
      </c>
      <c r="AD120" s="0" t="n">
        <f aca="false">W_PH(AD$2,$A120)</f>
        <v>509.630673857066</v>
      </c>
      <c r="AE120" s="0" t="n">
        <f aca="false">W_PH(AE$2,$A120)</f>
        <v>509.282525621189</v>
      </c>
      <c r="AF120" s="0" t="n">
        <f aca="false">W_PH(AF$2,$A120)</f>
        <v>508.928517691047</v>
      </c>
      <c r="AG120" s="0" t="n">
        <f aca="false">W_PH(AG$2,$A120)</f>
        <v>508.570031012571</v>
      </c>
      <c r="AH120" s="0" t="n">
        <f aca="false">W_PH(AH$2,$A120)</f>
        <v>505.238939650788</v>
      </c>
      <c r="AI120" s="0" t="n">
        <f aca="false">W_PH(AI$2,$A120)</f>
        <v>2015</v>
      </c>
      <c r="AJ120" s="0" t="n">
        <f aca="false">W_PH(AJ$2,$A120)</f>
        <v>2015</v>
      </c>
      <c r="AK120" s="0" t="n">
        <f aca="false">W_PH(AK$2,$A120)</f>
        <v>500.197902261153</v>
      </c>
      <c r="AL120" s="0" t="n">
        <f aca="false">W_PH(AL$2,$A120)</f>
        <v>499.318766648992</v>
      </c>
      <c r="AM120" s="0" t="n">
        <f aca="false">W_PH(AM$2,$A120)</f>
        <v>498.584668483248</v>
      </c>
      <c r="AN120" s="0" t="n">
        <f aca="false">W_PH(AN$2,$A120)</f>
        <v>498.018079477499</v>
      </c>
      <c r="AO120" s="0" t="n">
        <f aca="false">W_PH(AO$2,$A120)</f>
        <v>497.542628624919</v>
      </c>
      <c r="AP120" s="0" t="n">
        <f aca="false">W_PH(AP$2,$A120)</f>
        <v>497.192284196367</v>
      </c>
      <c r="AQ120" s="0" t="n">
        <f aca="false">W_PH(AQ$2,$A120)</f>
        <v>502.506169646253</v>
      </c>
      <c r="AR120" s="0" t="n">
        <f aca="false">W_PH(AR$2,$A120)</f>
        <v>505.518595085668</v>
      </c>
      <c r="AS120" s="0" t="n">
        <f aca="false">W_PH(AS$2,$A120)</f>
        <v>507.051525814613</v>
      </c>
    </row>
    <row r="121" customFormat="false" ht="13.8" hidden="false" customHeight="false" outlineLevel="0" collapsed="false">
      <c r="A121" s="0" t="n">
        <v>2810</v>
      </c>
      <c r="B121" s="0" t="n">
        <f aca="false">W_PH(B$2,$A121)</f>
        <v>515.176122989631</v>
      </c>
      <c r="C121" s="0" t="n">
        <f aca="false">W_PH(C$2,$A121)</f>
        <v>515.17568627749</v>
      </c>
      <c r="D121" s="0" t="n">
        <f aca="false">W_PH(D$2,$A121)</f>
        <v>515.175249599533</v>
      </c>
      <c r="E121" s="0" t="n">
        <f aca="false">W_PH(E$2,$A121)</f>
        <v>515.174812955757</v>
      </c>
      <c r="F121" s="0" t="n">
        <f aca="false">W_PH(F$2,$A121)</f>
        <v>515.17437634616</v>
      </c>
      <c r="G121" s="0" t="n">
        <f aca="false">W_PH(G$2,$A121)</f>
        <v>515.170012129234</v>
      </c>
      <c r="H121" s="0" t="n">
        <f aca="false">W_PH(H$2,$A121)</f>
        <v>515.165651326461</v>
      </c>
      <c r="I121" s="0" t="n">
        <f aca="false">W_PH(I$2,$A121)</f>
        <v>515.161293934545</v>
      </c>
      <c r="J121" s="0" t="n">
        <f aca="false">W_PH(J$2,$A121)</f>
        <v>515.156939950191</v>
      </c>
      <c r="K121" s="0" t="n">
        <f aca="false">W_PH(K$2,$A121)</f>
        <v>515.152589370107</v>
      </c>
      <c r="L121" s="0" t="n">
        <f aca="false">W_PH(L$2,$A121)</f>
        <v>515.148242191002</v>
      </c>
      <c r="M121" s="0" t="n">
        <f aca="false">W_PH(M$2,$A121)</f>
        <v>515.143898409588</v>
      </c>
      <c r="N121" s="0" t="n">
        <f aca="false">W_PH(N$2,$A121)</f>
        <v>515.139558022575</v>
      </c>
      <c r="O121" s="0" t="n">
        <f aca="false">W_PH(O$2,$A121)</f>
        <v>515.135221026677</v>
      </c>
      <c r="P121" s="0" t="n">
        <f aca="false">W_PH(P$2,$A121)</f>
        <v>515.092036856694</v>
      </c>
      <c r="Q121" s="0" t="n">
        <f aca="false">W_PH(Q$2,$A121)</f>
        <v>515.049188188759</v>
      </c>
      <c r="R121" s="0" t="n">
        <f aca="false">W_PH(R$2,$A121)</f>
        <v>515.006671740549</v>
      </c>
      <c r="S121" s="0" t="n">
        <f aca="false">W_PH(S$2,$A121)</f>
        <v>514.964484214179</v>
      </c>
      <c r="T121" s="0" t="n">
        <f aca="false">W_PH(T$2,$A121)</f>
        <v>514.922622278572</v>
      </c>
      <c r="U121" s="0" t="n">
        <f aca="false">W_PH(U$2,$A121)</f>
        <v>514.881082550545</v>
      </c>
      <c r="V121" s="0" t="n">
        <f aca="false">W_PH(V$2,$A121)</f>
        <v>514.8398615756</v>
      </c>
      <c r="W121" s="0" t="n">
        <f aca="false">W_PH(W$2,$A121)</f>
        <v>514.798955809225</v>
      </c>
      <c r="X121" s="0" t="n">
        <f aca="false">W_PH(X$2,$A121)</f>
        <v>514.758361599305</v>
      </c>
      <c r="Y121" s="0" t="n">
        <f aca="false">W_PH(Y$2,$A121)</f>
        <v>514.368648759647</v>
      </c>
      <c r="Z121" s="0" t="n">
        <f aca="false">W_PH(Z$2,$A121)</f>
        <v>514.004925352981</v>
      </c>
      <c r="AA121" s="0" t="n">
        <f aca="false">W_PH(AA$2,$A121)</f>
        <v>513.661122244188</v>
      </c>
      <c r="AB121" s="0" t="n">
        <f aca="false">W_PH(AB$2,$A121)</f>
        <v>513.330709024982</v>
      </c>
      <c r="AC121" s="0" t="n">
        <f aca="false">W_PH(AC$2,$A121)</f>
        <v>513.00783279259</v>
      </c>
      <c r="AD121" s="0" t="n">
        <f aca="false">W_PH(AD$2,$A121)</f>
        <v>512.688053284633</v>
      </c>
      <c r="AE121" s="0" t="n">
        <f aca="false">W_PH(AE$2,$A121)</f>
        <v>512.368577707076</v>
      </c>
      <c r="AF121" s="0" t="n">
        <f aca="false">W_PH(AF$2,$A121)</f>
        <v>512.048132109094</v>
      </c>
      <c r="AG121" s="0" t="n">
        <f aca="false">W_PH(AG$2,$A121)</f>
        <v>511.726644661477</v>
      </c>
      <c r="AH121" s="0" t="n">
        <f aca="false">W_PH(AH$2,$A121)</f>
        <v>508.706486578139</v>
      </c>
      <c r="AI121" s="0" t="n">
        <f aca="false">W_PH(AI$2,$A121)</f>
        <v>506.4356441251</v>
      </c>
      <c r="AJ121" s="0" t="n">
        <f aca="false">W_PH(AJ$2,$A121)</f>
        <v>504.816151495936</v>
      </c>
      <c r="AK121" s="0" t="n">
        <f aca="false">W_PH(AK$2,$A121)</f>
        <v>503.606345116682</v>
      </c>
      <c r="AL121" s="0" t="n">
        <f aca="false">W_PH(AL$2,$A121)</f>
        <v>502.646112324907</v>
      </c>
      <c r="AM121" s="0" t="n">
        <f aca="false">W_PH(AM$2,$A121)</f>
        <v>501.846091822575</v>
      </c>
      <c r="AN121" s="0" t="n">
        <f aca="false">W_PH(AN$2,$A121)</f>
        <v>501.210727620939</v>
      </c>
      <c r="AO121" s="0" t="n">
        <f aca="false">W_PH(AO$2,$A121)</f>
        <v>500.687497364193</v>
      </c>
      <c r="AP121" s="0" t="n">
        <f aca="false">W_PH(AP$2,$A121)</f>
        <v>500.301569618067</v>
      </c>
      <c r="AQ121" s="0" t="n">
        <f aca="false">W_PH(AQ$2,$A121)</f>
        <v>505.396382305967</v>
      </c>
      <c r="AR121" s="0" t="n">
        <f aca="false">W_PH(AR$2,$A121)</f>
        <v>508.329168721114</v>
      </c>
      <c r="AS121" s="0" t="n">
        <f aca="false">W_PH(AS$2,$A121)</f>
        <v>509.822241912019</v>
      </c>
    </row>
    <row r="122" customFormat="false" ht="13.8" hidden="false" customHeight="false" outlineLevel="0" collapsed="false">
      <c r="A122" s="0" t="n">
        <v>2820</v>
      </c>
      <c r="B122" s="0" t="n">
        <f aca="false">W_PH(B$2,$A122)</f>
        <v>518.117574590383</v>
      </c>
      <c r="C122" s="0" t="n">
        <f aca="false">W_PH(C$2,$A122)</f>
        <v>518.117153545153</v>
      </c>
      <c r="D122" s="0" t="n">
        <f aca="false">W_PH(D$2,$A122)</f>
        <v>518.116732530024</v>
      </c>
      <c r="E122" s="0" t="n">
        <f aca="false">W_PH(E$2,$A122)</f>
        <v>518.116311544994</v>
      </c>
      <c r="F122" s="0" t="n">
        <f aca="false">W_PH(F$2,$A122)</f>
        <v>518.11589059006</v>
      </c>
      <c r="G122" s="0" t="n">
        <f aca="false">W_PH(G$2,$A122)</f>
        <v>518.111682695378</v>
      </c>
      <c r="H122" s="0" t="n">
        <f aca="false">W_PH(H$2,$A122)</f>
        <v>518.107477807234</v>
      </c>
      <c r="I122" s="0" t="n">
        <f aca="false">W_PH(I$2,$A122)</f>
        <v>518.103275922862</v>
      </c>
      <c r="J122" s="0" t="n">
        <f aca="false">W_PH(J$2,$A122)</f>
        <v>518.099077039494</v>
      </c>
      <c r="K122" s="0" t="n">
        <f aca="false">W_PH(K$2,$A122)</f>
        <v>518.094881154364</v>
      </c>
      <c r="L122" s="0" t="n">
        <f aca="false">W_PH(L$2,$A122)</f>
        <v>518.090688264707</v>
      </c>
      <c r="M122" s="0" t="n">
        <f aca="false">W_PH(M$2,$A122)</f>
        <v>518.086498367756</v>
      </c>
      <c r="N122" s="0" t="n">
        <f aca="false">W_PH(N$2,$A122)</f>
        <v>518.082311460745</v>
      </c>
      <c r="O122" s="0" t="n">
        <f aca="false">W_PH(O$2,$A122)</f>
        <v>518.078127540907</v>
      </c>
      <c r="P122" s="0" t="n">
        <f aca="false">W_PH(P$2,$A122)</f>
        <v>518.03645202843</v>
      </c>
      <c r="Q122" s="0" t="n">
        <f aca="false">W_PH(Q$2,$A122)</f>
        <v>517.995072188779</v>
      </c>
      <c r="R122" s="0" t="n">
        <f aca="false">W_PH(R$2,$A122)</f>
        <v>517.95398524798</v>
      </c>
      <c r="S122" s="0" t="n">
        <f aca="false">W_PH(S$2,$A122)</f>
        <v>517.9131884189</v>
      </c>
      <c r="T122" s="0" t="n">
        <f aca="false">W_PH(T$2,$A122)</f>
        <v>517.872678892751</v>
      </c>
      <c r="U122" s="0" t="n">
        <f aca="false">W_PH(U$2,$A122)</f>
        <v>517.832453829767</v>
      </c>
      <c r="V122" s="0" t="n">
        <f aca="false">W_PH(V$2,$A122)</f>
        <v>517.792510349568</v>
      </c>
      <c r="W122" s="0" t="n">
        <f aca="false">W_PH(W$2,$A122)</f>
        <v>517.752845521621</v>
      </c>
      <c r="X122" s="0" t="n">
        <f aca="false">W_PH(X$2,$A122)</f>
        <v>517.71345635613</v>
      </c>
      <c r="Y122" s="0" t="n">
        <f aca="false">W_PH(Y$2,$A122)</f>
        <v>517.334012005791</v>
      </c>
      <c r="Z122" s="0" t="n">
        <f aca="false">W_PH(Z$2,$A122)</f>
        <v>516.978209801868</v>
      </c>
      <c r="AA122" s="0" t="n">
        <f aca="false">W_PH(AA$2,$A122)</f>
        <v>516.641691713097</v>
      </c>
      <c r="AB122" s="0" t="n">
        <f aca="false">W_PH(AB$2,$A122)</f>
        <v>516.319781147343</v>
      </c>
      <c r="AC122" s="0" t="n">
        <f aca="false">W_PH(AC$2,$A122)</f>
        <v>516.008129986535</v>
      </c>
      <c r="AD122" s="0" t="n">
        <f aca="false">W_PH(AD$2,$A122)</f>
        <v>515.703184116085</v>
      </c>
      <c r="AE122" s="0" t="n">
        <f aca="false">W_PH(AE$2,$A122)</f>
        <v>515.402382728113</v>
      </c>
      <c r="AF122" s="0" t="n">
        <f aca="false">W_PH(AF$2,$A122)</f>
        <v>515.104143519786</v>
      </c>
      <c r="AG122" s="0" t="n">
        <f aca="false">W_PH(AG$2,$A122)</f>
        <v>514.80772066756</v>
      </c>
      <c r="AH122" s="0" t="n">
        <f aca="false">W_PH(AH$2,$A122)</f>
        <v>512.03226856064</v>
      </c>
      <c r="AI122" s="0" t="n">
        <f aca="false">W_PH(AI$2,$A122)</f>
        <v>509.845778711577</v>
      </c>
      <c r="AJ122" s="0" t="n">
        <f aca="false">W_PH(AJ$2,$A122)</f>
        <v>508.200098379629</v>
      </c>
      <c r="AK122" s="0" t="n">
        <f aca="false">W_PH(AK$2,$A122)</f>
        <v>506.927106322604</v>
      </c>
      <c r="AL122" s="0" t="n">
        <f aca="false">W_PH(AL$2,$A122)</f>
        <v>505.90309347872</v>
      </c>
      <c r="AM122" s="0" t="n">
        <f aca="false">W_PH(AM$2,$A122)</f>
        <v>505.049879767195</v>
      </c>
      <c r="AN122" s="0" t="n">
        <f aca="false">W_PH(AN$2,$A122)</f>
        <v>504.348589914867</v>
      </c>
      <c r="AO122" s="0" t="n">
        <f aca="false">W_PH(AO$2,$A122)</f>
        <v>503.799682337964</v>
      </c>
      <c r="AP122" s="0" t="n">
        <f aca="false">W_PH(AP$2,$A122)</f>
        <v>503.38748421452</v>
      </c>
      <c r="AQ122" s="0" t="n">
        <f aca="false">W_PH(AQ$2,$A122)</f>
        <v>508.275352671884</v>
      </c>
      <c r="AR122" s="0" t="n">
        <f aca="false">W_PH(AR$2,$A122)</f>
        <v>511.129225168676</v>
      </c>
      <c r="AS122" s="0" t="n">
        <f aca="false">W_PH(AS$2,$A122)</f>
        <v>512.583098596632</v>
      </c>
    </row>
    <row r="123" customFormat="false" ht="13.8" hidden="false" customHeight="false" outlineLevel="0" collapsed="false">
      <c r="A123" s="0" t="n">
        <v>2830</v>
      </c>
      <c r="B123" s="0" t="n">
        <f aca="false">W_PH(B$2,$A123)</f>
        <v>521.034686126697</v>
      </c>
      <c r="C123" s="0" t="n">
        <f aca="false">W_PH(C$2,$A123)</f>
        <v>521.034280172964</v>
      </c>
      <c r="D123" s="0" t="n">
        <f aca="false">W_PH(D$2,$A123)</f>
        <v>521.033874245797</v>
      </c>
      <c r="E123" s="0" t="n">
        <f aca="false">W_PH(E$2,$A123)</f>
        <v>521.033468345195</v>
      </c>
      <c r="F123" s="0" t="n">
        <f aca="false">W_PH(F$2,$A123)</f>
        <v>521.033062471154</v>
      </c>
      <c r="G123" s="0" t="n">
        <f aca="false">W_PH(G$2,$A123)</f>
        <v>521.029005191141</v>
      </c>
      <c r="H123" s="0" t="n">
        <f aca="false">W_PH(H$2,$A123)</f>
        <v>521.024950564756</v>
      </c>
      <c r="I123" s="0" t="n">
        <f aca="false">W_PH(I$2,$A123)</f>
        <v>521.020898589665</v>
      </c>
      <c r="J123" s="0" t="n">
        <f aca="false">W_PH(J$2,$A123)</f>
        <v>521.016849263536</v>
      </c>
      <c r="K123" s="0" t="n">
        <f aca="false">W_PH(K$2,$A123)</f>
        <v>521.012802584034</v>
      </c>
      <c r="L123" s="0" t="n">
        <f aca="false">W_PH(L$2,$A123)</f>
        <v>521.008758548827</v>
      </c>
      <c r="M123" s="0" t="n">
        <f aca="false">W_PH(M$2,$A123)</f>
        <v>521.004717155579</v>
      </c>
      <c r="N123" s="0" t="n">
        <f aca="false">W_PH(N$2,$A123)</f>
        <v>521.000678401956</v>
      </c>
      <c r="O123" s="0" t="n">
        <f aca="false">W_PH(O$2,$A123)</f>
        <v>520.996642285623</v>
      </c>
      <c r="P123" s="0" t="n">
        <f aca="false">W_PH(P$2,$A123)</f>
        <v>520.956425659096</v>
      </c>
      <c r="Q123" s="0" t="n">
        <f aca="false">W_PH(Q$2,$A123)</f>
        <v>520.916470188728</v>
      </c>
      <c r="R123" s="0" t="n">
        <f aca="false">W_PH(R$2,$A123)</f>
        <v>520.876773528749</v>
      </c>
      <c r="S123" s="0" t="n">
        <f aca="false">W_PH(S$2,$A123)</f>
        <v>520.837333323306</v>
      </c>
      <c r="T123" s="0" t="n">
        <f aca="false">W_PH(T$2,$A123)</f>
        <v>520.79814720251</v>
      </c>
      <c r="U123" s="0" t="n">
        <f aca="false">W_PH(U$2,$A123)</f>
        <v>520.759212777964</v>
      </c>
      <c r="V123" s="0" t="n">
        <f aca="false">W_PH(V$2,$A123)</f>
        <v>520.720527638042</v>
      </c>
      <c r="W123" s="0" t="n">
        <f aca="false">W_PH(W$2,$A123)</f>
        <v>520.682089343145</v>
      </c>
      <c r="X123" s="0" t="n">
        <f aca="false">W_PH(X$2,$A123)</f>
        <v>520.643895421084</v>
      </c>
      <c r="Y123" s="0" t="n">
        <f aca="false">W_PH(Y$2,$A123)</f>
        <v>520.274822191437</v>
      </c>
      <c r="Z123" s="0" t="n">
        <f aca="false">W_PH(Z$2,$A123)</f>
        <v>519.927120046744</v>
      </c>
      <c r="AA123" s="0" t="n">
        <f aca="false">W_PH(AA$2,$A123)</f>
        <v>519.59755869435</v>
      </c>
      <c r="AB123" s="0" t="n">
        <f aca="false">W_PH(AB$2,$A123)</f>
        <v>519.282711527006</v>
      </c>
      <c r="AC123" s="0" t="n">
        <f aca="false">W_PH(AC$2,$A123)</f>
        <v>518.979321179404</v>
      </c>
      <c r="AD123" s="0" t="n">
        <f aca="false">W_PH(AD$2,$A123)</f>
        <v>518.684586947578</v>
      </c>
      <c r="AE123" s="0" t="n">
        <f aca="false">W_PH(AE$2,$A123)</f>
        <v>518.396312359565</v>
      </c>
      <c r="AF123" s="0" t="n">
        <f aca="false">W_PH(AF$2,$A123)</f>
        <v>518.112928953182</v>
      </c>
      <c r="AG123" s="0" t="n">
        <f aca="false">W_PH(AG$2,$A123)</f>
        <v>517.833438057949</v>
      </c>
      <c r="AH123" s="0" t="n">
        <f aca="false">W_PH(AH$2,$A123)</f>
        <v>515.242908414538</v>
      </c>
      <c r="AI123" s="0" t="n">
        <f aca="false">W_PH(AI$2,$A123)</f>
        <v>513.134076760289</v>
      </c>
      <c r="AJ123" s="0" t="n">
        <f aca="false">W_PH(AJ$2,$A123)</f>
        <v>511.485076015447</v>
      </c>
      <c r="AK123" s="0" t="n">
        <f aca="false">W_PH(AK$2,$A123)</f>
        <v>510.169962583026</v>
      </c>
      <c r="AL123" s="0" t="n">
        <f aca="false">W_PH(AL$2,$A123)</f>
        <v>509.098867069663</v>
      </c>
      <c r="AM123" s="0" t="n">
        <f aca="false">W_PH(AM$2,$A123)</f>
        <v>508.204963185674</v>
      </c>
      <c r="AN123" s="0" t="n">
        <f aca="false">W_PH(AN$2,$A123)</f>
        <v>507.470555325962</v>
      </c>
      <c r="AO123" s="0" t="n">
        <f aca="false">W_PH(AO$2,$A123)</f>
        <v>506.884722346139</v>
      </c>
      <c r="AP123" s="0" t="n">
        <f aca="false">W_PH(AP$2,$A123)</f>
        <v>506.453338154144</v>
      </c>
      <c r="AQ123" s="0" t="n">
        <f aca="false">W_PH(AQ$2,$A123)</f>
        <v>511.142430306737</v>
      </c>
      <c r="AR123" s="0" t="n">
        <f aca="false">W_PH(AR$2,$A123)</f>
        <v>513.918401368604</v>
      </c>
      <c r="AS123" s="0" t="n">
        <f aca="false">W_PH(AS$2,$A123)</f>
        <v>515.333844367425</v>
      </c>
    </row>
    <row r="124" customFormat="false" ht="13.8" hidden="false" customHeight="false" outlineLevel="0" collapsed="false">
      <c r="A124" s="0" t="n">
        <v>2840</v>
      </c>
      <c r="B124" s="0" t="n">
        <f aca="false">W_PH(B$2,$A124)</f>
        <v>523.927905375091</v>
      </c>
      <c r="C124" s="0" t="n">
        <f aca="false">W_PH(C$2,$A124)</f>
        <v>523.927513953503</v>
      </c>
      <c r="D124" s="0" t="n">
        <f aca="false">W_PH(D$2,$A124)</f>
        <v>523.927122555409</v>
      </c>
      <c r="E124" s="0" t="n">
        <f aca="false">W_PH(E$2,$A124)</f>
        <v>523.926731180808</v>
      </c>
      <c r="F124" s="0" t="n">
        <f aca="false">W_PH(F$2,$A124)</f>
        <v>523.926339829698</v>
      </c>
      <c r="G124" s="0" t="n">
        <f aca="false">W_PH(G$2,$A124)</f>
        <v>523.922427610164</v>
      </c>
      <c r="H124" s="0" t="n">
        <f aca="false">W_PH(H$2,$A124)</f>
        <v>523.918517737552</v>
      </c>
      <c r="I124" s="0" t="n">
        <f aca="false">W_PH(I$2,$A124)</f>
        <v>523.914610209894</v>
      </c>
      <c r="J124" s="0" t="n">
        <f aca="false">W_PH(J$2,$A124)</f>
        <v>523.910705025222</v>
      </c>
      <c r="K124" s="0" t="n">
        <f aca="false">W_PH(K$2,$A124)</f>
        <v>523.906802181566</v>
      </c>
      <c r="L124" s="0" t="n">
        <f aca="false">W_PH(L$2,$A124)</f>
        <v>523.902901676956</v>
      </c>
      <c r="M124" s="0" t="n">
        <f aca="false">W_PH(M$2,$A124)</f>
        <v>523.899003509423</v>
      </c>
      <c r="N124" s="0" t="n">
        <f aca="false">W_PH(N$2,$A124)</f>
        <v>523.895107676994</v>
      </c>
      <c r="O124" s="0" t="n">
        <f aca="false">W_PH(O$2,$A124)</f>
        <v>523.891214177699</v>
      </c>
      <c r="P124" s="0" t="n">
        <f aca="false">W_PH(P$2,$A124)</f>
        <v>523.852407073004</v>
      </c>
      <c r="Q124" s="0" t="n">
        <f aca="false">W_PH(Q$2,$A124)</f>
        <v>523.813831109099</v>
      </c>
      <c r="R124" s="0" t="n">
        <f aca="false">W_PH(R$2,$A124)</f>
        <v>523.775484305067</v>
      </c>
      <c r="S124" s="0" t="n">
        <f aca="false">W_PH(S$2,$A124)</f>
        <v>523.737364672746</v>
      </c>
      <c r="T124" s="0" t="n">
        <f aca="false">W_PH(T$2,$A124)</f>
        <v>523.699470214986</v>
      </c>
      <c r="U124" s="0" t="n">
        <f aca="false">W_PH(U$2,$A124)</f>
        <v>523.661798923597</v>
      </c>
      <c r="V124" s="0" t="n">
        <f aca="false">W_PH(V$2,$A124)</f>
        <v>523.624348777127</v>
      </c>
      <c r="W124" s="0" t="n">
        <f aca="false">W_PH(W$2,$A124)</f>
        <v>523.587117738582</v>
      </c>
      <c r="X124" s="0" t="n">
        <f aca="false">W_PH(X$2,$A124)</f>
        <v>523.550103753166</v>
      </c>
      <c r="Y124" s="0" t="n">
        <f aca="false">W_PH(Y$2,$A124)</f>
        <v>523.191433343554</v>
      </c>
      <c r="Z124" s="0" t="n">
        <f aca="false">W_PH(Z$2,$A124)</f>
        <v>522.852022151656</v>
      </c>
      <c r="AA124" s="0" t="n">
        <f aca="false">W_PH(AA$2,$A124)</f>
        <v>522.529406911019</v>
      </c>
      <c r="AB124" s="0" t="n">
        <f aca="false">W_PH(AB$2,$A124)</f>
        <v>522.221015771351</v>
      </c>
      <c r="AC124" s="0" t="n">
        <f aca="false">W_PH(AC$2,$A124)</f>
        <v>521.924374462145</v>
      </c>
      <c r="AD124" s="0" t="n">
        <f aca="false">W_PH(AD$2,$A124)</f>
        <v>521.637280660668</v>
      </c>
      <c r="AE124" s="0" t="n">
        <f aca="false">W_PH(AE$2,$A124)</f>
        <v>521.357905728852</v>
      </c>
      <c r="AF124" s="0" t="n">
        <f aca="false">W_PH(AF$2,$A124)</f>
        <v>521.084825958396</v>
      </c>
      <c r="AG124" s="0" t="n">
        <f aca="false">W_PH(AG$2,$A124)</f>
        <v>520.817002666926</v>
      </c>
      <c r="AH124" s="0" t="n">
        <f aca="false">W_PH(AH$2,$A124)</f>
        <v>518.363461991358</v>
      </c>
      <c r="AI124" s="0" t="n">
        <f aca="false">W_PH(AI$2,$A124)</f>
        <v>516.324527456576</v>
      </c>
      <c r="AJ124" s="0" t="n">
        <f aca="false">W_PH(AJ$2,$A124)</f>
        <v>514.685129165301</v>
      </c>
      <c r="AK124" s="0" t="n">
        <f aca="false">W_PH(AK$2,$A124)</f>
        <v>513.345179133295</v>
      </c>
      <c r="AL124" s="0" t="n">
        <f aca="false">W_PH(AL$2,$A124)</f>
        <v>512.241710515892</v>
      </c>
      <c r="AM124" s="0" t="n">
        <f aca="false">W_PH(AM$2,$A124)</f>
        <v>511.318420493083</v>
      </c>
      <c r="AN124" s="0" t="n">
        <f aca="false">W_PH(AN$2,$A124)</f>
        <v>510.559311662375</v>
      </c>
      <c r="AO124" s="0" t="n">
        <f aca="false">W_PH(AO$2,$A124)</f>
        <v>509.962766022457</v>
      </c>
      <c r="AP124" s="0" t="n">
        <f aca="false">W_PH(AP$2,$A124)</f>
        <v>509.501306979039</v>
      </c>
      <c r="AQ124" s="0" t="n">
        <f aca="false">W_PH(AQ$2,$A124)</f>
        <v>513.99716922726</v>
      </c>
      <c r="AR124" s="0" t="n">
        <f aca="false">W_PH(AR$2,$A124)</f>
        <v>516.696506752862</v>
      </c>
      <c r="AS124" s="0" t="n">
        <f aca="false">W_PH(AS$2,$A124)</f>
        <v>518.074380984349</v>
      </c>
    </row>
    <row r="125" customFormat="false" ht="13.8" hidden="false" customHeight="false" outlineLevel="0" collapsed="false">
      <c r="A125" s="0" t="n">
        <v>2850</v>
      </c>
      <c r="B125" s="0" t="n">
        <f aca="false">W_PH(B$2,$A125)</f>
        <v>526.797667209385</v>
      </c>
      <c r="C125" s="0" t="n">
        <f aca="false">W_PH(C$2,$A125)</f>
        <v>526.797289776946</v>
      </c>
      <c r="D125" s="0" t="n">
        <f aca="false">W_PH(D$2,$A125)</f>
        <v>526.796912365323</v>
      </c>
      <c r="E125" s="0" t="n">
        <f aca="false">W_PH(E$2,$A125)</f>
        <v>526.796534974515</v>
      </c>
      <c r="F125" s="0" t="n">
        <f aca="false">W_PH(F$2,$A125)</f>
        <v>526.796157604521</v>
      </c>
      <c r="G125" s="0" t="n">
        <f aca="false">W_PH(G$2,$A125)</f>
        <v>526.792385048947</v>
      </c>
      <c r="H125" s="0" t="n">
        <f aca="false">W_PH(H$2,$A125)</f>
        <v>526.788614572886</v>
      </c>
      <c r="I125" s="0" t="n">
        <f aca="false">W_PH(I$2,$A125)</f>
        <v>526.784846174679</v>
      </c>
      <c r="J125" s="0" t="n">
        <f aca="false">W_PH(J$2,$A125)</f>
        <v>526.781079852666</v>
      </c>
      <c r="K125" s="0" t="n">
        <f aca="false">W_PH(K$2,$A125)</f>
        <v>526.777315605188</v>
      </c>
      <c r="L125" s="0" t="n">
        <f aca="false">W_PH(L$2,$A125)</f>
        <v>526.773553430585</v>
      </c>
      <c r="M125" s="0" t="n">
        <f aca="false">W_PH(M$2,$A125)</f>
        <v>526.769793327195</v>
      </c>
      <c r="N125" s="0" t="n">
        <f aca="false">W_PH(N$2,$A125)</f>
        <v>526.766035293358</v>
      </c>
      <c r="O125" s="0" t="n">
        <f aca="false">W_PH(O$2,$A125)</f>
        <v>526.762279327412</v>
      </c>
      <c r="P125" s="0" t="n">
        <f aca="false">W_PH(P$2,$A125)</f>
        <v>526.724833036118</v>
      </c>
      <c r="Q125" s="0" t="n">
        <f aca="false">W_PH(Q$2,$A125)</f>
        <v>526.687591702985</v>
      </c>
      <c r="R125" s="0" t="n">
        <f aca="false">W_PH(R$2,$A125)</f>
        <v>526.65055365908</v>
      </c>
      <c r="S125" s="0" t="n">
        <f aca="false">W_PH(S$2,$A125)</f>
        <v>526.613717230513</v>
      </c>
      <c r="T125" s="0" t="n">
        <f aca="false">W_PH(T$2,$A125)</f>
        <v>526.57708073775</v>
      </c>
      <c r="U125" s="0" t="n">
        <f aca="false">W_PH(U$2,$A125)</f>
        <v>526.540642494742</v>
      </c>
      <c r="V125" s="0" t="n">
        <f aca="false">W_PH(V$2,$A125)</f>
        <v>526.504400807945</v>
      </c>
      <c r="W125" s="0" t="n">
        <f aca="false">W_PH(W$2,$A125)</f>
        <v>526.468353975282</v>
      </c>
      <c r="X125" s="0" t="n">
        <f aca="false">W_PH(X$2,$A125)</f>
        <v>526.432500285101</v>
      </c>
      <c r="Y125" s="0" t="n">
        <f aca="false">W_PH(Y$2,$A125)</f>
        <v>526.084201046119</v>
      </c>
      <c r="Z125" s="0" t="n">
        <f aca="false">W_PH(Z$2,$A125)</f>
        <v>525.753236440215</v>
      </c>
      <c r="AA125" s="0" t="n">
        <f aca="false">W_PH(AA$2,$A125)</f>
        <v>525.437683385997</v>
      </c>
      <c r="AB125" s="0" t="n">
        <f aca="false">W_PH(AB$2,$A125)</f>
        <v>525.135566936984</v>
      </c>
      <c r="AC125" s="0" t="n">
        <f aca="false">W_PH(AC$2,$A125)</f>
        <v>524.844976866079</v>
      </c>
      <c r="AD125" s="0" t="n">
        <f aca="false">W_PH(AD$2,$A125)</f>
        <v>524.564172240076</v>
      </c>
      <c r="AE125" s="0" t="n">
        <f aca="false">W_PH(AE$2,$A125)</f>
        <v>524.291648584608</v>
      </c>
      <c r="AF125" s="0" t="n">
        <f aca="false">W_PH(AF$2,$A125)</f>
        <v>524.026165389341</v>
      </c>
      <c r="AG125" s="0" t="n">
        <f aca="false">W_PH(AG$2,$A125)</f>
        <v>523.766742461584</v>
      </c>
      <c r="AH125" s="0" t="n">
        <f aca="false">W_PH(AH$2,$A125)</f>
        <v>521.414553993477</v>
      </c>
      <c r="AI125" s="0" t="n">
        <f aca="false">W_PH(AI$2,$A125)</f>
        <v>519.436967045998</v>
      </c>
      <c r="AJ125" s="0" t="n">
        <f aca="false">W_PH(AJ$2,$A125)</f>
        <v>517.814000972284</v>
      </c>
      <c r="AK125" s="0" t="n">
        <f aca="false">W_PH(AK$2,$A125)</f>
        <v>516.462463426993</v>
      </c>
      <c r="AL125" s="0" t="n">
        <f aca="false">W_PH(AL$2,$A125)</f>
        <v>515.338789274392</v>
      </c>
      <c r="AM125" s="0" t="n">
        <f aca="false">W_PH(AM$2,$A125)</f>
        <v>514.395778206185</v>
      </c>
      <c r="AN125" s="0" t="n">
        <f aca="false">W_PH(AN$2,$A125)</f>
        <v>513.619278230572</v>
      </c>
      <c r="AO125" s="0" t="n">
        <f aca="false">W_PH(AO$2,$A125)</f>
        <v>513.008001279819</v>
      </c>
      <c r="AP125" s="0" t="n">
        <f aca="false">W_PH(AP$2,$A125)</f>
        <v>512.532771642377</v>
      </c>
      <c r="AQ125" s="0" t="n">
        <f aca="false">W_PH(AQ$2,$A125)</f>
        <v>516.839305457937</v>
      </c>
      <c r="AR125" s="0" t="n">
        <f aca="false">W_PH(AR$2,$A125)</f>
        <v>519.463493753081</v>
      </c>
      <c r="AS125" s="0" t="n">
        <f aca="false">W_PH(AS$2,$A125)</f>
        <v>520.804732878559</v>
      </c>
    </row>
    <row r="126" customFormat="false" ht="13.8" hidden="false" customHeight="false" outlineLevel="0" collapsed="false">
      <c r="A126" s="0" t="n">
        <v>2860</v>
      </c>
      <c r="B126" s="0" t="n">
        <f aca="false">W_PH(B$2,$A126)</f>
        <v>529.644393915068</v>
      </c>
      <c r="C126" s="0" t="n">
        <f aca="false">W_PH(C$2,$A126)</f>
        <v>529.644029945085</v>
      </c>
      <c r="D126" s="0" t="n">
        <f aca="false">W_PH(D$2,$A126)</f>
        <v>529.643665993577</v>
      </c>
      <c r="E126" s="0" t="n">
        <f aca="false">W_PH(E$2,$A126)</f>
        <v>529.643302060544</v>
      </c>
      <c r="F126" s="0" t="n">
        <f aca="false">W_PH(F$2,$A126)</f>
        <v>529.642938145982</v>
      </c>
      <c r="G126" s="0" t="n">
        <f aca="false">W_PH(G$2,$A126)</f>
        <v>529.639300016056</v>
      </c>
      <c r="H126" s="0" t="n">
        <f aca="false">W_PH(H$2,$A126)</f>
        <v>529.635663731857</v>
      </c>
      <c r="I126" s="0" t="n">
        <f aca="false">W_PH(I$2,$A126)</f>
        <v>529.632029291988</v>
      </c>
      <c r="J126" s="0" t="n">
        <f aca="false">W_PH(J$2,$A126)</f>
        <v>529.628396695056</v>
      </c>
      <c r="K126" s="0" t="n">
        <f aca="false">W_PH(K$2,$A126)</f>
        <v>529.624765939664</v>
      </c>
      <c r="L126" s="0" t="n">
        <f aca="false">W_PH(L$2,$A126)</f>
        <v>529.621137024415</v>
      </c>
      <c r="M126" s="0" t="n">
        <f aca="false">W_PH(M$2,$A126)</f>
        <v>529.617509947914</v>
      </c>
      <c r="N126" s="0" t="n">
        <f aca="false">W_PH(N$2,$A126)</f>
        <v>529.613884708764</v>
      </c>
      <c r="O126" s="0" t="n">
        <f aca="false">W_PH(O$2,$A126)</f>
        <v>529.610261305567</v>
      </c>
      <c r="P126" s="0" t="n">
        <f aca="false">W_PH(P$2,$A126)</f>
        <v>529.57412794344</v>
      </c>
      <c r="Q126" s="0" t="n">
        <f aca="false">W_PH(Q$2,$A126)</f>
        <v>529.53817663742</v>
      </c>
      <c r="R126" s="0" t="n">
        <f aca="false">W_PH(R$2,$A126)</f>
        <v>529.502405985098</v>
      </c>
      <c r="S126" s="0" t="n">
        <f aca="false">W_PH(S$2,$A126)</f>
        <v>529.466814580825</v>
      </c>
      <c r="T126" s="0" t="n">
        <f aca="false">W_PH(T$2,$A126)</f>
        <v>529.431401015505</v>
      </c>
      <c r="U126" s="0" t="n">
        <f aca="false">W_PH(U$2,$A126)</f>
        <v>529.396163876286</v>
      </c>
      <c r="V126" s="0" t="n">
        <f aca="false">W_PH(V$2,$A126)</f>
        <v>529.361101746174</v>
      </c>
      <c r="W126" s="0" t="n">
        <f aca="false">W_PH(W$2,$A126)</f>
        <v>529.326213203606</v>
      </c>
      <c r="X126" s="0" t="n">
        <f aca="false">W_PH(X$2,$A126)</f>
        <v>529.291496822015</v>
      </c>
      <c r="Y126" s="0" t="n">
        <f aca="false">W_PH(Y$2,$A126)</f>
        <v>528.953483668857</v>
      </c>
      <c r="Z126" s="0" t="n">
        <f aca="false">W_PH(Z$2,$A126)</f>
        <v>528.631069229033</v>
      </c>
      <c r="AA126" s="0" t="n">
        <f aca="false">W_PH(AA$2,$A126)</f>
        <v>528.322724293076</v>
      </c>
      <c r="AB126" s="0" t="n">
        <f aca="false">W_PH(AB$2,$A126)</f>
        <v>528.026901468938</v>
      </c>
      <c r="AC126" s="0" t="n">
        <f aca="false">W_PH(AC$2,$A126)</f>
        <v>527.742101624496</v>
      </c>
      <c r="AD126" s="0" t="n">
        <f aca="false">W_PH(AD$2,$A126)</f>
        <v>527.466936227867</v>
      </c>
      <c r="AE126" s="0" t="n">
        <f aca="false">W_PH(AE$2,$A126)</f>
        <v>527.20017048443</v>
      </c>
      <c r="AF126" s="0" t="n">
        <f aca="false">W_PH(AF$2,$A126)</f>
        <v>526.940744350341</v>
      </c>
      <c r="AG126" s="0" t="n">
        <f aca="false">W_PH(AG$2,$A126)</f>
        <v>526.687774912314</v>
      </c>
      <c r="AH126" s="0" t="n">
        <f aca="false">W_PH(AH$2,$A126)</f>
        <v>524.411852247699</v>
      </c>
      <c r="AI126" s="0" t="n">
        <f aca="false">W_PH(AI$2,$A126)</f>
        <v>522.487253699705</v>
      </c>
      <c r="AJ126" s="0" t="n">
        <f aca="false">W_PH(AJ$2,$A126)</f>
        <v>520.883949639958</v>
      </c>
      <c r="AK126" s="0" t="n">
        <f aca="false">W_PH(AK$2,$A126)</f>
        <v>519.5304225632</v>
      </c>
      <c r="AL126" s="0" t="n">
        <f aca="false">W_PH(AL$2,$A126)</f>
        <v>518.396129349387</v>
      </c>
      <c r="AM126" s="0" t="n">
        <f aca="false">W_PH(AM$2,$A126)</f>
        <v>517.441318384229</v>
      </c>
      <c r="AN126" s="0" t="n">
        <f aca="false">W_PH(AN$2,$A126)</f>
        <v>516.653560765579</v>
      </c>
      <c r="AO126" s="0" t="n">
        <f aca="false">W_PH(AO$2,$A126)</f>
        <v>516.031830262416</v>
      </c>
      <c r="AP126" s="0" t="n">
        <f aca="false">W_PH(AP$2,$A126)</f>
        <v>515.576360661812</v>
      </c>
      <c r="AQ126" s="0" t="n">
        <f aca="false">W_PH(AQ$2,$A126)</f>
        <v>519.668728903643</v>
      </c>
      <c r="AR126" s="0" t="n">
        <f aca="false">W_PH(AR$2,$A126)</f>
        <v>522.219426674918</v>
      </c>
      <c r="AS126" s="0" t="n">
        <f aca="false">W_PH(AS$2,$A126)</f>
        <v>523.525016395829</v>
      </c>
    </row>
    <row r="127" customFormat="false" ht="13.8" hidden="false" customHeight="false" outlineLevel="0" collapsed="false">
      <c r="A127" s="0" t="n">
        <v>2870</v>
      </c>
      <c r="B127" s="0" t="n">
        <f aca="false">W_PH(B$2,$A127)</f>
        <v>532.468495522984</v>
      </c>
      <c r="C127" s="0" t="n">
        <f aca="false">W_PH(C$2,$A127)</f>
        <v>532.468144504843</v>
      </c>
      <c r="D127" s="0" t="n">
        <f aca="false">W_PH(D$2,$A127)</f>
        <v>532.467793503125</v>
      </c>
      <c r="E127" s="0" t="n">
        <f aca="false">W_PH(E$2,$A127)</f>
        <v>532.46744251783</v>
      </c>
      <c r="F127" s="0" t="n">
        <f aca="false">W_PH(F$2,$A127)</f>
        <v>532.467091548956</v>
      </c>
      <c r="G127" s="0" t="n">
        <f aca="false">W_PH(G$2,$A127)</f>
        <v>532.463582763153</v>
      </c>
      <c r="H127" s="0" t="n">
        <f aca="false">W_PH(H$2,$A127)</f>
        <v>532.460075618222</v>
      </c>
      <c r="I127" s="0" t="n">
        <f aca="false">W_PH(I$2,$A127)</f>
        <v>532.456570112993</v>
      </c>
      <c r="J127" s="0" t="n">
        <f aca="false">W_PH(J$2,$A127)</f>
        <v>532.453066246295</v>
      </c>
      <c r="K127" s="0" t="n">
        <f aca="false">W_PH(K$2,$A127)</f>
        <v>532.449564016957</v>
      </c>
      <c r="L127" s="0" t="n">
        <f aca="false">W_PH(L$2,$A127)</f>
        <v>532.446063423809</v>
      </c>
      <c r="M127" s="0" t="n">
        <f aca="false">W_PH(M$2,$A127)</f>
        <v>532.442564465678</v>
      </c>
      <c r="N127" s="0" t="n">
        <f aca="false">W_PH(N$2,$A127)</f>
        <v>532.439067141393</v>
      </c>
      <c r="O127" s="0" t="n">
        <f aca="false">W_PH(O$2,$A127)</f>
        <v>532.435571449782</v>
      </c>
      <c r="P127" s="0" t="n">
        <f aca="false">W_PH(P$2,$A127)</f>
        <v>532.400704072748</v>
      </c>
      <c r="Q127" s="0" t="n">
        <f aca="false">W_PH(Q$2,$A127)</f>
        <v>532.36599867234</v>
      </c>
      <c r="R127" s="0" t="n">
        <f aca="false">W_PH(R$2,$A127)</f>
        <v>532.331454073102</v>
      </c>
      <c r="S127" s="0" t="n">
        <f aca="false">W_PH(S$2,$A127)</f>
        <v>532.29706909756</v>
      </c>
      <c r="T127" s="0" t="n">
        <f aca="false">W_PH(T$2,$A127)</f>
        <v>532.262842566221</v>
      </c>
      <c r="U127" s="0" t="n">
        <f aca="false">W_PH(U$2,$A127)</f>
        <v>532.228773297505</v>
      </c>
      <c r="V127" s="0" t="n">
        <f aca="false">W_PH(V$2,$A127)</f>
        <v>532.194860107643</v>
      </c>
      <c r="W127" s="0" t="n">
        <f aca="false">W_PH(W$2,$A127)</f>
        <v>532.161101810532</v>
      </c>
      <c r="X127" s="0" t="n">
        <f aca="false">W_PH(X$2,$A127)</f>
        <v>532.127497217588</v>
      </c>
      <c r="Y127" s="0" t="n">
        <f aca="false">W_PH(Y$2,$A127)</f>
        <v>531.799641479509</v>
      </c>
      <c r="Z127" s="0" t="n">
        <f aca="false">W_PH(Z$2,$A127)</f>
        <v>531.485826641477</v>
      </c>
      <c r="AA127" s="0" t="n">
        <f aca="false">W_PH(AA$2,$A127)</f>
        <v>531.184819878149</v>
      </c>
      <c r="AB127" s="0" t="n">
        <f aca="false">W_PH(AB$2,$A127)</f>
        <v>530.895388423093</v>
      </c>
      <c r="AC127" s="0" t="n">
        <f aca="false">W_PH(AC$2,$A127)</f>
        <v>530.616337941024</v>
      </c>
      <c r="AD127" s="0" t="n">
        <f aca="false">W_PH(AD$2,$A127)</f>
        <v>530.346549671149</v>
      </c>
      <c r="AE127" s="0" t="n">
        <f aca="false">W_PH(AE$2,$A127)</f>
        <v>530.085007678923</v>
      </c>
      <c r="AF127" s="0" t="n">
        <f aca="false">W_PH(AF$2,$A127)</f>
        <v>529.830813824176</v>
      </c>
      <c r="AG127" s="0" t="n">
        <f aca="false">W_PH(AG$2,$A127)</f>
        <v>529.583191730858</v>
      </c>
      <c r="AH127" s="0" t="n">
        <f aca="false">W_PH(AH$2,$A127)</f>
        <v>527.366644850462</v>
      </c>
      <c r="AI127" s="0" t="n">
        <f aca="false">W_PH(AI$2,$A127)</f>
        <v>525.487639952185</v>
      </c>
      <c r="AJ127" s="0" t="n">
        <f aca="false">W_PH(AJ$2,$A127)</f>
        <v>523.905252210313</v>
      </c>
      <c r="AK127" s="0" t="n">
        <f aca="false">W_PH(AK$2,$A127)</f>
        <v>522.556352268963</v>
      </c>
      <c r="AL127" s="0" t="n">
        <f aca="false">W_PH(AL$2,$A127)</f>
        <v>521.418693581209</v>
      </c>
      <c r="AM127" s="0" t="n">
        <f aca="false">W_PH(AM$2,$A127)</f>
        <v>520.458350963826</v>
      </c>
      <c r="AN127" s="0" t="n">
        <f aca="false">W_PH(AN$2,$A127)</f>
        <v>519.664335867446</v>
      </c>
      <c r="AO127" s="0" t="n">
        <f aca="false">W_PH(AO$2,$A127)</f>
        <v>519.035778924566</v>
      </c>
      <c r="AP127" s="0" t="n">
        <f aca="false">W_PH(AP$2,$A127)</f>
        <v>518.573342212739</v>
      </c>
      <c r="AQ127" s="0" t="n">
        <f aca="false">W_PH(AQ$2,$A127)</f>
        <v>522.48545297359</v>
      </c>
      <c r="AR127" s="0" t="n">
        <f aca="false">W_PH(AR$2,$A127)</f>
        <v>524.964451529792</v>
      </c>
      <c r="AS127" s="0" t="n">
        <f aca="false">W_PH(AS$2,$A127)</f>
        <v>526.235411062753</v>
      </c>
    </row>
    <row r="128" customFormat="false" ht="13.8" hidden="false" customHeight="false" outlineLevel="0" collapsed="false">
      <c r="A128" s="0" t="n">
        <v>2880</v>
      </c>
      <c r="B128" s="0" t="n">
        <f aca="false">W_PH(B$2,$A128)</f>
        <v>535.270370156894</v>
      </c>
      <c r="C128" s="0" t="n">
        <f aca="false">W_PH(C$2,$A128)</f>
        <v>535.270031595767</v>
      </c>
      <c r="D128" s="0" t="n">
        <f aca="false">W_PH(D$2,$A128)</f>
        <v>535.269693049263</v>
      </c>
      <c r="E128" s="0" t="n">
        <f aca="false">W_PH(E$2,$A128)</f>
        <v>535.26935451738</v>
      </c>
      <c r="F128" s="0" t="n">
        <f aca="false">W_PH(F$2,$A128)</f>
        <v>535.26901600012</v>
      </c>
      <c r="G128" s="0" t="n">
        <f aca="false">W_PH(G$2,$A128)</f>
        <v>535.265631631458</v>
      </c>
      <c r="H128" s="0" t="n">
        <f aca="false">W_PH(H$2,$A128)</f>
        <v>535.262248723836</v>
      </c>
      <c r="I128" s="0" t="n">
        <f aca="false">W_PH(I$2,$A128)</f>
        <v>535.258867276272</v>
      </c>
      <c r="J128" s="0" t="n">
        <f aca="false">W_PH(J$2,$A128)</f>
        <v>535.255487287786</v>
      </c>
      <c r="K128" s="0" t="n">
        <f aca="false">W_PH(K$2,$A128)</f>
        <v>535.252108757399</v>
      </c>
      <c r="L128" s="0" t="n">
        <f aca="false">W_PH(L$2,$A128)</f>
        <v>535.24873168413</v>
      </c>
      <c r="M128" s="0" t="n">
        <f aca="false">W_PH(M$2,$A128)</f>
        <v>535.245356066998</v>
      </c>
      <c r="N128" s="0" t="n">
        <f aca="false">W_PH(N$2,$A128)</f>
        <v>535.241981905024</v>
      </c>
      <c r="O128" s="0" t="n">
        <f aca="false">W_PH(O$2,$A128)</f>
        <v>535.238609197225</v>
      </c>
      <c r="P128" s="0" t="n">
        <f aca="false">W_PH(P$2,$A128)</f>
        <v>535.204961883038</v>
      </c>
      <c r="Q128" s="0" t="n">
        <f aca="false">W_PH(Q$2,$A128)</f>
        <v>535.171458906515</v>
      </c>
      <c r="R128" s="0" t="n">
        <f aca="false">W_PH(R$2,$A128)</f>
        <v>535.138099284632</v>
      </c>
      <c r="S128" s="0" t="n">
        <f aca="false">W_PH(S$2,$A128)</f>
        <v>535.104882033185</v>
      </c>
      <c r="T128" s="0" t="n">
        <f aca="false">W_PH(T$2,$A128)</f>
        <v>535.07180616685</v>
      </c>
      <c r="U128" s="0" t="n">
        <f aca="false">W_PH(U$2,$A128)</f>
        <v>535.038870699226</v>
      </c>
      <c r="V128" s="0" t="n">
        <f aca="false">W_PH(V$2,$A128)</f>
        <v>535.006074642837</v>
      </c>
      <c r="W128" s="0" t="n">
        <f aca="false">W_PH(W$2,$A128)</f>
        <v>534.97341700912</v>
      </c>
      <c r="X128" s="0" t="n">
        <f aca="false">W_PH(X$2,$A128)</f>
        <v>534.940896808406</v>
      </c>
      <c r="Y128" s="0" t="n">
        <f aca="false">W_PH(Y$2,$A128)</f>
        <v>534.62303504852</v>
      </c>
      <c r="Z128" s="0" t="n">
        <f aca="false">W_PH(Z$2,$A128)</f>
        <v>534.317819462115</v>
      </c>
      <c r="AA128" s="0" t="n">
        <f aca="false">W_PH(AA$2,$A128)</f>
        <v>534.02424620402</v>
      </c>
      <c r="AB128" s="0" t="n">
        <f aca="false">W_PH(AB$2,$A128)</f>
        <v>533.741320124603</v>
      </c>
      <c r="AC128" s="0" t="n">
        <f aca="false">W_PH(AC$2,$A128)</f>
        <v>533.468077350357</v>
      </c>
      <c r="AD128" s="0" t="n">
        <f aca="false">W_PH(AD$2,$A128)</f>
        <v>533.203607531378</v>
      </c>
      <c r="AE128" s="0" t="n">
        <f aca="false">W_PH(AE$2,$A128)</f>
        <v>532.947070933888</v>
      </c>
      <c r="AF128" s="0" t="n">
        <f aca="false">W_PH(AF$2,$A128)</f>
        <v>532.697708717466</v>
      </c>
      <c r="AG128" s="0" t="n">
        <f aca="false">W_PH(AG$2,$A128)</f>
        <v>532.454846781604</v>
      </c>
      <c r="AH128" s="0" t="n">
        <f aca="false">W_PH(AH$2,$A128)</f>
        <v>530.286771762039</v>
      </c>
      <c r="AI128" s="0" t="n">
        <f aca="false">W_PH(AI$2,$A128)</f>
        <v>528.44731249794</v>
      </c>
      <c r="AJ128" s="0" t="n">
        <f aca="false">W_PH(AJ$2,$A128)</f>
        <v>526.886139651893</v>
      </c>
      <c r="AK128" s="0" t="n">
        <f aca="false">W_PH(AK$2,$A128)</f>
        <v>525.546227676311</v>
      </c>
      <c r="AL128" s="0" t="n">
        <f aca="false">W_PH(AL$2,$A128)</f>
        <v>524.410501702501</v>
      </c>
      <c r="AM128" s="0" t="n">
        <f aca="false">W_PH(AM$2,$A128)</f>
        <v>523.449436145328</v>
      </c>
      <c r="AN128" s="0" t="n">
        <f aca="false">W_PH(AN$2,$A128)</f>
        <v>522.653134727978</v>
      </c>
      <c r="AO128" s="0" t="n">
        <f aca="false">W_PH(AO$2,$A128)</f>
        <v>522.020755637987</v>
      </c>
      <c r="AP128" s="0" t="n">
        <f aca="false">W_PH(AP$2,$A128)</f>
        <v>521.553177834021</v>
      </c>
      <c r="AQ128" s="0" t="n">
        <f aca="false">W_PH(AQ$2,$A128)</f>
        <v>525.289584751699</v>
      </c>
      <c r="AR128" s="0" t="n">
        <f aca="false">W_PH(AR$2,$A128)</f>
        <v>527.698768732476</v>
      </c>
      <c r="AS128" s="0" t="n">
        <f aca="false">W_PH(AS$2,$A128)</f>
        <v>528.936134397778</v>
      </c>
    </row>
    <row r="129" customFormat="false" ht="13.8" hidden="false" customHeight="false" outlineLevel="0" collapsed="false">
      <c r="A129" s="0" t="n">
        <v>2890</v>
      </c>
      <c r="B129" s="0" t="n">
        <f aca="false">W_PH(B$2,$A129)</f>
        <v>538.050404390379</v>
      </c>
      <c r="C129" s="0" t="n">
        <f aca="false">W_PH(C$2,$A129)</f>
        <v>538.05007780693</v>
      </c>
      <c r="D129" s="0" t="n">
        <f aca="false">W_PH(D$2,$A129)</f>
        <v>538.049751236522</v>
      </c>
      <c r="E129" s="0" t="n">
        <f aca="false">W_PH(E$2,$A129)</f>
        <v>538.049424679152</v>
      </c>
      <c r="F129" s="0" t="n">
        <f aca="false">W_PH(F$2,$A129)</f>
        <v>538.049098134821</v>
      </c>
      <c r="G129" s="0" t="n">
        <f aca="false">W_PH(G$2,$A129)</f>
        <v>538.045833408441</v>
      </c>
      <c r="H129" s="0" t="n">
        <f aca="false">W_PH(H$2,$A129)</f>
        <v>538.042569984996</v>
      </c>
      <c r="I129" s="0" t="n">
        <f aca="false">W_PH(I$2,$A129)</f>
        <v>538.039307863669</v>
      </c>
      <c r="J129" s="0" t="n">
        <f aca="false">W_PH(J$2,$A129)</f>
        <v>538.03604704364</v>
      </c>
      <c r="K129" s="0" t="n">
        <f aca="false">W_PH(K$2,$A129)</f>
        <v>538.03278752409</v>
      </c>
      <c r="L129" s="0" t="n">
        <f aca="false">W_PH(L$2,$A129)</f>
        <v>538.029529304201</v>
      </c>
      <c r="M129" s="0" t="n">
        <f aca="false">W_PH(M$2,$A129)</f>
        <v>538.026272383153</v>
      </c>
      <c r="N129" s="0" t="n">
        <f aca="false">W_PH(N$2,$A129)</f>
        <v>538.023016760127</v>
      </c>
      <c r="O129" s="0" t="n">
        <f aca="false">W_PH(O$2,$A129)</f>
        <v>538.019762434303</v>
      </c>
      <c r="P129" s="0" t="n">
        <f aca="false">W_PH(P$2,$A129)</f>
        <v>537.987290341908</v>
      </c>
      <c r="Q129" s="0" t="n">
        <f aca="false">W_PH(Q$2,$A129)</f>
        <v>537.954947067918</v>
      </c>
      <c r="R129" s="0" t="n">
        <f aca="false">W_PH(R$2,$A129)</f>
        <v>537.922731791727</v>
      </c>
      <c r="S129" s="0" t="n">
        <f aca="false">W_PH(S$2,$A129)</f>
        <v>537.89064369209</v>
      </c>
      <c r="T129" s="0" t="n">
        <f aca="false">W_PH(T$2,$A129)</f>
        <v>537.858681947203</v>
      </c>
      <c r="U129" s="0" t="n">
        <f aca="false">W_PH(U$2,$A129)</f>
        <v>537.826845734771</v>
      </c>
      <c r="V129" s="0" t="n">
        <f aca="false">W_PH(V$2,$A129)</f>
        <v>537.795134232047</v>
      </c>
      <c r="W129" s="0" t="n">
        <f aca="false">W_PH(W$2,$A129)</f>
        <v>537.76354661588</v>
      </c>
      <c r="X129" s="0" t="n">
        <f aca="false">W_PH(X$2,$A129)</f>
        <v>537.732082062731</v>
      </c>
      <c r="Y129" s="0" t="n">
        <f aca="false">W_PH(Y$2,$A129)</f>
        <v>537.424023589642</v>
      </c>
      <c r="Z129" s="0" t="n">
        <f aca="false">W_PH(Z$2,$A129)</f>
        <v>537.127363770346</v>
      </c>
      <c r="AA129" s="0" t="n">
        <f aca="false">W_PH(AA$2,$A129)</f>
        <v>536.841279335763</v>
      </c>
      <c r="AB129" s="0" t="n">
        <f aca="false">W_PH(AB$2,$A129)</f>
        <v>536.564958776166</v>
      </c>
      <c r="AC129" s="0" t="n">
        <f aca="false">W_PH(AC$2,$A129)</f>
        <v>536.297615945895</v>
      </c>
      <c r="AD129" s="0" t="n">
        <f aca="false">W_PH(AD$2,$A129)</f>
        <v>536.038503541702</v>
      </c>
      <c r="AE129" s="0" t="n">
        <f aca="false">W_PH(AE$2,$A129)</f>
        <v>535.786923841217</v>
      </c>
      <c r="AF129" s="0" t="n">
        <f aca="false">W_PH(AF$2,$A129)</f>
        <v>535.542235649727</v>
      </c>
      <c r="AG129" s="0" t="n">
        <f aca="false">W_PH(AG$2,$A129)</f>
        <v>535.303857510901</v>
      </c>
      <c r="AH129" s="0" t="n">
        <f aca="false">W_PH(AH$2,$A129)</f>
        <v>533.177538878629</v>
      </c>
      <c r="AI129" s="0" t="n">
        <f aca="false">W_PH(AI$2,$A129)</f>
        <v>531.372990388235</v>
      </c>
      <c r="AJ129" s="0" t="n">
        <f aca="false">W_PH(AJ$2,$A129)</f>
        <v>529.832969157691</v>
      </c>
      <c r="AK129" s="0" t="n">
        <f aca="false">W_PH(AK$2,$A129)</f>
        <v>528.504805675354</v>
      </c>
      <c r="AL129" s="0" t="n">
        <f aca="false">W_PH(AL$2,$A129)</f>
        <v>527.374761734731</v>
      </c>
      <c r="AM129" s="0" t="n">
        <f aca="false">W_PH(AM$2,$A129)</f>
        <v>526.416557183677</v>
      </c>
      <c r="AN129" s="0" t="n">
        <f aca="false">W_PH(AN$2,$A129)</f>
        <v>525.6210452635</v>
      </c>
      <c r="AO129" s="0" t="n">
        <f aca="false">W_PH(AO$2,$A129)</f>
        <v>524.987277577448</v>
      </c>
      <c r="AP129" s="0" t="n">
        <f aca="false">W_PH(AP$2,$A129)</f>
        <v>524.516173224683</v>
      </c>
      <c r="AQ129" s="0" t="n">
        <f aca="false">W_PH(AQ$2,$A129)</f>
        <v>528.081297760897</v>
      </c>
      <c r="AR129" s="0" t="n">
        <f aca="false">W_PH(AR$2,$A129)</f>
        <v>530.422609878115</v>
      </c>
      <c r="AS129" s="0" t="n">
        <f aca="false">W_PH(AS$2,$A129)</f>
        <v>531.62742114263</v>
      </c>
    </row>
    <row r="130" customFormat="false" ht="13.8" hidden="false" customHeight="false" outlineLevel="0" collapsed="false">
      <c r="A130" s="0" t="n">
        <v>2900</v>
      </c>
      <c r="B130" s="0" t="n">
        <f aca="false">W_PH(B$2,$A130)</f>
        <v>540.80897360926</v>
      </c>
      <c r="C130" s="0" t="n">
        <f aca="false">W_PH(C$2,$A130)</f>
        <v>540.808658539376</v>
      </c>
      <c r="D130" s="0" t="n">
        <f aca="false">W_PH(D$2,$A130)</f>
        <v>540.808343481138</v>
      </c>
      <c r="E130" s="0" t="n">
        <f aca="false">W_PH(E$2,$A130)</f>
        <v>540.808028434547</v>
      </c>
      <c r="F130" s="0" t="n">
        <f aca="false">W_PH(F$2,$A130)</f>
        <v>540.807713399601</v>
      </c>
      <c r="G130" s="0" t="n">
        <f aca="false">W_PH(G$2,$A130)</f>
        <v>540.804563690481</v>
      </c>
      <c r="H130" s="0" t="n">
        <f aca="false">W_PH(H$2,$A130)</f>
        <v>540.801415145141</v>
      </c>
      <c r="I130" s="0" t="n">
        <f aca="false">W_PH(I$2,$A130)</f>
        <v>540.798267762898</v>
      </c>
      <c r="J130" s="0" t="n">
        <f aca="false">W_PH(J$2,$A130)</f>
        <v>540.795121543067</v>
      </c>
      <c r="K130" s="0" t="n">
        <f aca="false">W_PH(K$2,$A130)</f>
        <v>540.791976484967</v>
      </c>
      <c r="L130" s="0" t="n">
        <f aca="false">W_PH(L$2,$A130)</f>
        <v>540.788832587913</v>
      </c>
      <c r="M130" s="0" t="n">
        <f aca="false">W_PH(M$2,$A130)</f>
        <v>540.785689851223</v>
      </c>
      <c r="N130" s="0" t="n">
        <f aca="false">W_PH(N$2,$A130)</f>
        <v>540.782548274212</v>
      </c>
      <c r="O130" s="0" t="n">
        <f aca="false">W_PH(O$2,$A130)</f>
        <v>540.779407856198</v>
      </c>
      <c r="P130" s="0" t="n">
        <f aca="false">W_PH(P$2,$A130)</f>
        <v>540.74806727047</v>
      </c>
      <c r="Q130" s="0" t="n">
        <f aca="false">W_PH(Q$2,$A130)</f>
        <v>540.71684183225</v>
      </c>
      <c r="R130" s="0" t="n">
        <f aca="false">W_PH(R$2,$A130)</f>
        <v>540.685730857397</v>
      </c>
      <c r="S130" s="0" t="n">
        <f aca="false">W_PH(S$2,$A130)</f>
        <v>540.654733661465</v>
      </c>
      <c r="T130" s="0" t="n">
        <f aca="false">W_PH(T$2,$A130)</f>
        <v>540.623849559777</v>
      </c>
      <c r="U130" s="0" t="n">
        <f aca="false">W_PH(U$2,$A130)</f>
        <v>540.593077867495</v>
      </c>
      <c r="V130" s="0" t="n">
        <f aca="false">W_PH(V$2,$A130)</f>
        <v>540.562417899671</v>
      </c>
      <c r="W130" s="0" t="n">
        <f aca="false">W_PH(W$2,$A130)</f>
        <v>540.531868971291</v>
      </c>
      <c r="X130" s="0" t="n">
        <f aca="false">W_PH(X$2,$A130)</f>
        <v>540.501430397322</v>
      </c>
      <c r="Y130" s="0" t="n">
        <f aca="false">W_PH(Y$2,$A130)</f>
        <v>540.202963499991</v>
      </c>
      <c r="Z130" s="0" t="n">
        <f aca="false">W_PH(Z$2,$A130)</f>
        <v>539.914779794392</v>
      </c>
      <c r="AA130" s="0" t="n">
        <f aca="false">W_PH(AA$2,$A130)</f>
        <v>539.63620058228</v>
      </c>
      <c r="AB130" s="0" t="n">
        <f aca="false">W_PH(AB$2,$A130)</f>
        <v>539.366559011746</v>
      </c>
      <c r="AC130" s="0" t="n">
        <f aca="false">W_PH(AC$2,$A130)</f>
        <v>539.105208498376</v>
      </c>
      <c r="AD130" s="0" t="n">
        <f aca="false">W_PH(AD$2,$A130)</f>
        <v>538.851531036482</v>
      </c>
      <c r="AE130" s="0" t="n">
        <f aca="false">W_PH(AE$2,$A130)</f>
        <v>538.604944017745</v>
      </c>
      <c r="AF130" s="0" t="n">
        <f aca="false">W_PH(AF$2,$A130)</f>
        <v>538.364904930276</v>
      </c>
      <c r="AG130" s="0" t="n">
        <f aca="false">W_PH(AG$2,$A130)</f>
        <v>538.130913896867</v>
      </c>
      <c r="AH130" s="0" t="n">
        <f aca="false">W_PH(AH$2,$A130)</f>
        <v>536.042471791778</v>
      </c>
      <c r="AI130" s="0" t="n">
        <f aca="false">W_PH(AI$2,$A130)</f>
        <v>534.269490098141</v>
      </c>
      <c r="AJ130" s="0" t="n">
        <f aca="false">W_PH(AJ$2,$A130)</f>
        <v>532.75050220243</v>
      </c>
      <c r="AK130" s="0" t="n">
        <f aca="false">W_PH(AK$2,$A130)</f>
        <v>531.435779875666</v>
      </c>
      <c r="AL130" s="0" t="n">
        <f aca="false">W_PH(AL$2,$A130)</f>
        <v>530.313996909383</v>
      </c>
      <c r="AM130" s="0" t="n">
        <f aca="false">W_PH(AM$2,$A130)</f>
        <v>529.361250912192</v>
      </c>
      <c r="AN130" s="0" t="n">
        <f aca="false">W_PH(AN$2,$A130)</f>
        <v>528.568851692287</v>
      </c>
      <c r="AO130" s="0" t="n">
        <f aca="false">W_PH(AO$2,$A130)</f>
        <v>527.935623498289</v>
      </c>
      <c r="AP130" s="0" t="n">
        <f aca="false">W_PH(AP$2,$A130)</f>
        <v>527.462380662115</v>
      </c>
      <c r="AQ130" s="0" t="n">
        <f aca="false">W_PH(AQ$2,$A130)</f>
        <v>530.860808615891</v>
      </c>
      <c r="AR130" s="0" t="n">
        <f aca="false">W_PH(AR$2,$A130)</f>
        <v>533.136219177889</v>
      </c>
      <c r="AS130" s="0" t="n">
        <f aca="false">W_PH(AS$2,$A130)</f>
        <v>534.309507223022</v>
      </c>
    </row>
    <row r="131" customFormat="false" ht="13.8" hidden="false" customHeight="false" outlineLevel="0" collapsed="false">
      <c r="A131" s="0" t="n">
        <v>2910</v>
      </c>
      <c r="B131" s="0" t="n">
        <f aca="false">W_PH(B$2,$A131)</f>
        <v>543.546442376377</v>
      </c>
      <c r="C131" s="0" t="n">
        <f aca="false">W_PH(C$2,$A131)</f>
        <v>543.546138370931</v>
      </c>
      <c r="D131" s="0" t="n">
        <f aca="false">W_PH(D$2,$A131)</f>
        <v>543.545834375903</v>
      </c>
      <c r="E131" s="0" t="n">
        <f aca="false">W_PH(E$2,$A131)</f>
        <v>543.545530391295</v>
      </c>
      <c r="F131" s="0" t="n">
        <f aca="false">W_PH(F$2,$A131)</f>
        <v>543.545226417104</v>
      </c>
      <c r="G131" s="0" t="n">
        <f aca="false">W_PH(G$2,$A131)</f>
        <v>543.542187248076</v>
      </c>
      <c r="H131" s="0" t="n">
        <f aca="false">W_PH(H$2,$A131)</f>
        <v>543.53914912024</v>
      </c>
      <c r="I131" s="0" t="n">
        <f aca="false">W_PH(I$2,$A131)</f>
        <v>543.536112033028</v>
      </c>
      <c r="J131" s="0" t="n">
        <f aca="false">W_PH(J$2,$A131)</f>
        <v>543.533075985869</v>
      </c>
      <c r="K131" s="0" t="n">
        <f aca="false">W_PH(K$2,$A131)</f>
        <v>543.530040978194</v>
      </c>
      <c r="L131" s="0" t="n">
        <f aca="false">W_PH(L$2,$A131)</f>
        <v>543.527007009433</v>
      </c>
      <c r="M131" s="0" t="n">
        <f aca="false">W_PH(M$2,$A131)</f>
        <v>543.523974079018</v>
      </c>
      <c r="N131" s="0" t="n">
        <f aca="false">W_PH(N$2,$A131)</f>
        <v>543.520942186377</v>
      </c>
      <c r="O131" s="0" t="n">
        <f aca="false">W_PH(O$2,$A131)</f>
        <v>543.517911330943</v>
      </c>
      <c r="P131" s="0" t="n">
        <f aca="false">W_PH(P$2,$A131)</f>
        <v>543.487659697559</v>
      </c>
      <c r="Q131" s="0" t="n">
        <f aca="false">W_PH(Q$2,$A131)</f>
        <v>543.457511157939</v>
      </c>
      <c r="R131" s="0" t="n">
        <f aca="false">W_PH(R$2,$A131)</f>
        <v>543.427465142104</v>
      </c>
      <c r="S131" s="0" t="n">
        <f aca="false">W_PH(S$2,$A131)</f>
        <v>543.39752107997</v>
      </c>
      <c r="T131" s="0" t="n">
        <f aca="false">W_PH(T$2,$A131)</f>
        <v>543.367678401403</v>
      </c>
      <c r="U131" s="0" t="n">
        <f aca="false">W_PH(U$2,$A131)</f>
        <v>543.337936536282</v>
      </c>
      <c r="V131" s="0" t="n">
        <f aca="false">W_PH(V$2,$A131)</f>
        <v>543.308294914538</v>
      </c>
      <c r="W131" s="0" t="n">
        <f aca="false">W_PH(W$2,$A131)</f>
        <v>543.278752966205</v>
      </c>
      <c r="X131" s="0" t="n">
        <f aca="false">W_PH(X$2,$A131)</f>
        <v>543.249310121454</v>
      </c>
      <c r="Y131" s="0" t="n">
        <f aca="false">W_PH(Y$2,$A131)</f>
        <v>542.960207180693</v>
      </c>
      <c r="Z131" s="0" t="n">
        <f aca="false">W_PH(Z$2,$A131)</f>
        <v>542.68039019539</v>
      </c>
      <c r="AA131" s="0" t="n">
        <f aca="false">W_PH(AA$2,$A131)</f>
        <v>542.40929744234</v>
      </c>
      <c r="AB131" s="0" t="n">
        <f aca="false">W_PH(AB$2,$A131)</f>
        <v>542.146377731756</v>
      </c>
      <c r="AC131" s="0" t="n">
        <f aca="false">W_PH(AC$2,$A131)</f>
        <v>541.891095770978</v>
      </c>
      <c r="AD131" s="0" t="n">
        <f aca="false">W_PH(AD$2,$A131)</f>
        <v>541.642937411413</v>
      </c>
      <c r="AE131" s="0" t="n">
        <f aca="false">W_PH(AE$2,$A131)</f>
        <v>541.401414063373</v>
      </c>
      <c r="AF131" s="0" t="n">
        <f aca="false">W_PH(AF$2,$A131)</f>
        <v>541.16606592114</v>
      </c>
      <c r="AG131" s="0" t="n">
        <f aca="false">W_PH(AG$2,$A131)</f>
        <v>540.936463943866</v>
      </c>
      <c r="AH131" s="0" t="n">
        <f aca="false">W_PH(AH$2,$A131)</f>
        <v>538.88388331739</v>
      </c>
      <c r="AI131" s="0" t="n">
        <f aca="false">W_PH(AI$2,$A131)</f>
        <v>537.140207691618</v>
      </c>
      <c r="AJ131" s="0" t="n">
        <f aca="false">W_PH(AJ$2,$A131)</f>
        <v>535.642207934108</v>
      </c>
      <c r="AK131" s="0" t="n">
        <f aca="false">W_PH(AK$2,$A131)</f>
        <v>534.341951767551</v>
      </c>
      <c r="AL131" s="0" t="n">
        <f aca="false">W_PH(AL$2,$A131)</f>
        <v>533.230161410341</v>
      </c>
      <c r="AM131" s="0" t="n">
        <f aca="false">W_PH(AM$2,$A131)</f>
        <v>532.284705326013</v>
      </c>
      <c r="AN131" s="0" t="n">
        <f aca="false">W_PH(AN$2,$A131)</f>
        <v>531.497128449682</v>
      </c>
      <c r="AO131" s="0" t="n">
        <f aca="false">W_PH(AO$2,$A131)</f>
        <v>530.865933294878</v>
      </c>
      <c r="AP131" s="0" t="n">
        <f aca="false">W_PH(AP$2,$A131)</f>
        <v>530.391716129832</v>
      </c>
      <c r="AQ131" s="0" t="n">
        <f aca="false">W_PH(AQ$2,$A131)</f>
        <v>533.628358180593</v>
      </c>
      <c r="AR131" s="0" t="n">
        <f aca="false">W_PH(AR$2,$A131)</f>
        <v>535.839839607098</v>
      </c>
      <c r="AS131" s="0" t="n">
        <f aca="false">W_PH(AS$2,$A131)</f>
        <v>536.982618296184</v>
      </c>
    </row>
    <row r="132" customFormat="false" ht="13.8" hidden="false" customHeight="false" outlineLevel="0" collapsed="false">
      <c r="A132" s="0" t="n">
        <v>2920</v>
      </c>
      <c r="B132" s="0" t="n">
        <f aca="false">W_PH(B$2,$A132)</f>
        <v>546.263164796065</v>
      </c>
      <c r="C132" s="0" t="n">
        <f aca="false">W_PH(C$2,$A132)</f>
        <v>546.262871420718</v>
      </c>
      <c r="D132" s="0" t="n">
        <f aca="false">W_PH(D$2,$A132)</f>
        <v>546.262578054709</v>
      </c>
      <c r="E132" s="0" t="n">
        <f aca="false">W_PH(E$2,$A132)</f>
        <v>546.262284698037</v>
      </c>
      <c r="F132" s="0" t="n">
        <f aca="false">W_PH(F$2,$A132)</f>
        <v>546.261991350702</v>
      </c>
      <c r="G132" s="0" t="n">
        <f aca="false">W_PH(G$2,$A132)</f>
        <v>546.259058390752</v>
      </c>
      <c r="H132" s="0" t="n">
        <f aca="false">W_PH(H$2,$A132)</f>
        <v>546.256126363935</v>
      </c>
      <c r="I132" s="0" t="n">
        <f aca="false">W_PH(I$2,$A132)</f>
        <v>546.253195269776</v>
      </c>
      <c r="J132" s="0" t="n">
        <f aca="false">W_PH(J$2,$A132)</f>
        <v>546.2502651078</v>
      </c>
      <c r="K132" s="0" t="n">
        <f aca="false">W_PH(K$2,$A132)</f>
        <v>546.247335877534</v>
      </c>
      <c r="L132" s="0" t="n">
        <f aca="false">W_PH(L$2,$A132)</f>
        <v>546.2444075785</v>
      </c>
      <c r="M132" s="0" t="n">
        <f aca="false">W_PH(M$2,$A132)</f>
        <v>546.241480210227</v>
      </c>
      <c r="N132" s="0" t="n">
        <f aca="false">W_PH(N$2,$A132)</f>
        <v>546.238553772237</v>
      </c>
      <c r="O132" s="0" t="n">
        <f aca="false">W_PH(O$2,$A132)</f>
        <v>546.235628264058</v>
      </c>
      <c r="P132" s="0" t="n">
        <f aca="false">W_PH(P$2,$A132)</f>
        <v>546.206424217345</v>
      </c>
      <c r="Q132" s="0" t="n">
        <f aca="false">W_PH(Q$2,$A132)</f>
        <v>546.177312629321</v>
      </c>
      <c r="R132" s="0" t="n">
        <f aca="false">W_PH(R$2,$A132)</f>
        <v>546.148293025139</v>
      </c>
      <c r="S132" s="0" t="n">
        <f aca="false">W_PH(S$2,$A132)</f>
        <v>546.11936492995</v>
      </c>
      <c r="T132" s="0" t="n">
        <f aca="false">W_PH(T$2,$A132)</f>
        <v>546.090527868955</v>
      </c>
      <c r="U132" s="0" t="n">
        <f aca="false">W_PH(U$2,$A132)</f>
        <v>546.06178136744</v>
      </c>
      <c r="V132" s="0" t="n">
        <f aca="false">W_PH(V$2,$A132)</f>
        <v>546.033124950817</v>
      </c>
      <c r="W132" s="0" t="n">
        <f aca="false">W_PH(W$2,$A132)</f>
        <v>546.004558144661</v>
      </c>
      <c r="X132" s="0" t="n">
        <f aca="false">W_PH(X$2,$A132)</f>
        <v>545.976080474739</v>
      </c>
      <c r="Y132" s="0" t="n">
        <f aca="false">W_PH(Y$2,$A132)</f>
        <v>545.696102136628</v>
      </c>
      <c r="Z132" s="0" t="n">
        <f aca="false">W_PH(Z$2,$A132)</f>
        <v>545.424518343175</v>
      </c>
      <c r="AA132" s="0" t="n">
        <f aca="false">W_PH(AA$2,$A132)</f>
        <v>545.160862691879</v>
      </c>
      <c r="AB132" s="0" t="n">
        <f aca="false">W_PH(AB$2,$A132)</f>
        <v>544.904677503821</v>
      </c>
      <c r="AC132" s="0" t="n">
        <f aca="false">W_PH(AC$2,$A132)</f>
        <v>544.65551733772</v>
      </c>
      <c r="AD132" s="0" t="n">
        <f aca="false">W_PH(AD$2,$A132)</f>
        <v>544.412952397195</v>
      </c>
      <c r="AE132" s="0" t="n">
        <f aca="false">W_PH(AE$2,$A132)</f>
        <v>544.176571468372</v>
      </c>
      <c r="AF132" s="0" t="n">
        <f aca="false">W_PH(AF$2,$A132)</f>
        <v>543.945984190119</v>
      </c>
      <c r="AG132" s="0" t="n">
        <f aca="false">W_PH(AG$2,$A132)</f>
        <v>543.720822613076</v>
      </c>
      <c r="AH132" s="0" t="n">
        <f aca="false">W_PH(AH$2,$A132)</f>
        <v>541.703277775035</v>
      </c>
      <c r="AI132" s="0" t="n">
        <f aca="false">W_PH(AI$2,$A132)</f>
        <v>539.987503341753</v>
      </c>
      <c r="AJ132" s="0" t="n">
        <f aca="false">W_PH(AJ$2,$A132)</f>
        <v>538.510548023507</v>
      </c>
      <c r="AK132" s="0" t="n">
        <f aca="false">W_PH(AK$2,$A132)</f>
        <v>537.225397042958</v>
      </c>
      <c r="AL132" s="0" t="n">
        <f aca="false">W_PH(AL$2,$A132)</f>
        <v>536.124742795102</v>
      </c>
      <c r="AM132" s="0" t="n">
        <f aca="false">W_PH(AM$2,$A132)</f>
        <v>535.187832941911</v>
      </c>
      <c r="AN132" s="0" t="n">
        <f aca="false">W_PH(AN$2,$A132)</f>
        <v>534.406302256495</v>
      </c>
      <c r="AO132" s="0" t="n">
        <f aca="false">W_PH(AO$2,$A132)</f>
        <v>533.77827039507</v>
      </c>
      <c r="AP132" s="0" t="n">
        <f aca="false">W_PH(AP$2,$A132)</f>
        <v>533.3040337318</v>
      </c>
      <c r="AQ132" s="0" t="n">
        <f aca="false">W_PH(AQ$2,$A132)</f>
        <v>536.384197293608</v>
      </c>
      <c r="AR132" s="0" t="n">
        <f aca="false">W_PH(AR$2,$A132)</f>
        <v>538.533703426648</v>
      </c>
      <c r="AS132" s="0" t="n">
        <f aca="false">W_PH(AS$2,$A132)</f>
        <v>539.646962420461</v>
      </c>
    </row>
    <row r="133" customFormat="false" ht="13.8" hidden="false" customHeight="false" outlineLevel="0" collapsed="false">
      <c r="A133" s="0" t="n">
        <v>2930</v>
      </c>
      <c r="B133" s="0" t="n">
        <f aca="false">W_PH(B$2,$A133)</f>
        <v>548.959484876152</v>
      </c>
      <c r="C133" s="0" t="n">
        <f aca="false">W_PH(C$2,$A133)</f>
        <v>548.95920171119</v>
      </c>
      <c r="D133" s="0" t="n">
        <f aca="false">W_PH(D$2,$A133)</f>
        <v>548.958918554611</v>
      </c>
      <c r="E133" s="0" t="n">
        <f aca="false">W_PH(E$2,$A133)</f>
        <v>548.958635406415</v>
      </c>
      <c r="F133" s="0" t="n">
        <f aca="false">W_PH(F$2,$A133)</f>
        <v>548.958352266602</v>
      </c>
      <c r="G133" s="0" t="n">
        <f aca="false">W_PH(G$2,$A133)</f>
        <v>548.955521329429</v>
      </c>
      <c r="H133" s="0" t="n">
        <f aca="false">W_PH(H$2,$A133)</f>
        <v>548.95269123009</v>
      </c>
      <c r="I133" s="0" t="n">
        <f aca="false">W_PH(I$2,$A133)</f>
        <v>548.949861968187</v>
      </c>
      <c r="J133" s="0" t="n">
        <f aca="false">W_PH(J$2,$A133)</f>
        <v>548.947033543326</v>
      </c>
      <c r="K133" s="0" t="n">
        <f aca="false">W_PH(K$2,$A133)</f>
        <v>548.944205955109</v>
      </c>
      <c r="L133" s="0" t="n">
        <f aca="false">W_PH(L$2,$A133)</f>
        <v>548.941379203142</v>
      </c>
      <c r="M133" s="0" t="n">
        <f aca="false">W_PH(M$2,$A133)</f>
        <v>548.938553287028</v>
      </c>
      <c r="N133" s="0" t="n">
        <f aca="false">W_PH(N$2,$A133)</f>
        <v>548.935728206371</v>
      </c>
      <c r="O133" s="0" t="n">
        <f aca="false">W_PH(O$2,$A133)</f>
        <v>548.932903960776</v>
      </c>
      <c r="P133" s="0" t="n">
        <f aca="false">W_PH(P$2,$A133)</f>
        <v>548.904707346124</v>
      </c>
      <c r="Q133" s="0" t="n">
        <f aca="false">W_PH(Q$2,$A133)</f>
        <v>548.876593802171</v>
      </c>
      <c r="R133" s="0" t="n">
        <f aca="false">W_PH(R$2,$A133)</f>
        <v>548.848562933059</v>
      </c>
      <c r="S133" s="0" t="n">
        <f aca="false">W_PH(S$2,$A133)</f>
        <v>548.820614342983</v>
      </c>
      <c r="T133" s="0" t="n">
        <f aca="false">W_PH(T$2,$A133)</f>
        <v>548.792747636224</v>
      </c>
      <c r="U133" s="0" t="n">
        <f aca="false">W_PH(U$2,$A133)</f>
        <v>548.764962417176</v>
      </c>
      <c r="V133" s="0" t="n">
        <f aca="false">W_PH(V$2,$A133)</f>
        <v>548.737258290378</v>
      </c>
      <c r="W133" s="0" t="n">
        <f aca="false">W_PH(W$2,$A133)</f>
        <v>548.709634860539</v>
      </c>
      <c r="X133" s="0" t="n">
        <f aca="false">W_PH(X$2,$A133)</f>
        <v>548.682091732563</v>
      </c>
      <c r="Y133" s="0" t="n">
        <f aca="false">W_PH(Y$2,$A133)</f>
        <v>548.410990320525</v>
      </c>
      <c r="Z133" s="0" t="n">
        <f aca="false">W_PH(Z$2,$A133)</f>
        <v>548.147486812812</v>
      </c>
      <c r="AA133" s="0" t="n">
        <f aca="false">W_PH(AA$2,$A133)</f>
        <v>547.891192838039</v>
      </c>
      <c r="AB133" s="0" t="n">
        <f aca="false">W_PH(AB$2,$A133)</f>
        <v>547.64172692176</v>
      </c>
      <c r="AC133" s="0" t="n">
        <f aca="false">W_PH(AC$2,$A133)</f>
        <v>547.398716849986</v>
      </c>
      <c r="AD133" s="0" t="n">
        <f aca="false">W_PH(AD$2,$A133)</f>
        <v>547.161801951607</v>
      </c>
      <c r="AE133" s="0" t="n">
        <f aca="false">W_PH(AE$2,$A133)</f>
        <v>546.930635118293</v>
      </c>
      <c r="AF133" s="0" t="n">
        <f aca="false">W_PH(AF$2,$A133)</f>
        <v>546.704884454494</v>
      </c>
      <c r="AG133" s="0" t="n">
        <f aca="false">W_PH(AG$2,$A133)</f>
        <v>546.484234526654</v>
      </c>
      <c r="AH133" s="0" t="n">
        <f aca="false">W_PH(AH$2,$A133)</f>
        <v>544.501628796612</v>
      </c>
      <c r="AI133" s="0" t="n">
        <f aca="false">W_PH(AI$2,$A133)</f>
        <v>542.812994355273</v>
      </c>
      <c r="AJ133" s="0" t="n">
        <f aca="false">W_PH(AJ$2,$A133)</f>
        <v>541.35722289412</v>
      </c>
      <c r="AK133" s="0" t="n">
        <f aca="false">W_PH(AK$2,$A133)</f>
        <v>540.087616064633</v>
      </c>
      <c r="AL133" s="0" t="n">
        <f aca="false">W_PH(AL$2,$A133)</f>
        <v>538.998851019066</v>
      </c>
      <c r="AM133" s="0" t="n">
        <f aca="false">W_PH(AM$2,$A133)</f>
        <v>538.071326967088</v>
      </c>
      <c r="AN133" s="0" t="n">
        <f aca="false">W_PH(AN$2,$A133)</f>
        <v>537.296692915212</v>
      </c>
      <c r="AO133" s="0" t="n">
        <f aca="false">W_PH(AO$2,$A133)</f>
        <v>536.672659182984</v>
      </c>
      <c r="AP133" s="0" t="n">
        <f aca="false">W_PH(AP$2,$A133)</f>
        <v>536.199170689345</v>
      </c>
      <c r="AQ133" s="0" t="n">
        <f aca="false">W_PH(AQ$2,$A133)</f>
        <v>539.128576720591</v>
      </c>
      <c r="AR133" s="0" t="n">
        <f aca="false">W_PH(AR$2,$A133)</f>
        <v>541.218026481761</v>
      </c>
      <c r="AS133" s="0" t="n">
        <f aca="false">W_PH(AS$2,$A133)</f>
        <v>542.302726185728</v>
      </c>
    </row>
    <row r="134" customFormat="false" ht="13.8" hidden="false" customHeight="false" outlineLevel="0" collapsed="false">
      <c r="A134" s="0" t="n">
        <v>2940</v>
      </c>
      <c r="B134" s="0" t="n">
        <f aca="false">W_PH(B$2,$A134)</f>
        <v>551.635736885683</v>
      </c>
      <c r="C134" s="0" t="n">
        <f aca="false">W_PH(C$2,$A134)</f>
        <v>551.635463525862</v>
      </c>
      <c r="D134" s="0" t="n">
        <f aca="false">W_PH(D$2,$A134)</f>
        <v>551.635190173583</v>
      </c>
      <c r="E134" s="0" t="n">
        <f aca="false">W_PH(E$2,$A134)</f>
        <v>551.634916828846</v>
      </c>
      <c r="F134" s="0" t="n">
        <f aca="false">W_PH(F$2,$A134)</f>
        <v>551.63464349165</v>
      </c>
      <c r="G134" s="0" t="n">
        <f aca="false">W_PH(G$2,$A134)</f>
        <v>551.631910534379</v>
      </c>
      <c r="H134" s="0" t="n">
        <f aca="false">W_PH(H$2,$A134)</f>
        <v>551.629178330863</v>
      </c>
      <c r="I134" s="0" t="n">
        <f aca="false">W_PH(I$2,$A134)</f>
        <v>551.626446880772</v>
      </c>
      <c r="J134" s="0" t="n">
        <f aca="false">W_PH(J$2,$A134)</f>
        <v>551.623716183774</v>
      </c>
      <c r="K134" s="0" t="n">
        <f aca="false">W_PH(K$2,$A134)</f>
        <v>551.620986239539</v>
      </c>
      <c r="L134" s="0" t="n">
        <f aca="false">W_PH(L$2,$A134)</f>
        <v>551.618257047737</v>
      </c>
      <c r="M134" s="0" t="n">
        <f aca="false">W_PH(M$2,$A134)</f>
        <v>551.615528608037</v>
      </c>
      <c r="N134" s="0" t="n">
        <f aca="false">W_PH(N$2,$A134)</f>
        <v>551.612800920109</v>
      </c>
      <c r="O134" s="0" t="n">
        <f aca="false">W_PH(O$2,$A134)</f>
        <v>551.610073983621</v>
      </c>
      <c r="P134" s="0" t="n">
        <f aca="false">W_PH(P$2,$A134)</f>
        <v>551.582845875278</v>
      </c>
      <c r="Q134" s="0" t="n">
        <f aca="false">W_PH(Q$2,$A134)</f>
        <v>551.555692547452</v>
      </c>
      <c r="R134" s="0" t="n">
        <f aca="false">W_PH(R$2,$A134)</f>
        <v>551.528613669667</v>
      </c>
      <c r="S134" s="0" t="n">
        <f aca="false">W_PH(S$2,$A134)</f>
        <v>551.50160891152</v>
      </c>
      <c r="T134" s="0" t="n">
        <f aca="false">W_PH(T$2,$A134)</f>
        <v>551.474677942703</v>
      </c>
      <c r="U134" s="0" t="n">
        <f aca="false">W_PH(U$2,$A134)</f>
        <v>551.447820433022</v>
      </c>
      <c r="V134" s="0" t="n">
        <f aca="false">W_PH(V$2,$A134)</f>
        <v>551.421036052421</v>
      </c>
      <c r="W134" s="0" t="n">
        <f aca="false">W_PH(W$2,$A134)</f>
        <v>551.394324470999</v>
      </c>
      <c r="X134" s="0" t="n">
        <f aca="false">W_PH(X$2,$A134)</f>
        <v>551.367685359028</v>
      </c>
      <c r="Y134" s="0" t="n">
        <f aca="false">W_PH(Y$2,$A134)</f>
        <v>551.105207677091</v>
      </c>
      <c r="Z134" s="0" t="n">
        <f aca="false">W_PH(Z$2,$A134)</f>
        <v>550.849616167071</v>
      </c>
      <c r="AA134" s="0" t="n">
        <f aca="false">W_PH(AA$2,$A134)</f>
        <v>550.600586516083</v>
      </c>
      <c r="AB134" s="0" t="n">
        <f aca="false">W_PH(AB$2,$A134)</f>
        <v>550.357799691727</v>
      </c>
      <c r="AC134" s="0" t="n">
        <f aca="false">W_PH(AC$2,$A134)</f>
        <v>550.120943569335</v>
      </c>
      <c r="AD134" s="0" t="n">
        <f aca="false">W_PH(AD$2,$A134)</f>
        <v>549.889714509915</v>
      </c>
      <c r="AE134" s="0" t="n">
        <f aca="false">W_PH(AE$2,$A134)</f>
        <v>549.663818798368</v>
      </c>
      <c r="AF134" s="0" t="n">
        <f aca="false">W_PH(AF$2,$A134)</f>
        <v>549.442973883482</v>
      </c>
      <c r="AG134" s="0" t="n">
        <f aca="false">W_PH(AG$2,$A134)</f>
        <v>549.226909398424</v>
      </c>
      <c r="AH134" s="0" t="n">
        <f aca="false">W_PH(AH$2,$A134)</f>
        <v>547.279565800975</v>
      </c>
      <c r="AI134" s="0" t="n">
        <f aca="false">W_PH(AI$2,$A134)</f>
        <v>545.617771925786</v>
      </c>
      <c r="AJ134" s="0" t="n">
        <f aca="false">W_PH(AJ$2,$A134)</f>
        <v>544.183373459915</v>
      </c>
      <c r="AK134" s="0" t="n">
        <f aca="false">W_PH(AK$2,$A134)</f>
        <v>542.929663765762</v>
      </c>
      <c r="AL134" s="0" t="n">
        <f aca="false">W_PH(AL$2,$A134)</f>
        <v>541.853294819781</v>
      </c>
      <c r="AM134" s="0" t="n">
        <f aca="false">W_PH(AM$2,$A134)</f>
        <v>540.935705434089</v>
      </c>
      <c r="AN134" s="0" t="n">
        <f aca="false">W_PH(AN$2,$A134)</f>
        <v>540.168540462897</v>
      </c>
      <c r="AO134" s="0" t="n">
        <f aca="false">W_PH(AO$2,$A134)</f>
        <v>539.54910634762</v>
      </c>
      <c r="AP134" s="0" t="n">
        <f aca="false">W_PH(AP$2,$A134)</f>
        <v>539.07697275009</v>
      </c>
      <c r="AQ134" s="0" t="n">
        <f aca="false">W_PH(AQ$2,$A134)</f>
        <v>541.861740735512</v>
      </c>
      <c r="AR134" s="0" t="n">
        <f aca="false">W_PH(AR$2,$A134)</f>
        <v>543.893005547972</v>
      </c>
      <c r="AS134" s="0" t="n">
        <f aca="false">W_PH(AS$2,$A134)</f>
        <v>544.950073556908</v>
      </c>
    </row>
    <row r="135" customFormat="false" ht="13.8" hidden="false" customHeight="false" outlineLevel="0" collapsed="false">
      <c r="A135" s="0" t="n">
        <v>2950</v>
      </c>
      <c r="B135" s="0" t="n">
        <f aca="false">W_PH(B$2,$A135)</f>
        <v>554.292245706883</v>
      </c>
      <c r="C135" s="0" t="n">
        <f aca="false">W_PH(C$2,$A135)</f>
        <v>554.291981761297</v>
      </c>
      <c r="D135" s="0" t="n">
        <f aca="false">W_PH(D$2,$A135)</f>
        <v>554.291717822509</v>
      </c>
      <c r="E135" s="0" t="n">
        <f aca="false">W_PH(E$2,$A135)</f>
        <v>554.291453890521</v>
      </c>
      <c r="F135" s="0" t="n">
        <f aca="false">W_PH(F$2,$A135)</f>
        <v>554.291189965331</v>
      </c>
      <c r="G135" s="0" t="n">
        <f aca="false">W_PH(G$2,$A135)</f>
        <v>554.288551087291</v>
      </c>
      <c r="H135" s="0" t="n">
        <f aca="false">W_PH(H$2,$A135)</f>
        <v>554.285912888806</v>
      </c>
      <c r="I135" s="0" t="n">
        <f aca="false">W_PH(I$2,$A135)</f>
        <v>554.283275369599</v>
      </c>
      <c r="J135" s="0" t="n">
        <f aca="false">W_PH(J$2,$A135)</f>
        <v>554.280638529392</v>
      </c>
      <c r="K135" s="0" t="n">
        <f aca="false">W_PH(K$2,$A135)</f>
        <v>554.278002367909</v>
      </c>
      <c r="L135" s="0" t="n">
        <f aca="false">W_PH(L$2,$A135)</f>
        <v>554.275366884874</v>
      </c>
      <c r="M135" s="0" t="n">
        <f aca="false">W_PH(M$2,$A135)</f>
        <v>554.27273208001</v>
      </c>
      <c r="N135" s="0" t="n">
        <f aca="false">W_PH(N$2,$A135)</f>
        <v>554.270097953041</v>
      </c>
      <c r="O135" s="0" t="n">
        <f aca="false">W_PH(O$2,$A135)</f>
        <v>554.267464503689</v>
      </c>
      <c r="P135" s="0" t="n">
        <f aca="false">W_PH(P$2,$A135)</f>
        <v>554.241167218301</v>
      </c>
      <c r="Q135" s="0" t="n">
        <f aca="false">W_PH(Q$2,$A135)</f>
        <v>554.214937390471</v>
      </c>
      <c r="R135" s="0" t="n">
        <f aca="false">W_PH(R$2,$A135)</f>
        <v>554.188774743694</v>
      </c>
      <c r="S135" s="0" t="n">
        <f aca="false">W_PH(S$2,$A135)</f>
        <v>554.16267900154</v>
      </c>
      <c r="T135" s="0" t="n">
        <f aca="false">W_PH(T$2,$A135)</f>
        <v>554.136649887672</v>
      </c>
      <c r="U135" s="0" t="n">
        <f aca="false">W_PH(U$2,$A135)</f>
        <v>554.110687125855</v>
      </c>
      <c r="V135" s="0" t="n">
        <f aca="false">W_PH(V$2,$A135)</f>
        <v>554.084790439976</v>
      </c>
      <c r="W135" s="0" t="n">
        <f aca="false">W_PH(W$2,$A135)</f>
        <v>554.058959554051</v>
      </c>
      <c r="X135" s="0" t="n">
        <f aca="false">W_PH(X$2,$A135)</f>
        <v>554.033194192243</v>
      </c>
      <c r="Y135" s="0" t="n">
        <f aca="false">W_PH(Y$2,$A135)</f>
        <v>553.779083844015</v>
      </c>
      <c r="Z135" s="0" t="n">
        <f aca="false">W_PH(Z$2,$A135)</f>
        <v>553.53122401477</v>
      </c>
      <c r="AA135" s="0" t="n">
        <f aca="false">W_PH(AA$2,$A135)</f>
        <v>553.289343067427</v>
      </c>
      <c r="AB135" s="0" t="n">
        <f aca="false">W_PH(AB$2,$A135)</f>
        <v>553.053173322082</v>
      </c>
      <c r="AC135" s="0" t="n">
        <f aca="false">W_PH(AC$2,$A135)</f>
        <v>552.822452199019</v>
      </c>
      <c r="AD135" s="0" t="n">
        <f aca="false">W_PH(AD$2,$A135)</f>
        <v>552.596923342539</v>
      </c>
      <c r="AE135" s="0" t="n">
        <f aca="false">W_PH(AE$2,$A135)</f>
        <v>552.376337679587</v>
      </c>
      <c r="AF135" s="0" t="n">
        <f aca="false">W_PH(AF$2,$A135)</f>
        <v>552.16045438018</v>
      </c>
      <c r="AG135" s="0" t="n">
        <f aca="false">W_PH(AG$2,$A135)</f>
        <v>551.949041704309</v>
      </c>
      <c r="AH135" s="0" t="n">
        <f aca="false">W_PH(AH$2,$A135)</f>
        <v>550.037497395475</v>
      </c>
      <c r="AI135" s="0" t="n">
        <f aca="false">W_PH(AI$2,$A135)</f>
        <v>548.402558600335</v>
      </c>
      <c r="AJ135" s="0" t="n">
        <f aca="false">W_PH(AJ$2,$A135)</f>
        <v>546.989740169822</v>
      </c>
      <c r="AK135" s="0" t="n">
        <f aca="false">W_PH(AK$2,$A135)</f>
        <v>545.752258036988</v>
      </c>
      <c r="AL135" s="0" t="n">
        <f aca="false">W_PH(AL$2,$A135)</f>
        <v>544.688646506051</v>
      </c>
      <c r="AM135" s="0" t="n">
        <f aca="false">W_PH(AM$2,$A135)</f>
        <v>543.781346823853</v>
      </c>
      <c r="AN135" s="0" t="n">
        <f aca="false">W_PH(AN$2,$A135)</f>
        <v>543.022023881989</v>
      </c>
      <c r="AO135" s="0" t="n">
        <f aca="false">W_PH(AO$2,$A135)</f>
        <v>542.407612377533</v>
      </c>
      <c r="AP135" s="0" t="n">
        <f aca="false">W_PH(AP$2,$A135)</f>
        <v>541.937307055548</v>
      </c>
      <c r="AQ135" s="0" t="n">
        <f aca="false">W_PH(AQ$2,$A135)</f>
        <v>544.583923607124</v>
      </c>
      <c r="AR135" s="0" t="n">
        <f aca="false">W_PH(AR$2,$A135)</f>
        <v>546.558817962172</v>
      </c>
      <c r="AS135" s="0" t="n">
        <f aca="false">W_PH(AS$2,$A135)</f>
        <v>547.589146684099</v>
      </c>
    </row>
    <row r="136" customFormat="false" ht="13.8" hidden="false" customHeight="false" outlineLevel="0" collapsed="false">
      <c r="A136" s="0" t="n">
        <v>2960</v>
      </c>
      <c r="B136" s="0" t="n">
        <f aca="false">W_PH(B$2,$A136)</f>
        <v>556.929327180196</v>
      </c>
      <c r="C136" s="0" t="n">
        <f aca="false">W_PH(C$2,$A136)</f>
        <v>556.929072272132</v>
      </c>
      <c r="D136" s="0" t="n">
        <f aca="false">W_PH(D$2,$A136)</f>
        <v>556.928817370213</v>
      </c>
      <c r="E136" s="0" t="n">
        <f aca="false">W_PH(E$2,$A136)</f>
        <v>556.928562474436</v>
      </c>
      <c r="F136" s="0" t="n">
        <f aca="false">W_PH(F$2,$A136)</f>
        <v>556.928307584803</v>
      </c>
      <c r="G136" s="0" t="n">
        <f aca="false">W_PH(G$2,$A136)</f>
        <v>556.925759026284</v>
      </c>
      <c r="H136" s="0" t="n">
        <f aca="false">W_PH(H$2,$A136)</f>
        <v>556.923211081815</v>
      </c>
      <c r="I136" s="0" t="n">
        <f aca="false">W_PH(I$2,$A136)</f>
        <v>556.920663751163</v>
      </c>
      <c r="J136" s="0" t="n">
        <f aca="false">W_PH(J$2,$A136)</f>
        <v>556.918117034095</v>
      </c>
      <c r="K136" s="0" t="n">
        <f aca="false">W_PH(K$2,$A136)</f>
        <v>556.91557093038</v>
      </c>
      <c r="L136" s="0" t="n">
        <f aca="false">W_PH(L$2,$A136)</f>
        <v>556.913025439787</v>
      </c>
      <c r="M136" s="0" t="n">
        <f aca="false">W_PH(M$2,$A136)</f>
        <v>556.910480562081</v>
      </c>
      <c r="N136" s="0" t="n">
        <f aca="false">W_PH(N$2,$A136)</f>
        <v>556.907936297031</v>
      </c>
      <c r="O136" s="0" t="n">
        <f aca="false">W_PH(O$2,$A136)</f>
        <v>556.905392644405</v>
      </c>
      <c r="P136" s="0" t="n">
        <f aca="false">W_PH(P$2,$A136)</f>
        <v>556.879989750401</v>
      </c>
      <c r="Q136" s="0" t="n">
        <f aca="false">W_PH(Q$2,$A136)</f>
        <v>556.854647843473</v>
      </c>
      <c r="R136" s="0" t="n">
        <f aca="false">W_PH(R$2,$A136)</f>
        <v>556.829366691562</v>
      </c>
      <c r="S136" s="0" t="n">
        <f aca="false">W_PH(S$2,$A136)</f>
        <v>556.804146062686</v>
      </c>
      <c r="T136" s="0" t="n">
        <f aca="false">W_PH(T$2,$A136)</f>
        <v>556.778985724942</v>
      </c>
      <c r="U136" s="0" t="n">
        <f aca="false">W_PH(U$2,$A136)</f>
        <v>556.753885446522</v>
      </c>
      <c r="V136" s="0" t="n">
        <f aca="false">W_PH(V$2,$A136)</f>
        <v>556.728844995714</v>
      </c>
      <c r="W136" s="0" t="n">
        <f aca="false">W_PH(W$2,$A136)</f>
        <v>556.703864140921</v>
      </c>
      <c r="X136" s="0" t="n">
        <f aca="false">W_PH(X$2,$A136)</f>
        <v>556.67894265066</v>
      </c>
      <c r="Y136" s="0" t="n">
        <f aca="false">W_PH(Y$2,$A136)</f>
        <v>556.43294197221</v>
      </c>
      <c r="Z136" s="0" t="n">
        <f aca="false">W_PH(Z$2,$A136)</f>
        <v>556.192624305161</v>
      </c>
      <c r="AA136" s="0" t="n">
        <f aca="false">W_PH(AA$2,$A136)</f>
        <v>555.957761369021</v>
      </c>
      <c r="AB136" s="0" t="n">
        <f aca="false">W_PH(AB$2,$A136)</f>
        <v>555.728127816431</v>
      </c>
      <c r="AC136" s="0" t="n">
        <f aca="false">W_PH(AC$2,$A136)</f>
        <v>555.503502049562</v>
      </c>
      <c r="AD136" s="0" t="n">
        <f aca="false">W_PH(AD$2,$A136)</f>
        <v>555.283667041648</v>
      </c>
      <c r="AE136" s="0" t="n">
        <f aca="false">W_PH(AE$2,$A136)</f>
        <v>555.068411138715</v>
      </c>
      <c r="AF136" s="0" t="n">
        <f aca="false">W_PH(AF$2,$A136)</f>
        <v>554.857528821447</v>
      </c>
      <c r="AG136" s="0" t="n">
        <f aca="false">W_PH(AG$2,$A136)</f>
        <v>554.650821415209</v>
      </c>
      <c r="AH136" s="0" t="n">
        <f aca="false">W_PH(AH$2,$A136)</f>
        <v>552.7756924957</v>
      </c>
      <c r="AI136" s="0" t="n">
        <f aca="false">W_PH(AI$2,$A136)</f>
        <v>551.167821624631</v>
      </c>
      <c r="AJ136" s="0" t="n">
        <f aca="false">W_PH(AJ$2,$A136)</f>
        <v>549.776784713105</v>
      </c>
      <c r="AK136" s="0" t="n">
        <f aca="false">W_PH(AK$2,$A136)</f>
        <v>548.55586777756</v>
      </c>
      <c r="AL136" s="0" t="n">
        <f aca="false">W_PH(AL$2,$A136)</f>
        <v>547.50529627548</v>
      </c>
      <c r="AM136" s="0" t="n">
        <f aca="false">W_PH(AM$2,$A136)</f>
        <v>546.608519455462</v>
      </c>
      <c r="AN136" s="0" t="n">
        <f aca="false">W_PH(AN$2,$A136)</f>
        <v>545.857274718153</v>
      </c>
      <c r="AO136" s="0" t="n">
        <f aca="false">W_PH(AO$2,$A136)</f>
        <v>545.248177352469</v>
      </c>
      <c r="AP136" s="0" t="n">
        <f aca="false">W_PH(AP$2,$A136)</f>
        <v>544.780067347676</v>
      </c>
      <c r="AQ136" s="0" t="n">
        <f aca="false">W_PH(AQ$2,$A136)</f>
        <v>547.295348246022</v>
      </c>
      <c r="AR136" s="0" t="n">
        <f aca="false">W_PH(AR$2,$A136)</f>
        <v>549.215622819842</v>
      </c>
      <c r="AS136" s="0" t="n">
        <f aca="false">W_PH(AS$2,$A136)</f>
        <v>550.220067996966</v>
      </c>
    </row>
    <row r="137" customFormat="false" ht="13.8" hidden="false" customHeight="false" outlineLevel="0" collapsed="false">
      <c r="A137" s="0" t="n">
        <v>2970</v>
      </c>
      <c r="B137" s="0" t="n">
        <f aca="false">W_PH(B$2,$A137)</f>
        <v>559.54728844143</v>
      </c>
      <c r="C137" s="0" t="n">
        <f aca="false">W_PH(C$2,$A137)</f>
        <v>559.547042208229</v>
      </c>
      <c r="D137" s="0" t="n">
        <f aca="false">W_PH(D$2,$A137)</f>
        <v>559.546795980592</v>
      </c>
      <c r="E137" s="0" t="n">
        <f aca="false">W_PH(E$2,$A137)</f>
        <v>559.546549758519</v>
      </c>
      <c r="F137" s="0" t="n">
        <f aca="false">W_PH(F$2,$A137)</f>
        <v>559.546303542011</v>
      </c>
      <c r="G137" s="0" t="n">
        <f aca="false">W_PH(G$2,$A137)</f>
        <v>559.54384168291</v>
      </c>
      <c r="H137" s="0" t="n">
        <f aca="false">W_PH(H$2,$A137)</f>
        <v>559.54138038001</v>
      </c>
      <c r="I137" s="0" t="n">
        <f aca="false">W_PH(I$2,$A137)</f>
        <v>559.538919633113</v>
      </c>
      <c r="J137" s="0" t="n">
        <f aca="false">W_PH(J$2,$A137)</f>
        <v>559.536459442025</v>
      </c>
      <c r="K137" s="0" t="n">
        <f aca="false">W_PH(K$2,$A137)</f>
        <v>559.53399980655</v>
      </c>
      <c r="L137" s="0" t="n">
        <f aca="false">W_PH(L$2,$A137)</f>
        <v>559.531540726491</v>
      </c>
      <c r="M137" s="0" t="n">
        <f aca="false">W_PH(M$2,$A137)</f>
        <v>559.529082201654</v>
      </c>
      <c r="N137" s="0" t="n">
        <f aca="false">W_PH(N$2,$A137)</f>
        <v>559.526624231843</v>
      </c>
      <c r="O137" s="0" t="n">
        <f aca="false">W_PH(O$2,$A137)</f>
        <v>559.524166816862</v>
      </c>
      <c r="P137" s="0" t="n">
        <f aca="false">W_PH(P$2,$A137)</f>
        <v>559.499623139684</v>
      </c>
      <c r="Q137" s="0" t="n">
        <f aca="false">W_PH(Q$2,$A137)</f>
        <v>559.475134730394</v>
      </c>
      <c r="R137" s="0" t="n">
        <f aca="false">W_PH(R$2,$A137)</f>
        <v>559.450701393477</v>
      </c>
      <c r="S137" s="0" t="n">
        <f aca="false">W_PH(S$2,$A137)</f>
        <v>559.426322933483</v>
      </c>
      <c r="T137" s="0" t="n">
        <f aca="false">W_PH(T$2,$A137)</f>
        <v>559.401999155037</v>
      </c>
      <c r="U137" s="0" t="n">
        <f aca="false">W_PH(U$2,$A137)</f>
        <v>559.377729862845</v>
      </c>
      <c r="V137" s="0" t="n">
        <f aca="false">W_PH(V$2,$A137)</f>
        <v>559.353514861699</v>
      </c>
      <c r="W137" s="0" t="n">
        <f aca="false">W_PH(W$2,$A137)</f>
        <v>559.32935395648</v>
      </c>
      <c r="X137" s="0" t="n">
        <f aca="false">W_PH(X$2,$A137)</f>
        <v>559.305246952167</v>
      </c>
      <c r="Y137" s="0" t="n">
        <f aca="false">W_PH(Y$2,$A137)</f>
        <v>559.067098634398</v>
      </c>
      <c r="Z137" s="0" t="n">
        <f aca="false">W_PH(Z$2,$A137)</f>
        <v>558.834126811234</v>
      </c>
      <c r="AA137" s="0" t="n">
        <f aca="false">W_PH(AA$2,$A137)</f>
        <v>558.606138907081</v>
      </c>
      <c r="AB137" s="0" t="n">
        <f aca="false">W_PH(AB$2,$A137)</f>
        <v>558.38294452389</v>
      </c>
      <c r="AC137" s="0" t="n">
        <f aca="false">W_PH(AC$2,$A137)</f>
        <v>558.164356032184</v>
      </c>
      <c r="AD137" s="0" t="n">
        <f aca="false">W_PH(AD$2,$A137)</f>
        <v>557.950189184471</v>
      </c>
      <c r="AE137" s="0" t="n">
        <f aca="false">W_PH(AE$2,$A137)</f>
        <v>557.74026373598</v>
      </c>
      <c r="AF137" s="0" t="n">
        <f aca="false">W_PH(AF$2,$A137)</f>
        <v>557.534404059055</v>
      </c>
      <c r="AG137" s="0" t="n">
        <f aca="false">W_PH(AG$2,$A137)</f>
        <v>557.332439741164</v>
      </c>
      <c r="AH137" s="0" t="n">
        <f aca="false">W_PH(AH$2,$A137)</f>
        <v>555.494333634529</v>
      </c>
      <c r="AI137" s="0" t="n">
        <f aca="false">W_PH(AI$2,$A137)</f>
        <v>553.913854289617</v>
      </c>
      <c r="AJ137" s="0" t="n">
        <f aca="false">W_PH(AJ$2,$A137)</f>
        <v>552.544780886942</v>
      </c>
      <c r="AK137" s="0" t="n">
        <f aca="false">W_PH(AK$2,$A137)</f>
        <v>551.340782847238</v>
      </c>
      <c r="AL137" s="0" t="n">
        <f aca="false">W_PH(AL$2,$A137)</f>
        <v>550.303497192473</v>
      </c>
      <c r="AM137" s="0" t="n">
        <f aca="false">W_PH(AM$2,$A137)</f>
        <v>549.417406066792</v>
      </c>
      <c r="AN137" s="0" t="n">
        <f aca="false">W_PH(AN$2,$A137)</f>
        <v>548.674387635507</v>
      </c>
      <c r="AO137" s="0" t="n">
        <f aca="false">W_PH(AO$2,$A137)</f>
        <v>548.070803662654</v>
      </c>
      <c r="AP137" s="0" t="n">
        <f aca="false">W_PH(AP$2,$A137)</f>
        <v>547.605174769056</v>
      </c>
      <c r="AQ137" s="0" t="n">
        <f aca="false">W_PH(AQ$2,$A137)</f>
        <v>549.996226322086</v>
      </c>
      <c r="AR137" s="0" t="n">
        <f aca="false">W_PH(AR$2,$A137)</f>
        <v>551.863563112575</v>
      </c>
      <c r="AS137" s="0" t="n">
        <f aca="false">W_PH(AS$2,$A137)</f>
        <v>552.842943004191</v>
      </c>
    </row>
    <row r="138" customFormat="false" ht="13.8" hidden="false" customHeight="false" outlineLevel="0" collapsed="false">
      <c r="A138" s="0" t="n">
        <v>2980</v>
      </c>
      <c r="B138" s="0" t="n">
        <f aca="false">W_PH(B$2,$A138)</f>
        <v>562.146428250285</v>
      </c>
      <c r="C138" s="0" t="n">
        <f aca="false">W_PH(C$2,$A138)</f>
        <v>562.146190343171</v>
      </c>
      <c r="D138" s="0" t="n">
        <f aca="false">W_PH(D$2,$A138)</f>
        <v>562.14595244111</v>
      </c>
      <c r="E138" s="0" t="n">
        <f aca="false">W_PH(E$2,$A138)</f>
        <v>562.145714544101</v>
      </c>
      <c r="F138" s="0" t="n">
        <f aca="false">W_PH(F$2,$A138)</f>
        <v>562.145476652146</v>
      </c>
      <c r="G138" s="0" t="n">
        <f aca="false">W_PH(G$2,$A138)</f>
        <v>562.14309801045</v>
      </c>
      <c r="H138" s="0" t="n">
        <f aca="false">W_PH(H$2,$A138)</f>
        <v>562.14071987384</v>
      </c>
      <c r="I138" s="0" t="n">
        <f aca="false">W_PH(I$2,$A138)</f>
        <v>562.138342242151</v>
      </c>
      <c r="J138" s="0" t="n">
        <f aca="false">W_PH(J$2,$A138)</f>
        <v>562.135965115217</v>
      </c>
      <c r="K138" s="0" t="n">
        <f aca="false">W_PH(K$2,$A138)</f>
        <v>562.133588492873</v>
      </c>
      <c r="L138" s="0" t="n">
        <f aca="false">W_PH(L$2,$A138)</f>
        <v>562.131212374953</v>
      </c>
      <c r="M138" s="0" t="n">
        <f aca="false">W_PH(M$2,$A138)</f>
        <v>562.128836761291</v>
      </c>
      <c r="N138" s="0" t="n">
        <f aca="false">W_PH(N$2,$A138)</f>
        <v>562.126461651722</v>
      </c>
      <c r="O138" s="0" t="n">
        <f aca="false">W_PH(O$2,$A138)</f>
        <v>562.12408704608</v>
      </c>
      <c r="P138" s="0" t="n">
        <f aca="false">W_PH(P$2,$A138)</f>
        <v>562.100368669217</v>
      </c>
      <c r="Q138" s="0" t="n">
        <f aca="false">W_PH(Q$2,$A138)</f>
        <v>562.076700502926</v>
      </c>
      <c r="R138" s="0" t="n">
        <f aca="false">W_PH(R$2,$A138)</f>
        <v>562.053082381689</v>
      </c>
      <c r="S138" s="0" t="n">
        <f aca="false">W_PH(S$2,$A138)</f>
        <v>562.029514140052</v>
      </c>
      <c r="T138" s="0" t="n">
        <f aca="false">W_PH(T$2,$A138)</f>
        <v>562.00599561263</v>
      </c>
      <c r="U138" s="0" t="n">
        <f aca="false">W_PH(U$2,$A138)</f>
        <v>561.982526634109</v>
      </c>
      <c r="V138" s="0" t="n">
        <f aca="false">W_PH(V$2,$A138)</f>
        <v>561.95910703925</v>
      </c>
      <c r="W138" s="0" t="n">
        <f aca="false">W_PH(W$2,$A138)</f>
        <v>561.935736662895</v>
      </c>
      <c r="X138" s="0" t="n">
        <f aca="false">W_PH(X$2,$A138)</f>
        <v>561.912415339965</v>
      </c>
      <c r="Y138" s="0" t="n">
        <f aca="false">W_PH(Y$2,$A138)</f>
        <v>561.681863797733</v>
      </c>
      <c r="Z138" s="0" t="n">
        <f aca="false">W_PH(Z$2,$A138)</f>
        <v>561.456036757761</v>
      </c>
      <c r="AA138" s="0" t="n">
        <f aca="false">W_PH(AA$2,$A138)</f>
        <v>561.23477105803</v>
      </c>
      <c r="AB138" s="0" t="n">
        <f aca="false">W_PH(AB$2,$A138)</f>
        <v>561.017905181894</v>
      </c>
      <c r="AC138" s="0" t="n">
        <f aca="false">W_PH(AC$2,$A138)</f>
        <v>560.805279690322</v>
      </c>
      <c r="AD138" s="0" t="n">
        <f aca="false">W_PH(AD$2,$A138)</f>
        <v>560.596737687288</v>
      </c>
      <c r="AE138" s="0" t="n">
        <f aca="false">W_PH(AE$2,$A138)</f>
        <v>560.392125307771</v>
      </c>
      <c r="AF138" s="0" t="n">
        <f aca="false">W_PH(AF$2,$A138)</f>
        <v>560.191292218003</v>
      </c>
      <c r="AG138" s="0" t="n">
        <f aca="false">W_PH(AG$2,$A138)</f>
        <v>559.994092119088</v>
      </c>
      <c r="AH138" s="0" t="n">
        <f aca="false">W_PH(AH$2,$A138)</f>
        <v>558.193552158155</v>
      </c>
      <c r="AI138" s="0" t="n">
        <f aca="false">W_PH(AI$2,$A138)</f>
        <v>556.6408343576</v>
      </c>
      <c r="AJ138" s="0" t="n">
        <f aca="false">W_PH(AJ$2,$A138)</f>
        <v>555.293880984708</v>
      </c>
      <c r="AK138" s="0" t="n">
        <f aca="false">W_PH(AK$2,$A138)</f>
        <v>554.107168557134</v>
      </c>
      <c r="AL138" s="0" t="n">
        <f aca="false">W_PH(AL$2,$A138)</f>
        <v>553.083401942412</v>
      </c>
      <c r="AM138" s="0" t="n">
        <f aca="false">W_PH(AM$2,$A138)</f>
        <v>552.208124473767</v>
      </c>
      <c r="AN138" s="0" t="n">
        <f aca="false">W_PH(AN$2,$A138)</f>
        <v>551.473429061112</v>
      </c>
      <c r="AO138" s="0" t="n">
        <f aca="false">W_PH(AO$2,$A138)</f>
        <v>550.875497225998</v>
      </c>
      <c r="AP138" s="0" t="n">
        <f aca="false">W_PH(AP$2,$A138)</f>
        <v>550.412576339094</v>
      </c>
      <c r="AQ138" s="0" t="n">
        <f aca="false">W_PH(AQ$2,$A138)</f>
        <v>552.686759263324</v>
      </c>
      <c r="AR138" s="0" t="n">
        <f aca="false">W_PH(AR$2,$A138)</f>
        <v>554.502768299311</v>
      </c>
      <c r="AS138" s="0" t="n">
        <f aca="false">W_PH(AS$2,$A138)</f>
        <v>555.457863340388</v>
      </c>
    </row>
    <row r="139" customFormat="false" ht="13.8" hidden="false" customHeight="false" outlineLevel="0" collapsed="false">
      <c r="A139" s="0" t="n">
        <v>2990</v>
      </c>
      <c r="B139" s="0" t="n">
        <f aca="false">W_PH(B$2,$A139)</f>
        <v>564.72703730968</v>
      </c>
      <c r="C139" s="0" t="n">
        <f aca="false">W_PH(C$2,$A139)</f>
        <v>564.726807393583</v>
      </c>
      <c r="D139" s="0" t="n">
        <f aca="false">W_PH(D$2,$A139)</f>
        <v>564.726577482086</v>
      </c>
      <c r="E139" s="0" t="n">
        <f aca="false">W_PH(E$2,$A139)</f>
        <v>564.72634757519</v>
      </c>
      <c r="F139" s="0" t="n">
        <f aca="false">W_PH(F$2,$A139)</f>
        <v>564.726117672895</v>
      </c>
      <c r="G139" s="0" t="n">
        <f aca="false">W_PH(G$2,$A139)</f>
        <v>564.72381890294</v>
      </c>
      <c r="H139" s="0" t="n">
        <f aca="false">W_PH(H$2,$A139)</f>
        <v>564.721520592882</v>
      </c>
      <c r="I139" s="0" t="n">
        <f aca="false">W_PH(I$2,$A139)</f>
        <v>564.719222742581</v>
      </c>
      <c r="J139" s="0" t="n">
        <f aca="false">W_PH(J$2,$A139)</f>
        <v>564.716925351896</v>
      </c>
      <c r="K139" s="0" t="n">
        <f aca="false">W_PH(K$2,$A139)</f>
        <v>564.714628420684</v>
      </c>
      <c r="L139" s="0" t="n">
        <f aca="false">W_PH(L$2,$A139)</f>
        <v>564.712331948807</v>
      </c>
      <c r="M139" s="0" t="n">
        <f aca="false">W_PH(M$2,$A139)</f>
        <v>564.710035936122</v>
      </c>
      <c r="N139" s="0" t="n">
        <f aca="false">W_PH(N$2,$A139)</f>
        <v>564.707740382488</v>
      </c>
      <c r="O139" s="0" t="n">
        <f aca="false">W_PH(O$2,$A139)</f>
        <v>564.705445287765</v>
      </c>
      <c r="P139" s="0" t="n">
        <f aca="false">W_PH(P$2,$A139)</f>
        <v>564.682519549586</v>
      </c>
      <c r="Q139" s="0" t="n">
        <f aca="false">W_PH(Q$2,$A139)</f>
        <v>564.65963954738</v>
      </c>
      <c r="R139" s="0" t="n">
        <f aca="false">W_PH(R$2,$A139)</f>
        <v>564.636805140238</v>
      </c>
      <c r="S139" s="0" t="n">
        <f aca="false">W_PH(S$2,$A139)</f>
        <v>564.614016187311</v>
      </c>
      <c r="T139" s="0" t="n">
        <f aca="false">W_PH(T$2,$A139)</f>
        <v>564.591272547818</v>
      </c>
      <c r="U139" s="0" t="n">
        <f aca="false">W_PH(U$2,$A139)</f>
        <v>564.568574081047</v>
      </c>
      <c r="V139" s="0" t="n">
        <f aca="false">W_PH(V$2,$A139)</f>
        <v>564.545920646352</v>
      </c>
      <c r="W139" s="0" t="n">
        <f aca="false">W_PH(W$2,$A139)</f>
        <v>564.523312103164</v>
      </c>
      <c r="X139" s="0" t="n">
        <f aca="false">W_PH(X$2,$A139)</f>
        <v>564.500748310982</v>
      </c>
      <c r="Y139" s="0" t="n">
        <f aca="false">W_PH(Y$2,$A139)</f>
        <v>564.277540841912</v>
      </c>
      <c r="Z139" s="0" t="n">
        <f aca="false">W_PH(Z$2,$A139)</f>
        <v>564.058654556891</v>
      </c>
      <c r="AA139" s="0" t="n">
        <f aca="false">W_PH(AA$2,$A139)</f>
        <v>563.843950532646</v>
      </c>
      <c r="AB139" s="0" t="n">
        <f aca="false">W_PH(AB$2,$A139)</f>
        <v>563.633291135369</v>
      </c>
      <c r="AC139" s="0" t="n">
        <f aca="false">W_PH(AC$2,$A139)</f>
        <v>563.426540338994</v>
      </c>
      <c r="AD139" s="0" t="n">
        <f aca="false">W_PH(AD$2,$A139)</f>
        <v>563.223564082059</v>
      </c>
      <c r="AE139" s="0" t="n">
        <f aca="false">W_PH(AE$2,$A139)</f>
        <v>563.024230654848</v>
      </c>
      <c r="AF139" s="0" t="n">
        <f aca="false">W_PH(AF$2,$A139)</f>
        <v>562.828411108274</v>
      </c>
      <c r="AG139" s="0" t="n">
        <f aca="false">W_PH(AG$2,$A139)</f>
        <v>562.635979676486</v>
      </c>
      <c r="AH139" s="0" t="n">
        <f aca="false">W_PH(AH$2,$A139)</f>
        <v>560.873451635522</v>
      </c>
      <c r="AI139" s="0" t="n">
        <f aca="false">W_PH(AI$2,$A139)</f>
        <v>559.348866099887</v>
      </c>
      <c r="AJ139" s="0" t="n">
        <f aca="false">W_PH(AJ$2,$A139)</f>
        <v>558.02416331777</v>
      </c>
      <c r="AK139" s="0" t="n">
        <f aca="false">W_PH(AK$2,$A139)</f>
        <v>556.855107348868</v>
      </c>
      <c r="AL139" s="0" t="n">
        <f aca="false">W_PH(AL$2,$A139)</f>
        <v>555.845092444444</v>
      </c>
      <c r="AM139" s="0" t="n">
        <f aca="false">W_PH(AM$2,$A139)</f>
        <v>554.980744887701</v>
      </c>
      <c r="AN139" s="0" t="n">
        <f aca="false">W_PH(AN$2,$A139)</f>
        <v>554.254444525792</v>
      </c>
      <c r="AO139" s="0" t="n">
        <f aca="false">W_PH(AO$2,$A139)</f>
        <v>553.662268073438</v>
      </c>
      <c r="AP139" s="0" t="n">
        <f aca="false">W_PH(AP$2,$A139)</f>
        <v>553.202242377695</v>
      </c>
      <c r="AQ139" s="0" t="n">
        <f aca="false">W_PH(AQ$2,$A139)</f>
        <v>555.367139670693</v>
      </c>
      <c r="AR139" s="0" t="n">
        <f aca="false">W_PH(AR$2,$A139)</f>
        <v>557.133356931669</v>
      </c>
      <c r="AS139" s="0" t="n">
        <f aca="false">W_PH(AS$2,$A139)</f>
        <v>558.064909726776</v>
      </c>
    </row>
    <row r="140" customFormat="false" ht="13.8" hidden="false" customHeight="false" outlineLevel="0" collapsed="false">
      <c r="A140" s="0" t="n">
        <v>3000</v>
      </c>
      <c r="B140" s="0" t="n">
        <f aca="false">W_PH(B$2,$A140)</f>
        <v>567.28939857547</v>
      </c>
      <c r="C140" s="0" t="n">
        <f aca="false">W_PH(C$2,$A140)</f>
        <v>567.289176328817</v>
      </c>
      <c r="D140" s="0" t="n">
        <f aca="false">W_PH(D$2,$A140)</f>
        <v>567.288954086365</v>
      </c>
      <c r="E140" s="0" t="n">
        <f aca="false">W_PH(E$2,$A140)</f>
        <v>567.288731848113</v>
      </c>
      <c r="F140" s="0" t="n">
        <f aca="false">W_PH(F$2,$A140)</f>
        <v>567.288509614062</v>
      </c>
      <c r="G140" s="0" t="n">
        <f aca="false">W_PH(G$2,$A140)</f>
        <v>567.286287504552</v>
      </c>
      <c r="H140" s="0" t="n">
        <f aca="false">W_PH(H$2,$A140)</f>
        <v>567.284065814956</v>
      </c>
      <c r="I140" s="0" t="n">
        <f aca="false">W_PH(I$2,$A140)</f>
        <v>567.281844545153</v>
      </c>
      <c r="J140" s="0" t="n">
        <f aca="false">W_PH(J$2,$A140)</f>
        <v>567.279623695024</v>
      </c>
      <c r="K140" s="0" t="n">
        <f aca="false">W_PH(K$2,$A140)</f>
        <v>567.277403264447</v>
      </c>
      <c r="L140" s="0" t="n">
        <f aca="false">W_PH(L$2,$A140)</f>
        <v>567.275183253301</v>
      </c>
      <c r="M140" s="0" t="n">
        <f aca="false">W_PH(M$2,$A140)</f>
        <v>567.272963661465</v>
      </c>
      <c r="N140" s="0" t="n">
        <f aca="false">W_PH(N$2,$A140)</f>
        <v>567.270744488819</v>
      </c>
      <c r="O140" s="0" t="n">
        <f aca="false">W_PH(O$2,$A140)</f>
        <v>567.268525735241</v>
      </c>
      <c r="P140" s="0" t="n">
        <f aca="false">W_PH(P$2,$A140)</f>
        <v>567.246361221663</v>
      </c>
      <c r="Q140" s="0" t="n">
        <f aca="false">W_PH(Q$2,$A140)</f>
        <v>567.224238482079</v>
      </c>
      <c r="R140" s="0" t="n">
        <f aca="false">W_PH(R$2,$A140)</f>
        <v>567.202157395761</v>
      </c>
      <c r="S140" s="0" t="n">
        <f aca="false">W_PH(S$2,$A140)</f>
        <v>567.180117842044</v>
      </c>
      <c r="T140" s="0" t="n">
        <f aca="false">W_PH(T$2,$A140)</f>
        <v>567.158119700331</v>
      </c>
      <c r="U140" s="0" t="n">
        <f aca="false">W_PH(U$2,$A140)</f>
        <v>567.136162850092</v>
      </c>
      <c r="V140" s="0" t="n">
        <f aca="false">W_PH(V$2,$A140)</f>
        <v>567.114247170863</v>
      </c>
      <c r="W140" s="0" t="n">
        <f aca="false">W_PH(W$2,$A140)</f>
        <v>567.092372542254</v>
      </c>
      <c r="X140" s="0" t="n">
        <f aca="false">W_PH(X$2,$A140)</f>
        <v>567.070538843941</v>
      </c>
      <c r="Y140" s="0" t="n">
        <f aca="false">W_PH(Y$2,$A140)</f>
        <v>566.854426609082</v>
      </c>
      <c r="Z140" s="0" t="n">
        <f aca="false">W_PH(Z$2,$A140)</f>
        <v>566.642275622027</v>
      </c>
      <c r="AA140" s="0" t="n">
        <f aca="false">W_PH(AA$2,$A140)</f>
        <v>566.433966942996</v>
      </c>
      <c r="AB140" s="0" t="n">
        <f aca="false">W_PH(AB$2,$A140)</f>
        <v>566.229382698841</v>
      </c>
      <c r="AC140" s="0" t="n">
        <f aca="false">W_PH(AC$2,$A140)</f>
        <v>566.028406318099</v>
      </c>
      <c r="AD140" s="0" t="n">
        <f aca="false">W_PH(AD$2,$A140)</f>
        <v>565.830922806165</v>
      </c>
      <c r="AE140" s="0" t="n">
        <f aca="false">W_PH(AE$2,$A140)</f>
        <v>565.636819053563</v>
      </c>
      <c r="AF140" s="0" t="n">
        <f aca="false">W_PH(AF$2,$A140)</f>
        <v>565.445984169948</v>
      </c>
      <c r="AG140" s="0" t="n">
        <f aca="false">W_PH(AG$2,$A140)</f>
        <v>565.25830983659</v>
      </c>
      <c r="AH140" s="0" t="n">
        <f aca="false">W_PH(AH$2,$A140)</f>
        <v>563.534123533834</v>
      </c>
      <c r="AI140" s="0" t="n">
        <f aca="false">W_PH(AI$2,$A140)</f>
        <v>562.038010541715</v>
      </c>
      <c r="AJ140" s="0" t="n">
        <f aca="false">W_PH(AJ$2,$A140)</f>
        <v>560.73566553151</v>
      </c>
      <c r="AK140" s="0" t="n">
        <f aca="false">W_PH(AK$2,$A140)</f>
        <v>559.584630108454</v>
      </c>
      <c r="AL140" s="0" t="n">
        <f aca="false">W_PH(AL$2,$A140)</f>
        <v>558.588603353616</v>
      </c>
      <c r="AM140" s="0" t="n">
        <f aca="false">W_PH(AM$2,$A140)</f>
        <v>557.735304309408</v>
      </c>
      <c r="AN140" s="0" t="n">
        <f aca="false">W_PH(AN$2,$A140)</f>
        <v>557.017464997125</v>
      </c>
      <c r="AO140" s="0" t="n">
        <f aca="false">W_PH(AO$2,$A140)</f>
        <v>556.431130737474</v>
      </c>
      <c r="AP140" s="0" t="n">
        <f aca="false">W_PH(AP$2,$A140)</f>
        <v>555.974163610659</v>
      </c>
      <c r="AQ140" s="0" t="n">
        <f aca="false">W_PH(AQ$2,$A140)</f>
        <v>558.037552810331</v>
      </c>
      <c r="AR140" s="0" t="n">
        <f aca="false">W_PH(AR$2,$A140)</f>
        <v>559.755439074473</v>
      </c>
      <c r="AS140" s="0" t="n">
        <f aca="false">W_PH(AS$2,$A140)</f>
        <v>560.664154626311</v>
      </c>
    </row>
    <row r="141" customFormat="false" ht="13.8" hidden="false" customHeight="false" outlineLevel="0" collapsed="false">
      <c r="A141" s="0" t="n">
        <v>3010</v>
      </c>
      <c r="B141" s="0" t="n">
        <f aca="false">W_PH(B$2,$A141)</f>
        <v>569.833787556258</v>
      </c>
      <c r="C141" s="0" t="n">
        <f aca="false">W_PH(C$2,$A141)</f>
        <v>569.833572670743</v>
      </c>
      <c r="D141" s="0" t="n">
        <f aca="false">W_PH(D$2,$A141)</f>
        <v>569.833357789074</v>
      </c>
      <c r="E141" s="0" t="n">
        <f aca="false">W_PH(E$2,$A141)</f>
        <v>569.833142911252</v>
      </c>
      <c r="F141" s="0" t="n">
        <f aca="false">W_PH(F$2,$A141)</f>
        <v>569.832928037276</v>
      </c>
      <c r="G141" s="0" t="n">
        <f aca="false">W_PH(G$2,$A141)</f>
        <v>569.830779509032</v>
      </c>
      <c r="H141" s="0" t="n">
        <f aca="false">W_PH(H$2,$A141)</f>
        <v>569.82863136529</v>
      </c>
      <c r="I141" s="0" t="n">
        <f aca="false">W_PH(I$2,$A141)</f>
        <v>569.826483605946</v>
      </c>
      <c r="J141" s="0" t="n">
        <f aca="false">W_PH(J$2,$A141)</f>
        <v>569.824336230896</v>
      </c>
      <c r="K141" s="0" t="n">
        <f aca="false">W_PH(K$2,$A141)</f>
        <v>569.822189240036</v>
      </c>
      <c r="L141" s="0" t="n">
        <f aca="false">W_PH(L$2,$A141)</f>
        <v>569.820042633261</v>
      </c>
      <c r="M141" s="0" t="n">
        <f aca="false">W_PH(M$2,$A141)</f>
        <v>569.817896410467</v>
      </c>
      <c r="N141" s="0" t="n">
        <f aca="false">W_PH(N$2,$A141)</f>
        <v>569.815750571549</v>
      </c>
      <c r="O141" s="0" t="n">
        <f aca="false">W_PH(O$2,$A141)</f>
        <v>569.813605116404</v>
      </c>
      <c r="P141" s="0" t="n">
        <f aca="false">W_PH(P$2,$A141)</f>
        <v>569.792171649492</v>
      </c>
      <c r="Q141" s="0" t="n">
        <f aca="false">W_PH(Q$2,$A141)</f>
        <v>569.770776445151</v>
      </c>
      <c r="R141" s="0" t="n">
        <f aca="false">W_PH(R$2,$A141)</f>
        <v>569.749419399209</v>
      </c>
      <c r="S141" s="0" t="n">
        <f aca="false">W_PH(S$2,$A141)</f>
        <v>569.728100407565</v>
      </c>
      <c r="T141" s="0" t="n">
        <f aca="false">W_PH(T$2,$A141)</f>
        <v>569.706819366185</v>
      </c>
      <c r="U141" s="0" t="n">
        <f aca="false">W_PH(U$2,$A141)</f>
        <v>569.685576171109</v>
      </c>
      <c r="V141" s="0" t="n">
        <f aca="false">W_PH(V$2,$A141)</f>
        <v>569.664370718442</v>
      </c>
      <c r="W141" s="0" t="n">
        <f aca="false">W_PH(W$2,$A141)</f>
        <v>569.643202904364</v>
      </c>
      <c r="X141" s="0" t="n">
        <f aca="false">W_PH(X$2,$A141)</f>
        <v>569.622072625124</v>
      </c>
      <c r="Y141" s="0" t="n">
        <f aca="false">W_PH(Y$2,$A141)</f>
        <v>569.412811475684</v>
      </c>
      <c r="Z141" s="0" t="n">
        <f aca="false">W_PH(Z$2,$A141)</f>
        <v>569.207190237975</v>
      </c>
      <c r="AA141" s="0" t="n">
        <f aca="false">W_PH(AA$2,$A141)</f>
        <v>569.005106459281</v>
      </c>
      <c r="AB141" s="0" t="n">
        <f aca="false">W_PH(AB$2,$A141)</f>
        <v>568.806458626974</v>
      </c>
      <c r="AC141" s="0" t="n">
        <f aca="false">W_PH(AC$2,$A141)</f>
        <v>568.611146341812</v>
      </c>
      <c r="AD141" s="0" t="n">
        <f aca="false">W_PH(AD$2,$A141)</f>
        <v>568.419070530303</v>
      </c>
      <c r="AE141" s="0" t="n">
        <f aca="false">W_PH(AE$2,$A141)</f>
        <v>568.230133689969</v>
      </c>
      <c r="AF141" s="0" t="n">
        <f aca="false">W_PH(AF$2,$A141)</f>
        <v>568.044240161078</v>
      </c>
      <c r="AG141" s="0" t="n">
        <f aca="false">W_PH(AG$2,$A141)</f>
        <v>567.861296418357</v>
      </c>
      <c r="AH141" s="0" t="n">
        <f aca="false">W_PH(AH$2,$A141)</f>
        <v>566.175657731244</v>
      </c>
      <c r="AI141" s="0" t="n">
        <f aca="false">W_PH(AI$2,$A141)</f>
        <v>564.708307122452</v>
      </c>
      <c r="AJ141" s="0" t="n">
        <f aca="false">W_PH(AJ$2,$A141)</f>
        <v>563.428407429174</v>
      </c>
      <c r="AK141" s="0" t="n">
        <f aca="false">W_PH(AK$2,$A141)</f>
        <v>562.295739257196</v>
      </c>
      <c r="AL141" s="0" t="n">
        <f aca="false">W_PH(AL$2,$A141)</f>
        <v>561.313940412101</v>
      </c>
      <c r="AM141" s="0" t="n">
        <f aca="false">W_PH(AM$2,$A141)</f>
        <v>560.471818342751</v>
      </c>
      <c r="AN141" s="0" t="n">
        <f aca="false">W_PH(AN$2,$A141)</f>
        <v>559.762512341071</v>
      </c>
      <c r="AO141" s="0" t="n">
        <f aca="false">W_PH(AO$2,$A141)</f>
        <v>559.182104627277</v>
      </c>
      <c r="AP141" s="0" t="n">
        <f aca="false">W_PH(AP$2,$A141)</f>
        <v>558.728348351181</v>
      </c>
      <c r="AQ141" s="0" t="n">
        <f aca="false">W_PH(AQ$2,$A141)</f>
        <v>560.663023776362</v>
      </c>
      <c r="AR141" s="0" t="n">
        <f aca="false">W_PH(AR$2,$A141)</f>
        <v>562.369118368132</v>
      </c>
      <c r="AS141" s="0" t="n">
        <f aca="false">W_PH(AS$2,$A141)</f>
        <v>563.255664471958</v>
      </c>
    </row>
    <row r="142" customFormat="false" ht="13.8" hidden="false" customHeight="false" outlineLevel="0" collapsed="false">
      <c r="A142" s="0" t="n">
        <v>3020</v>
      </c>
      <c r="B142" s="0" t="n">
        <f aca="false">W_PH(B$2,$A142)</f>
        <v>572.360472603113</v>
      </c>
      <c r="C142" s="0" t="n">
        <f aca="false">W_PH(C$2,$A142)</f>
        <v>572.360264783437</v>
      </c>
      <c r="D142" s="0" t="n">
        <f aca="false">W_PH(D$2,$A142)</f>
        <v>572.360056967294</v>
      </c>
      <c r="E142" s="0" t="n">
        <f aca="false">W_PH(E$2,$A142)</f>
        <v>572.359849154682</v>
      </c>
      <c r="F142" s="0" t="n">
        <f aca="false">W_PH(F$2,$A142)</f>
        <v>572.359641345603</v>
      </c>
      <c r="G142" s="0" t="n">
        <f aca="false">W_PH(G$2,$A142)</f>
        <v>572.357563449048</v>
      </c>
      <c r="H142" s="0" t="n">
        <f aca="false">W_PH(H$2,$A142)</f>
        <v>572.355485905594</v>
      </c>
      <c r="I142" s="0" t="n">
        <f aca="false">W_PH(I$2,$A142)</f>
        <v>572.353408715148</v>
      </c>
      <c r="J142" s="0" t="n">
        <f aca="false">W_PH(J$2,$A142)</f>
        <v>572.351331877622</v>
      </c>
      <c r="K142" s="0" t="n">
        <f aca="false">W_PH(K$2,$A142)</f>
        <v>572.349255392922</v>
      </c>
      <c r="L142" s="0" t="n">
        <f aca="false">W_PH(L$2,$A142)</f>
        <v>572.34717926096</v>
      </c>
      <c r="M142" s="0" t="n">
        <f aca="false">W_PH(M$2,$A142)</f>
        <v>572.345103481644</v>
      </c>
      <c r="N142" s="0" t="n">
        <f aca="false">W_PH(N$2,$A142)</f>
        <v>572.343028054884</v>
      </c>
      <c r="O142" s="0" t="n">
        <f aca="false">W_PH(O$2,$A142)</f>
        <v>572.340952980589</v>
      </c>
      <c r="P142" s="0" t="n">
        <f aca="false">W_PH(P$2,$A142)</f>
        <v>572.320221603263</v>
      </c>
      <c r="Q142" s="0" t="n">
        <f aca="false">W_PH(Q$2,$A142)</f>
        <v>572.299525372726</v>
      </c>
      <c r="R142" s="0" t="n">
        <f aca="false">W_PH(R$2,$A142)</f>
        <v>572.278864198408</v>
      </c>
      <c r="S142" s="0" t="n">
        <f aca="false">W_PH(S$2,$A142)</f>
        <v>572.258237989816</v>
      </c>
      <c r="T142" s="0" t="n">
        <f aca="false">W_PH(T$2,$A142)</f>
        <v>572.237646656528</v>
      </c>
      <c r="U142" s="0" t="n">
        <f aca="false">W_PH(U$2,$A142)</f>
        <v>572.217090108198</v>
      </c>
      <c r="V142" s="0" t="n">
        <f aca="false">W_PH(V$2,$A142)</f>
        <v>572.196568254556</v>
      </c>
      <c r="W142" s="0" t="n">
        <f aca="false">W_PH(W$2,$A142)</f>
        <v>572.176081005402</v>
      </c>
      <c r="X142" s="0" t="n">
        <f aca="false">W_PH(X$2,$A142)</f>
        <v>572.155628270616</v>
      </c>
      <c r="Y142" s="0" t="n">
        <f aca="false">W_PH(Y$2,$A142)</f>
        <v>571.952979439353</v>
      </c>
      <c r="Z142" s="0" t="n">
        <f aca="false">W_PH(Z$2,$A142)</f>
        <v>571.753683471581</v>
      </c>
      <c r="AA142" s="0" t="n">
        <f aca="false">W_PH(AA$2,$A142)</f>
        <v>571.557651531821</v>
      </c>
      <c r="AB142" s="0" t="n">
        <f aca="false">W_PH(AB$2,$A142)</f>
        <v>571.364795664621</v>
      </c>
      <c r="AC142" s="0" t="n">
        <f aca="false">W_PH(AC$2,$A142)</f>
        <v>571.175028921371</v>
      </c>
      <c r="AD142" s="0" t="n">
        <f aca="false">W_PH(AD$2,$A142)</f>
        <v>570.988265523542</v>
      </c>
      <c r="AE142" s="0" t="n">
        <f aca="false">W_PH(AE$2,$A142)</f>
        <v>570.804421056919</v>
      </c>
      <c r="AF142" s="0" t="n">
        <f aca="false">W_PH(AF$2,$A142)</f>
        <v>570.623412691178</v>
      </c>
      <c r="AG142" s="0" t="n">
        <f aca="false">W_PH(AG$2,$A142)</f>
        <v>570.4451594191</v>
      </c>
      <c r="AH142" s="0" t="n">
        <f aca="false">W_PH(AH$2,$A142)</f>
        <v>568.798149498672</v>
      </c>
      <c r="AI142" s="0" t="n">
        <f aca="false">W_PH(AI$2,$A142)</f>
        <v>567.359789021138</v>
      </c>
      <c r="AJ142" s="0" t="n">
        <f aca="false">W_PH(AJ$2,$A142)</f>
        <v>566.10240617472</v>
      </c>
      <c r="AK142" s="0" t="n">
        <f aca="false">W_PH(AK$2,$A142)</f>
        <v>564.988425427051</v>
      </c>
      <c r="AL142" s="0" t="n">
        <f aca="false">W_PH(AL$2,$A142)</f>
        <v>564.021094522269</v>
      </c>
      <c r="AM142" s="0" t="n">
        <f aca="false">W_PH(AM$2,$A142)</f>
        <v>563.190290736664</v>
      </c>
      <c r="AN142" s="0" t="n">
        <f aca="false">W_PH(AN$2,$A142)</f>
        <v>562.489603979891</v>
      </c>
      <c r="AO142" s="0" t="n">
        <f aca="false">W_PH(AO$2,$A142)</f>
        <v>561.915214441148</v>
      </c>
      <c r="AP142" s="0" t="n">
        <f aca="false">W_PH(AP$2,$A142)</f>
        <v>561.46481994686</v>
      </c>
      <c r="AQ142" s="0" t="n">
        <f aca="false">W_PH(AQ$2,$A142)</f>
        <v>563.301309734614</v>
      </c>
      <c r="AR142" s="0" t="n">
        <f aca="false">W_PH(AR$2,$A142)</f>
        <v>564.974493665123</v>
      </c>
      <c r="AS142" s="0" t="n">
        <f aca="false">W_PH(AS$2,$A142)</f>
        <v>565.839501424586</v>
      </c>
    </row>
    <row r="143" customFormat="false" ht="13.8" hidden="false" customHeight="false" outlineLevel="0" collapsed="false">
      <c r="A143" s="0" t="n">
        <v>3030</v>
      </c>
      <c r="B143" s="0" t="n">
        <f aca="false">W_PH(B$2,$A143)</f>
        <v>574.8697151891</v>
      </c>
      <c r="C143" s="0" t="n">
        <f aca="false">W_PH(C$2,$A143)</f>
        <v>574.869514152689</v>
      </c>
      <c r="D143" s="0" t="n">
        <f aca="false">W_PH(D$2,$A143)</f>
        <v>574.869313119531</v>
      </c>
      <c r="E143" s="0" t="n">
        <f aca="false">W_PH(E$2,$A143)</f>
        <v>574.869112089627</v>
      </c>
      <c r="F143" s="0" t="n">
        <f aca="false">W_PH(F$2,$A143)</f>
        <v>574.868911062975</v>
      </c>
      <c r="G143" s="0" t="n">
        <f aca="false">W_PH(G$2,$A143)</f>
        <v>574.866900975357</v>
      </c>
      <c r="H143" s="0" t="n">
        <f aca="false">W_PH(H$2,$A143)</f>
        <v>574.864891212951</v>
      </c>
      <c r="I143" s="0" t="n">
        <f aca="false">W_PH(I$2,$A143)</f>
        <v>574.862881775677</v>
      </c>
      <c r="J143" s="0" t="n">
        <f aca="false">W_PH(J$2,$A143)</f>
        <v>574.860872663456</v>
      </c>
      <c r="K143" s="0" t="n">
        <f aca="false">W_PH(K$2,$A143)</f>
        <v>574.858863876209</v>
      </c>
      <c r="L143" s="0" t="n">
        <f aca="false">W_PH(L$2,$A143)</f>
        <v>574.856855413855</v>
      </c>
      <c r="M143" s="0" t="n">
        <f aca="false">W_PH(M$2,$A143)</f>
        <v>574.854847276315</v>
      </c>
      <c r="N143" s="0" t="n">
        <f aca="false">W_PH(N$2,$A143)</f>
        <v>574.852839463511</v>
      </c>
      <c r="O143" s="0" t="n">
        <f aca="false">W_PH(O$2,$A143)</f>
        <v>574.850831975361</v>
      </c>
      <c r="P143" s="0" t="n">
        <f aca="false">W_PH(P$2,$A143)</f>
        <v>574.83077493242</v>
      </c>
      <c r="Q143" s="0" t="n">
        <f aca="false">W_PH(Q$2,$A143)</f>
        <v>574.810750267608</v>
      </c>
      <c r="R143" s="0" t="n">
        <f aca="false">W_PH(R$2,$A143)</f>
        <v>574.790757901552</v>
      </c>
      <c r="S143" s="0" t="n">
        <f aca="false">W_PH(S$2,$A143)</f>
        <v>574.770797754959</v>
      </c>
      <c r="T143" s="0" t="n">
        <f aca="false">W_PH(T$2,$A143)</f>
        <v>574.750869748617</v>
      </c>
      <c r="U143" s="0" t="n">
        <f aca="false">W_PH(U$2,$A143)</f>
        <v>574.730973803394</v>
      </c>
      <c r="V143" s="0" t="n">
        <f aca="false">W_PH(V$2,$A143)</f>
        <v>574.711109840238</v>
      </c>
      <c r="W143" s="0" t="n">
        <f aca="false">W_PH(W$2,$A143)</f>
        <v>574.691277780174</v>
      </c>
      <c r="X143" s="0" t="n">
        <f aca="false">W_PH(X$2,$A143)</f>
        <v>574.671477544308</v>
      </c>
      <c r="Y143" s="0" t="n">
        <f aca="false">W_PH(Y$2,$A143)</f>
        <v>574.475208216258</v>
      </c>
      <c r="Z143" s="0" t="n">
        <f aca="false">W_PH(Z$2,$A143)</f>
        <v>574.282035111929</v>
      </c>
      <c r="AA143" s="0" t="n">
        <f aca="false">W_PH(AA$2,$A143)</f>
        <v>574.091880660645</v>
      </c>
      <c r="AB143" s="0" t="n">
        <f aca="false">W_PH(AB$2,$A143)</f>
        <v>573.904668154917</v>
      </c>
      <c r="AC143" s="0" t="n">
        <f aca="false">W_PH(AC$2,$A143)</f>
        <v>573.720321841851</v>
      </c>
      <c r="AD143" s="0" t="n">
        <f aca="false">W_PH(AD$2,$A143)</f>
        <v>573.538767047508</v>
      </c>
      <c r="AE143" s="0" t="n">
        <f aca="false">W_PH(AE$2,$A143)</f>
        <v>573.359930329451</v>
      </c>
      <c r="AF143" s="0" t="n">
        <f aca="false">W_PH(AF$2,$A143)</f>
        <v>573.183739652569</v>
      </c>
      <c r="AG143" s="0" t="n">
        <f aca="false">W_PH(AG$2,$A143)</f>
        <v>573.010124583204</v>
      </c>
      <c r="AH143" s="0" t="n">
        <f aca="false">W_PH(AH$2,$A143)</f>
        <v>571.401703999926</v>
      </c>
      <c r="AI143" s="0" t="n">
        <f aca="false">W_PH(AI$2,$A143)</f>
        <v>569.992493750729</v>
      </c>
      <c r="AJ143" s="0" t="n">
        <f aca="false">W_PH(AJ$2,$A143)</f>
        <v>568.75768604358</v>
      </c>
      <c r="AK143" s="0" t="n">
        <f aca="false">W_PH(AK$2,$A143)</f>
        <v>567.662679203155</v>
      </c>
      <c r="AL143" s="0" t="n">
        <f aca="false">W_PH(AL$2,$A143)</f>
        <v>566.710052316714</v>
      </c>
      <c r="AM143" s="0" t="n">
        <f aca="false">W_PH(AM$2,$A143)</f>
        <v>565.890720947465</v>
      </c>
      <c r="AN143" s="0" t="n">
        <f aca="false">W_PH(AN$2,$A143)</f>
        <v>565.198756793786</v>
      </c>
      <c r="AO143" s="0" t="n">
        <f aca="false">W_PH(AO$2,$A143)</f>
        <v>564.63049060672</v>
      </c>
      <c r="AP143" s="0" t="n">
        <f aca="false">W_PH(AP$2,$A143)</f>
        <v>564.183614564914</v>
      </c>
      <c r="AQ143" s="0" t="n">
        <f aca="false">W_PH(AQ$2,$A143)</f>
        <v>565.927819593353</v>
      </c>
      <c r="AR143" s="0" t="n">
        <f aca="false">W_PH(AR$2,$A143)</f>
        <v>567.542124062119</v>
      </c>
      <c r="AS143" s="0" t="n">
        <f aca="false">W_PH(AS$2,$A143)</f>
        <v>568.415724674251</v>
      </c>
    </row>
    <row r="144" customFormat="false" ht="13.8" hidden="false" customHeight="false" outlineLevel="0" collapsed="false">
      <c r="A144" s="0" t="n">
        <v>3040</v>
      </c>
      <c r="B144" s="0" t="n">
        <f aca="false">W_PH(B$2,$A144)</f>
        <v>577.361770178595</v>
      </c>
      <c r="C144" s="0" t="n">
        <f aca="false">W_PH(C$2,$A144)</f>
        <v>577.361575655292</v>
      </c>
      <c r="D144" s="0" t="n">
        <f aca="false">W_PH(D$2,$A144)</f>
        <v>577.361381134994</v>
      </c>
      <c r="E144" s="0" t="n">
        <f aca="false">W_PH(E$2,$A144)</f>
        <v>577.361186617701</v>
      </c>
      <c r="F144" s="0" t="n">
        <f aca="false">W_PH(F$2,$A144)</f>
        <v>577.360992103412</v>
      </c>
      <c r="G144" s="0" t="n">
        <f aca="false">W_PH(G$2,$A144)</f>
        <v>577.359047125777</v>
      </c>
      <c r="H144" s="0" t="n">
        <f aca="false">W_PH(H$2,$A144)</f>
        <v>577.357102448543</v>
      </c>
      <c r="I144" s="0" t="n">
        <f aca="false">W_PH(I$2,$A144)</f>
        <v>577.355158071641</v>
      </c>
      <c r="J144" s="0" t="n">
        <f aca="false">W_PH(J$2,$A144)</f>
        <v>577.353213995001</v>
      </c>
      <c r="K144" s="0" t="n">
        <f aca="false">W_PH(K$2,$A144)</f>
        <v>577.351270218552</v>
      </c>
      <c r="L144" s="0" t="n">
        <f aca="false">W_PH(L$2,$A144)</f>
        <v>577.349326742225</v>
      </c>
      <c r="M144" s="0" t="n">
        <f aca="false">W_PH(M$2,$A144)</f>
        <v>577.347383565948</v>
      </c>
      <c r="N144" s="0" t="n">
        <f aca="false">W_PH(N$2,$A144)</f>
        <v>577.345440689651</v>
      </c>
      <c r="O144" s="0" t="n">
        <f aca="false">W_PH(O$2,$A144)</f>
        <v>577.343498113265</v>
      </c>
      <c r="P144" s="0" t="n">
        <f aca="false">W_PH(P$2,$A144)</f>
        <v>577.324088829011</v>
      </c>
      <c r="Q144" s="0" t="n">
        <f aca="false">W_PH(Q$2,$A144)</f>
        <v>577.304709458542</v>
      </c>
      <c r="R144" s="0" t="n">
        <f aca="false">W_PH(R$2,$A144)</f>
        <v>577.285359931729</v>
      </c>
      <c r="S144" s="0" t="n">
        <f aca="false">W_PH(S$2,$A144)</f>
        <v>577.266040178529</v>
      </c>
      <c r="T144" s="0" t="n">
        <f aca="false">W_PH(T$2,$A144)</f>
        <v>577.246750128988</v>
      </c>
      <c r="U144" s="0" t="n">
        <f aca="false">W_PH(U$2,$A144)</f>
        <v>577.227489713233</v>
      </c>
      <c r="V144" s="0" t="n">
        <f aca="false">W_PH(V$2,$A144)</f>
        <v>577.20825886148</v>
      </c>
      <c r="W144" s="0" t="n">
        <f aca="false">W_PH(W$2,$A144)</f>
        <v>577.189057504028</v>
      </c>
      <c r="X144" s="0" t="n">
        <f aca="false">W_PH(X$2,$A144)</f>
        <v>577.169885571262</v>
      </c>
      <c r="Y144" s="0" t="n">
        <f aca="false">W_PH(Y$2,$A144)</f>
        <v>576.979769345837</v>
      </c>
      <c r="Z144" s="0" t="n">
        <f aca="false">W_PH(Z$2,$A144)</f>
        <v>576.792519632892</v>
      </c>
      <c r="AA144" s="0" t="n">
        <f aca="false">W_PH(AA$2,$A144)</f>
        <v>576.608068201023</v>
      </c>
      <c r="AB144" s="0" t="n">
        <f aca="false">W_PH(AB$2,$A144)</f>
        <v>576.426347690876</v>
      </c>
      <c r="AC144" s="0" t="n">
        <f aca="false">W_PH(AC$2,$A144)</f>
        <v>576.247291679336</v>
      </c>
      <c r="AD144" s="0" t="n">
        <f aca="false">W_PH(AD$2,$A144)</f>
        <v>576.070834772863</v>
      </c>
      <c r="AE144" s="0" t="n">
        <f aca="false">W_PH(AE$2,$A144)</f>
        <v>575.896912725871</v>
      </c>
      <c r="AF144" s="0" t="n">
        <f aca="false">W_PH(AF$2,$A144)</f>
        <v>575.725462579911</v>
      </c>
      <c r="AG144" s="0" t="n">
        <f aca="false">W_PH(AG$2,$A144)</f>
        <v>575.556422819387</v>
      </c>
      <c r="AH144" s="0" t="n">
        <f aca="false">W_PH(AH$2,$A144)</f>
        <v>573.98643900299</v>
      </c>
      <c r="AI144" s="0" t="n">
        <f aca="false">W_PH(AI$2,$A144)</f>
        <v>572.606470190756</v>
      </c>
      <c r="AJ144" s="0" t="n">
        <f aca="false">W_PH(AJ$2,$A144)</f>
        <v>571.394284329732</v>
      </c>
      <c r="AK144" s="0" t="n">
        <f aca="false">W_PH(AK$2,$A144)</f>
        <v>570.318499123496</v>
      </c>
      <c r="AL144" s="0" t="n">
        <f aca="false">W_PH(AL$2,$A144)</f>
        <v>569.380803898656</v>
      </c>
      <c r="AM144" s="0" t="n">
        <f aca="false">W_PH(AM$2,$A144)</f>
        <v>568.573109998837</v>
      </c>
      <c r="AN144" s="0" t="n">
        <f aca="false">W_PH(AN$2,$A144)</f>
        <v>567.889990315528</v>
      </c>
      <c r="AO144" s="0" t="n">
        <f aca="false">W_PH(AO$2,$A144)</f>
        <v>567.327969718997</v>
      </c>
      <c r="AP144" s="0" t="n">
        <f aca="false">W_PH(AP$2,$A144)</f>
        <v>566.884779325767</v>
      </c>
      <c r="AQ144" s="0" t="n">
        <f aca="false">W_PH(AQ$2,$A144)</f>
        <v>568.542428049874</v>
      </c>
      <c r="AR144" s="0" t="n">
        <f aca="false">W_PH(AR$2,$A144)</f>
        <v>570.117991894948</v>
      </c>
      <c r="AS144" s="0" t="n">
        <f aca="false">W_PH(AS$2,$A144)</f>
        <v>570.956161034106</v>
      </c>
    </row>
    <row r="145" customFormat="false" ht="13.8" hidden="false" customHeight="false" outlineLevel="0" collapsed="false">
      <c r="A145" s="0" t="n">
        <v>3050</v>
      </c>
      <c r="B145" s="0" t="n">
        <f aca="false">W_PH(B$2,$A145)</f>
        <v>579.836886086446</v>
      </c>
      <c r="C145" s="0" t="n">
        <f aca="false">W_PH(C$2,$A145)</f>
        <v>579.836697818181</v>
      </c>
      <c r="D145" s="0" t="n">
        <f aca="false">W_PH(D$2,$A145)</f>
        <v>579.8365095527</v>
      </c>
      <c r="E145" s="0" t="n">
        <f aca="false">W_PH(E$2,$A145)</f>
        <v>579.836321290002</v>
      </c>
      <c r="F145" s="0" t="n">
        <f aca="false">W_PH(F$2,$A145)</f>
        <v>579.836133030088</v>
      </c>
      <c r="G145" s="0" t="n">
        <f aca="false">W_PH(G$2,$A145)</f>
        <v>579.834250584029</v>
      </c>
      <c r="H145" s="0" t="n">
        <f aca="false">W_PH(H$2,$A145)</f>
        <v>579.832368416257</v>
      </c>
      <c r="I145" s="0" t="n">
        <f aca="false">W_PH(I$2,$A145)</f>
        <v>579.83048652671</v>
      </c>
      <c r="J145" s="0" t="n">
        <f aca="false">W_PH(J$2,$A145)</f>
        <v>579.828604915324</v>
      </c>
      <c r="K145" s="0" t="n">
        <f aca="false">W_PH(K$2,$A145)</f>
        <v>579.826723582038</v>
      </c>
      <c r="L145" s="0" t="n">
        <f aca="false">W_PH(L$2,$A145)</f>
        <v>579.824842526789</v>
      </c>
      <c r="M145" s="0" t="n">
        <f aca="false">W_PH(M$2,$A145)</f>
        <v>579.822961749514</v>
      </c>
      <c r="N145" s="0" t="n">
        <f aca="false">W_PH(N$2,$A145)</f>
        <v>579.82108125015</v>
      </c>
      <c r="O145" s="0" t="n">
        <f aca="false">W_PH(O$2,$A145)</f>
        <v>579.819201028635</v>
      </c>
      <c r="P145" s="0" t="n">
        <f aca="false">W_PH(P$2,$A145)</f>
        <v>579.800414081398</v>
      </c>
      <c r="Q145" s="0" t="n">
        <f aca="false">W_PH(Q$2,$A145)</f>
        <v>579.781654850227</v>
      </c>
      <c r="R145" s="0" t="n">
        <f aca="false">W_PH(R$2,$A145)</f>
        <v>579.762923272655</v>
      </c>
      <c r="S145" s="0" t="n">
        <f aca="false">W_PH(S$2,$A145)</f>
        <v>579.744219286309</v>
      </c>
      <c r="T145" s="0" t="n">
        <f aca="false">W_PH(T$2,$A145)</f>
        <v>579.725542828906</v>
      </c>
      <c r="U145" s="0" t="n">
        <f aca="false">W_PH(U$2,$A145)</f>
        <v>579.706893838257</v>
      </c>
      <c r="V145" s="0" t="n">
        <f aca="false">W_PH(V$2,$A145)</f>
        <v>579.68827225226</v>
      </c>
      <c r="W145" s="0" t="n">
        <f aca="false">W_PH(W$2,$A145)</f>
        <v>579.669678008907</v>
      </c>
      <c r="X145" s="0" t="n">
        <f aca="false">W_PH(X$2,$A145)</f>
        <v>579.651111046277</v>
      </c>
      <c r="Y145" s="0" t="n">
        <f aca="false">W_PH(Y$2,$A145)</f>
        <v>579.466928301073</v>
      </c>
      <c r="Z145" s="0" t="n">
        <f aca="false">W_PH(Z$2,$A145)</f>
        <v>579.285406173466</v>
      </c>
      <c r="AA145" s="0" t="n">
        <f aca="false">W_PH(AA$2,$A145)</f>
        <v>579.106484197639</v>
      </c>
      <c r="AB145" s="0" t="n">
        <f aca="false">W_PH(AB$2,$A145)</f>
        <v>578.930102801659</v>
      </c>
      <c r="AC145" s="0" t="n">
        <f aca="false">W_PH(AC$2,$A145)</f>
        <v>578.756203350576</v>
      </c>
      <c r="AD145" s="0" t="n">
        <f aca="false">W_PH(AD$2,$A145)</f>
        <v>578.584728214923</v>
      </c>
      <c r="AE145" s="0" t="n">
        <f aca="false">W_PH(AE$2,$A145)</f>
        <v>578.41562086108</v>
      </c>
      <c r="AF145" s="0" t="n">
        <f aca="false">W_PH(AF$2,$A145)</f>
        <v>578.248825959916</v>
      </c>
      <c r="AG145" s="0" t="n">
        <f aca="false">W_PH(AG$2,$A145)</f>
        <v>578.084289510025</v>
      </c>
      <c r="AH145" s="0" t="n">
        <f aca="false">W_PH(AH$2,$A145)</f>
        <v>576.552486278527</v>
      </c>
      <c r="AI145" s="0" t="n">
        <f aca="false">W_PH(AI$2,$A145)</f>
        <v>575.201782934728</v>
      </c>
      <c r="AJ145" s="0" t="n">
        <f aca="false">W_PH(AJ$2,$A145)</f>
        <v>574.012254583826</v>
      </c>
      <c r="AK145" s="0" t="n">
        <f aca="false">W_PH(AK$2,$A145)</f>
        <v>572.955896874082</v>
      </c>
      <c r="AL145" s="0" t="n">
        <f aca="false">W_PH(AL$2,$A145)</f>
        <v>572.033348326212</v>
      </c>
      <c r="AM145" s="0" t="n">
        <f aca="false">W_PH(AM$2,$A145)</f>
        <v>571.237464899462</v>
      </c>
      <c r="AN145" s="0" t="n">
        <f aca="false">W_PH(AN$2,$A145)</f>
        <v>570.563329276121</v>
      </c>
      <c r="AO145" s="0" t="n">
        <f aca="false">W_PH(AO$2,$A145)</f>
        <v>570.007694945778</v>
      </c>
      <c r="AP145" s="0" t="n">
        <f aca="false">W_PH(AP$2,$A145)</f>
        <v>569.568370764593</v>
      </c>
      <c r="AQ145" s="0" t="n">
        <f aca="false">W_PH(AQ$2,$A145)</f>
        <v>571.145069036658</v>
      </c>
      <c r="AR145" s="0" t="n">
        <f aca="false">W_PH(AR$2,$A145)</f>
        <v>572.684288801287</v>
      </c>
      <c r="AS145" s="0" t="n">
        <f aca="false">W_PH(AS$2,$A145)</f>
        <v>573.503759910291</v>
      </c>
    </row>
    <row r="146" customFormat="false" ht="13.8" hidden="false" customHeight="false" outlineLevel="0" collapsed="false">
      <c r="A146" s="0" t="n">
        <v>3060</v>
      </c>
      <c r="B146" s="0" t="n">
        <f aca="false">W_PH(B$2,$A146)</f>
        <v>582.295305327049</v>
      </c>
      <c r="C146" s="0" t="n">
        <f aca="false">W_PH(C$2,$A146)</f>
        <v>582.295123067491</v>
      </c>
      <c r="D146" s="0" t="n">
        <f aca="false">W_PH(D$2,$A146)</f>
        <v>582.294940810519</v>
      </c>
      <c r="E146" s="0" t="n">
        <f aca="false">W_PH(E$2,$A146)</f>
        <v>582.294758556133</v>
      </c>
      <c r="F146" s="0" t="n">
        <f aca="false">W_PH(F$2,$A146)</f>
        <v>582.294576304333</v>
      </c>
      <c r="G146" s="0" t="n">
        <f aca="false">W_PH(G$2,$A146)</f>
        <v>582.292753928544</v>
      </c>
      <c r="H146" s="0" t="n">
        <f aca="false">W_PH(H$2,$A146)</f>
        <v>582.290931811286</v>
      </c>
      <c r="I146" s="0" t="n">
        <f aca="false">W_PH(I$2,$A146)</f>
        <v>582.289109952501</v>
      </c>
      <c r="J146" s="0" t="n">
        <f aca="false">W_PH(J$2,$A146)</f>
        <v>582.287288352135</v>
      </c>
      <c r="K146" s="0" t="n">
        <f aca="false">W_PH(K$2,$A146)</f>
        <v>582.285467010129</v>
      </c>
      <c r="L146" s="0" t="n">
        <f aca="false">W_PH(L$2,$A146)</f>
        <v>582.283645926429</v>
      </c>
      <c r="M146" s="0" t="n">
        <f aca="false">W_PH(M$2,$A146)</f>
        <v>582.281825100978</v>
      </c>
      <c r="N146" s="0" t="n">
        <f aca="false">W_PH(N$2,$A146)</f>
        <v>582.28000453372</v>
      </c>
      <c r="O146" s="0" t="n">
        <f aca="false">W_PH(O$2,$A146)</f>
        <v>582.278184224597</v>
      </c>
      <c r="P146" s="0" t="n">
        <f aca="false">W_PH(P$2,$A146)</f>
        <v>582.259995318511</v>
      </c>
      <c r="Q146" s="0" t="n">
        <f aca="false">W_PH(Q$2,$A146)</f>
        <v>582.24183216427</v>
      </c>
      <c r="R146" s="0" t="n">
        <f aca="false">W_PH(R$2,$A146)</f>
        <v>582.223694705793</v>
      </c>
      <c r="S146" s="0" t="n">
        <f aca="false">W_PH(S$2,$A146)</f>
        <v>582.205582887096</v>
      </c>
      <c r="T146" s="0" t="n">
        <f aca="false">W_PH(T$2,$A146)</f>
        <v>582.187496652292</v>
      </c>
      <c r="U146" s="0" t="n">
        <f aca="false">W_PH(U$2,$A146)</f>
        <v>582.16943594559</v>
      </c>
      <c r="V146" s="0" t="n">
        <f aca="false">W_PH(V$2,$A146)</f>
        <v>582.151400711296</v>
      </c>
      <c r="W146" s="0" t="n">
        <f aca="false">W_PH(W$2,$A146)</f>
        <v>582.133390893808</v>
      </c>
      <c r="X146" s="0" t="n">
        <f aca="false">W_PH(X$2,$A146)</f>
        <v>582.115406437623</v>
      </c>
      <c r="Y146" s="0" t="n">
        <f aca="false">W_PH(Y$2,$A146)</f>
        <v>581.936944603157</v>
      </c>
      <c r="Z146" s="0" t="n">
        <f aca="false">W_PH(Z$2,$A146)</f>
        <v>581.760958533128</v>
      </c>
      <c r="AA146" s="0" t="n">
        <f aca="false">W_PH(AA$2,$A146)</f>
        <v>581.587394243196</v>
      </c>
      <c r="AB146" s="0" t="n">
        <f aca="false">W_PH(AB$2,$A146)</f>
        <v>581.416198668772</v>
      </c>
      <c r="AC146" s="0" t="n">
        <f aca="false">W_PH(AC$2,$A146)</f>
        <v>581.247319691741</v>
      </c>
      <c r="AD146" s="0" t="n">
        <f aca="false">W_PH(AD$2,$A146)</f>
        <v>581.080706189056</v>
      </c>
      <c r="AE146" s="0" t="n">
        <f aca="false">W_PH(AE$2,$A146)</f>
        <v>580.916308100208</v>
      </c>
      <c r="AF146" s="0" t="n">
        <f aca="false">W_PH(AF$2,$A146)</f>
        <v>580.754076510529</v>
      </c>
      <c r="AG146" s="0" t="n">
        <f aca="false">W_PH(AG$2,$A146)</f>
        <v>580.593963747255</v>
      </c>
      <c r="AH146" s="0" t="n">
        <f aca="false">W_PH(AH$2,$A146)</f>
        <v>579.099992028288</v>
      </c>
      <c r="AI146" s="0" t="n">
        <f aca="false">W_PH(AI$2,$A146)</f>
        <v>577.778514625209</v>
      </c>
      <c r="AJ146" s="0" t="n">
        <f aca="false">W_PH(AJ$2,$A146)</f>
        <v>576.611668029531</v>
      </c>
      <c r="AK146" s="0" t="n">
        <f aca="false">W_PH(AK$2,$A146)</f>
        <v>575.57490040905</v>
      </c>
      <c r="AL146" s="0" t="n">
        <f aca="false">W_PH(AL$2,$A146)</f>
        <v>574.66769732041</v>
      </c>
      <c r="AM146" s="0" t="n">
        <f aca="false">W_PH(AM$2,$A146)</f>
        <v>573.883801856765</v>
      </c>
      <c r="AN146" s="0" t="n">
        <f aca="false">W_PH(AN$2,$A146)</f>
        <v>573.218805567555</v>
      </c>
      <c r="AO146" s="0" t="n">
        <f aca="false">W_PH(AO$2,$A146)</f>
        <v>572.669716377316</v>
      </c>
      <c r="AP146" s="0" t="n">
        <f aca="false">W_PH(AP$2,$A146)</f>
        <v>572.234453587199</v>
      </c>
      <c r="AQ146" s="0" t="n">
        <f aca="false">W_PH(AQ$2,$A146)</f>
        <v>573.735712961875</v>
      </c>
      <c r="AR146" s="0" t="n">
        <f aca="false">W_PH(AR$2,$A146)</f>
        <v>575.240615206764</v>
      </c>
      <c r="AS146" s="0" t="n">
        <f aca="false">W_PH(AS$2,$A146)</f>
        <v>576.042688970625</v>
      </c>
    </row>
    <row r="147" customFormat="false" ht="13.8" hidden="false" customHeight="false" outlineLevel="0" collapsed="false">
      <c r="A147" s="0" t="n">
        <v>3070</v>
      </c>
      <c r="B147" s="0" t="n">
        <f aca="false">W_PH(B$2,$A147)</f>
        <v>584.737264453505</v>
      </c>
      <c r="C147" s="0" t="n">
        <f aca="false">W_PH(C$2,$A147)</f>
        <v>584.737087967696</v>
      </c>
      <c r="D147" s="0" t="n">
        <f aca="false">W_PH(D$2,$A147)</f>
        <v>584.736911484295</v>
      </c>
      <c r="E147" s="0" t="n">
        <f aca="false">W_PH(E$2,$A147)</f>
        <v>584.736735003304</v>
      </c>
      <c r="F147" s="0" t="n">
        <f aca="false">W_PH(F$2,$A147)</f>
        <v>584.736558524721</v>
      </c>
      <c r="G147" s="0" t="n">
        <f aca="false">W_PH(G$2,$A147)</f>
        <v>584.734793871375</v>
      </c>
      <c r="H147" s="0" t="n">
        <f aca="false">W_PH(H$2,$A147)</f>
        <v>584.733029458865</v>
      </c>
      <c r="I147" s="0" t="n">
        <f aca="false">W_PH(I$2,$A147)</f>
        <v>584.73126528714</v>
      </c>
      <c r="J147" s="0" t="n">
        <f aca="false">W_PH(J$2,$A147)</f>
        <v>584.729501356149</v>
      </c>
      <c r="K147" s="0" t="n">
        <f aca="false">W_PH(K$2,$A147)</f>
        <v>584.727737665842</v>
      </c>
      <c r="L147" s="0" t="n">
        <f aca="false">W_PH(L$2,$A147)</f>
        <v>584.725974216168</v>
      </c>
      <c r="M147" s="0" t="n">
        <f aca="false">W_PH(M$2,$A147)</f>
        <v>584.724211007075</v>
      </c>
      <c r="N147" s="0" t="n">
        <f aca="false">W_PH(N$2,$A147)</f>
        <v>584.722448038513</v>
      </c>
      <c r="O147" s="0" t="n">
        <f aca="false">W_PH(O$2,$A147)</f>
        <v>584.720685310431</v>
      </c>
      <c r="P147" s="0" t="n">
        <f aca="false">W_PH(P$2,$A147)</f>
        <v>584.703071244806</v>
      </c>
      <c r="Q147" s="0" t="n">
        <f aca="false">W_PH(Q$2,$A147)</f>
        <v>584.685481171253</v>
      </c>
      <c r="R147" s="0" t="n">
        <f aca="false">W_PH(R$2,$A147)</f>
        <v>584.667915039043</v>
      </c>
      <c r="S147" s="0" t="n">
        <f aca="false">W_PH(S$2,$A147)</f>
        <v>584.65037279755</v>
      </c>
      <c r="T147" s="0" t="n">
        <f aca="false">W_PH(T$2,$A147)</f>
        <v>584.632854396252</v>
      </c>
      <c r="U147" s="0" t="n">
        <f aca="false">W_PH(U$2,$A147)</f>
        <v>584.615359784721</v>
      </c>
      <c r="V147" s="0" t="n">
        <f aca="false">W_PH(V$2,$A147)</f>
        <v>584.597888912634</v>
      </c>
      <c r="W147" s="0" t="n">
        <f aca="false">W_PH(W$2,$A147)</f>
        <v>584.580441729765</v>
      </c>
      <c r="X147" s="0" t="n">
        <f aca="false">W_PH(X$2,$A147)</f>
        <v>584.563018185987</v>
      </c>
      <c r="Y147" s="0" t="n">
        <f aca="false">W_PH(Y$2,$A147)</f>
        <v>584.390071939882</v>
      </c>
      <c r="Z147" s="0" t="n">
        <f aca="false">W_PH(Z$2,$A147)</f>
        <v>584.219435180663</v>
      </c>
      <c r="AA147" s="0" t="n">
        <f aca="false">W_PH(AA$2,$A147)</f>
        <v>584.051059359235</v>
      </c>
      <c r="AB147" s="0" t="n">
        <f aca="false">W_PH(AB$2,$A147)</f>
        <v>583.884896870222</v>
      </c>
      <c r="AC147" s="0" t="n">
        <f aca="false">W_PH(AC$2,$A147)</f>
        <v>583.720901065966</v>
      </c>
      <c r="AD147" s="0" t="n">
        <f aca="false">W_PH(AD$2,$A147)</f>
        <v>583.559026289215</v>
      </c>
      <c r="AE147" s="0" t="n">
        <f aca="false">W_PH(AE$2,$A147)</f>
        <v>583.399227921966</v>
      </c>
      <c r="AF147" s="0" t="n">
        <f aca="false">W_PH(AF$2,$A147)</f>
        <v>583.241462447918</v>
      </c>
      <c r="AG147" s="0" t="n">
        <f aca="false">W_PH(AG$2,$A147)</f>
        <v>583.085687525963</v>
      </c>
      <c r="AH147" s="0" t="n">
        <f aca="false">W_PH(AH$2,$A147)</f>
        <v>581.629116601469</v>
      </c>
      <c r="AI147" s="0" t="n">
        <f aca="false">W_PH(AI$2,$A147)</f>
        <v>580.33676680277</v>
      </c>
      <c r="AJ147" s="0" t="n">
        <f aca="false">W_PH(AJ$2,$A147)</f>
        <v>579.192613762419</v>
      </c>
      <c r="AK147" s="0" t="n">
        <f aca="false">W_PH(AK$2,$A147)</f>
        <v>578.175555556201</v>
      </c>
      <c r="AL147" s="0" t="n">
        <f aca="false">W_PH(AL$2,$A147)</f>
        <v>577.283877592409</v>
      </c>
      <c r="AM147" s="0" t="n">
        <f aca="false">W_PH(AM$2,$A147)</f>
        <v>576.512148500405</v>
      </c>
      <c r="AN147" s="0" t="n">
        <f aca="false">W_PH(AN$2,$A147)</f>
        <v>575.856459693143</v>
      </c>
      <c r="AO147" s="0" t="n">
        <f aca="false">W_PH(AO$2,$A147)</f>
        <v>575.314091305966</v>
      </c>
      <c r="AP147" s="0" t="n">
        <f aca="false">W_PH(AP$2,$A147)</f>
        <v>574.883099682359</v>
      </c>
      <c r="AQ147" s="0" t="n">
        <f aca="false">W_PH(AQ$2,$A147)</f>
        <v>576.314350599976</v>
      </c>
      <c r="AR147" s="0" t="n">
        <f aca="false">W_PH(AR$2,$A147)</f>
        <v>577.786707881175</v>
      </c>
      <c r="AS147" s="0" t="n">
        <f aca="false">W_PH(AS$2,$A147)</f>
        <v>578.572434012733</v>
      </c>
    </row>
    <row r="148" customFormat="false" ht="13.8" hidden="false" customHeight="false" outlineLevel="0" collapsed="false">
      <c r="A148" s="0" t="n">
        <v>3080</v>
      </c>
      <c r="B148" s="0" t="n">
        <f aca="false">W_PH(B$2,$A148)</f>
        <v>587.162994387017</v>
      </c>
      <c r="C148" s="0" t="n">
        <f aca="false">W_PH(C$2,$A148)</f>
        <v>587.162823450991</v>
      </c>
      <c r="D148" s="0" t="n">
        <f aca="false">W_PH(D$2,$A148)</f>
        <v>587.162652517216</v>
      </c>
      <c r="E148" s="0" t="n">
        <f aca="false">W_PH(E$2,$A148)</f>
        <v>587.16248158569</v>
      </c>
      <c r="F148" s="0" t="n">
        <f aca="false">W_PH(F$2,$A148)</f>
        <v>587.162310656415</v>
      </c>
      <c r="G148" s="0" t="n">
        <f aca="false">W_PH(G$2,$A148)</f>
        <v>587.160601487398</v>
      </c>
      <c r="H148" s="0" t="n">
        <f aca="false">W_PH(H$2,$A148)</f>
        <v>587.158892543329</v>
      </c>
      <c r="I148" s="0" t="n">
        <f aca="false">W_PH(I$2,$A148)</f>
        <v>587.15718382416</v>
      </c>
      <c r="J148" s="0" t="n">
        <f aca="false">W_PH(J$2,$A148)</f>
        <v>587.155475329846</v>
      </c>
      <c r="K148" s="0" t="n">
        <f aca="false">W_PH(K$2,$A148)</f>
        <v>587.153767060341</v>
      </c>
      <c r="L148" s="0" t="n">
        <f aca="false">W_PH(L$2,$A148)</f>
        <v>587.152059015596</v>
      </c>
      <c r="M148" s="0" t="n">
        <f aca="false">W_PH(M$2,$A148)</f>
        <v>587.150351195567</v>
      </c>
      <c r="N148" s="0" t="n">
        <f aca="false">W_PH(N$2,$A148)</f>
        <v>587.148643600207</v>
      </c>
      <c r="O148" s="0" t="n">
        <f aca="false">W_PH(O$2,$A148)</f>
        <v>587.14693622947</v>
      </c>
      <c r="P148" s="0" t="n">
        <f aca="false">W_PH(P$2,$A148)</f>
        <v>587.129874866134</v>
      </c>
      <c r="Q148" s="0" t="n">
        <f aca="false">W_PH(Q$2,$A148)</f>
        <v>587.112835914111</v>
      </c>
      <c r="R148" s="0" t="n">
        <f aca="false">W_PH(R$2,$A148)</f>
        <v>587.095819327198</v>
      </c>
      <c r="S148" s="0" t="n">
        <f aca="false">W_PH(S$2,$A148)</f>
        <v>587.078825059294</v>
      </c>
      <c r="T148" s="0" t="n">
        <f aca="false">W_PH(T$2,$A148)</f>
        <v>587.061853064405</v>
      </c>
      <c r="U148" s="0" t="n">
        <f aca="false">W_PH(U$2,$A148)</f>
        <v>587.044903296638</v>
      </c>
      <c r="V148" s="0" t="n">
        <f aca="false">W_PH(V$2,$A148)</f>
        <v>587.027975710204</v>
      </c>
      <c r="W148" s="0" t="n">
        <f aca="false">W_PH(W$2,$A148)</f>
        <v>587.011070259415</v>
      </c>
      <c r="X148" s="0" t="n">
        <f aca="false">W_PH(X$2,$A148)</f>
        <v>586.994186898684</v>
      </c>
      <c r="Y148" s="0" t="n">
        <f aca="false">W_PH(Y$2,$A148)</f>
        <v>586.826558287373</v>
      </c>
      <c r="Z148" s="0" t="n">
        <f aca="false">W_PH(Z$2,$A148)</f>
        <v>586.661089275554</v>
      </c>
      <c r="AA148" s="0" t="n">
        <f aca="false">W_PH(AA$2,$A148)</f>
        <v>586.497735898172</v>
      </c>
      <c r="AB148" s="0" t="n">
        <f aca="false">W_PH(AB$2,$A148)</f>
        <v>586.336455152267</v>
      </c>
      <c r="AC148" s="0" t="n">
        <f aca="false">W_PH(AC$2,$A148)</f>
        <v>586.177205001149</v>
      </c>
      <c r="AD148" s="0" t="n">
        <f aca="false">W_PH(AD$2,$A148)</f>
        <v>586.019944394434</v>
      </c>
      <c r="AE148" s="0" t="n">
        <f aca="false">W_PH(AE$2,$A148)</f>
        <v>585.864633301837</v>
      </c>
      <c r="AF148" s="0" t="n">
        <f aca="false">W_PH(AF$2,$A148)</f>
        <v>585.711232758601</v>
      </c>
      <c r="AG148" s="0" t="n">
        <f aca="false">W_PH(AG$2,$A148)</f>
        <v>585.55970492042</v>
      </c>
      <c r="AH148" s="0" t="n">
        <f aca="false">W_PH(AH$2,$A148)</f>
        <v>584.140033700185</v>
      </c>
      <c r="AI148" s="0" t="n">
        <f aca="false">W_PH(AI$2,$A148)</f>
        <v>582.876659684449</v>
      </c>
      <c r="AJ148" s="0" t="n">
        <f aca="false">W_PH(AJ$2,$A148)</f>
        <v>581.755198158366</v>
      </c>
      <c r="AK148" s="0" t="n">
        <f aca="false">W_PH(AK$2,$A148)</f>
        <v>580.757926534526</v>
      </c>
      <c r="AL148" s="0" t="n">
        <f aca="false">W_PH(AL$2,$A148)</f>
        <v>579.881932111649</v>
      </c>
      <c r="AM148" s="0" t="n">
        <f aca="false">W_PH(AM$2,$A148)</f>
        <v>579.122545303015</v>
      </c>
      <c r="AN148" s="0" t="n">
        <f aca="false">W_PH(AN$2,$A148)</f>
        <v>578.476341776223</v>
      </c>
      <c r="AO148" s="0" t="n">
        <f aca="false">W_PH(AO$2,$A148)</f>
        <v>577.940884429117</v>
      </c>
      <c r="AP148" s="0" t="n">
        <f aca="false">W_PH(AP$2,$A148)</f>
        <v>577.514387352678</v>
      </c>
      <c r="AQ148" s="0" t="n">
        <f aca="false">W_PH(AQ$2,$A148)</f>
        <v>578.880981974429</v>
      </c>
      <c r="AR148" s="0" t="n">
        <f aca="false">W_PH(AR$2,$A148)</f>
        <v>580.322392656127</v>
      </c>
      <c r="AS148" s="0" t="n">
        <f aca="false">W_PH(AS$2,$A148)</f>
        <v>581.092647623683</v>
      </c>
    </row>
    <row r="149" customFormat="false" ht="13.8" hidden="false" customHeight="false" outlineLevel="0" collapsed="false">
      <c r="A149" s="0" t="n">
        <v>3090</v>
      </c>
      <c r="B149" s="0" t="n">
        <f aca="false">W_PH(B$2,$A149)</f>
        <v>589.572720636736</v>
      </c>
      <c r="C149" s="0" t="n">
        <f aca="false">W_PH(C$2,$A149)</f>
        <v>589.572555037133</v>
      </c>
      <c r="D149" s="0" t="n">
        <f aca="false">W_PH(D$2,$A149)</f>
        <v>589.572389439637</v>
      </c>
      <c r="E149" s="0" t="n">
        <f aca="false">W_PH(E$2,$A149)</f>
        <v>589.572223844247</v>
      </c>
      <c r="F149" s="0" t="n">
        <f aca="false">W_PH(F$2,$A149)</f>
        <v>589.572058250965</v>
      </c>
      <c r="G149" s="0" t="n">
        <f aca="false">W_PH(G$2,$A149)</f>
        <v>589.570402434008</v>
      </c>
      <c r="H149" s="0" t="n">
        <f aca="false">W_PH(H$2,$A149)</f>
        <v>589.568746827689</v>
      </c>
      <c r="I149" s="0" t="n">
        <f aca="false">W_PH(I$2,$A149)</f>
        <v>589.567091431967</v>
      </c>
      <c r="J149" s="0" t="n">
        <f aca="false">W_PH(J$2,$A149)</f>
        <v>589.565436246797</v>
      </c>
      <c r="K149" s="0" t="n">
        <f aca="false">W_PH(K$2,$A149)</f>
        <v>589.563781272139</v>
      </c>
      <c r="L149" s="0" t="n">
        <f aca="false">W_PH(L$2,$A149)</f>
        <v>589.562126507948</v>
      </c>
      <c r="M149" s="0" t="n">
        <f aca="false">W_PH(M$2,$A149)</f>
        <v>589.560471954183</v>
      </c>
      <c r="N149" s="0" t="n">
        <f aca="false">W_PH(N$2,$A149)</f>
        <v>589.558817610801</v>
      </c>
      <c r="O149" s="0" t="n">
        <f aca="false">W_PH(O$2,$A149)</f>
        <v>589.557163477759</v>
      </c>
      <c r="P149" s="0" t="n">
        <f aca="false">W_PH(P$2,$A149)</f>
        <v>589.540633706724</v>
      </c>
      <c r="Q149" s="0" t="n">
        <f aca="false">W_PH(Q$2,$A149)</f>
        <v>589.524124923042</v>
      </c>
      <c r="R149" s="0" t="n">
        <f aca="false">W_PH(R$2,$A149)</f>
        <v>589.507637084367</v>
      </c>
      <c r="S149" s="0" t="n">
        <f aca="false">W_PH(S$2,$A149)</f>
        <v>589.491170148454</v>
      </c>
      <c r="T149" s="0" t="n">
        <f aca="false">W_PH(T$2,$A149)</f>
        <v>589.474724073169</v>
      </c>
      <c r="U149" s="0" t="n">
        <f aca="false">W_PH(U$2,$A149)</f>
        <v>589.458298816479</v>
      </c>
      <c r="V149" s="0" t="n">
        <f aca="false">W_PH(V$2,$A149)</f>
        <v>589.441894336456</v>
      </c>
      <c r="W149" s="0" t="n">
        <f aca="false">W_PH(W$2,$A149)</f>
        <v>589.425510591277</v>
      </c>
      <c r="X149" s="0" t="n">
        <f aca="false">W_PH(X$2,$A149)</f>
        <v>589.40914753922</v>
      </c>
      <c r="Y149" s="0" t="n">
        <f aca="false">W_PH(Y$2,$A149)</f>
        <v>589.246646034857</v>
      </c>
      <c r="Z149" s="0" t="n">
        <f aca="false">W_PH(Z$2,$A149)</f>
        <v>589.086168701391</v>
      </c>
      <c r="AA149" s="0" t="n">
        <f aca="false">W_PH(AA$2,$A149)</f>
        <v>588.9276754661</v>
      </c>
      <c r="AB149" s="0" t="n">
        <f aca="false">W_PH(AB$2,$A149)</f>
        <v>588.771127229142</v>
      </c>
      <c r="AC149" s="0" t="n">
        <f aca="false">W_PH(AC$2,$A149)</f>
        <v>588.616485860203</v>
      </c>
      <c r="AD149" s="0" t="n">
        <f aca="false">W_PH(AD$2,$A149)</f>
        <v>588.463714208555</v>
      </c>
      <c r="AE149" s="0" t="n">
        <f aca="false">W_PH(AE$2,$A149)</f>
        <v>588.312776124796</v>
      </c>
      <c r="AF149" s="0" t="n">
        <f aca="false">W_PH(AF$2,$A149)</f>
        <v>588.163636492491</v>
      </c>
      <c r="AG149" s="0" t="n">
        <f aca="false">W_PH(AG$2,$A149)</f>
        <v>588.016261267973</v>
      </c>
      <c r="AH149" s="0" t="n">
        <f aca="false">W_PH(AH$2,$A149)</f>
        <v>586.632929234159</v>
      </c>
      <c r="AI149" s="0" t="n">
        <f aca="false">W_PH(AI$2,$A149)</f>
        <v>585.398331200299</v>
      </c>
      <c r="AJ149" s="0" t="n">
        <f aca="false">W_PH(AJ$2,$A149)</f>
        <v>584.299543790432</v>
      </c>
      <c r="AK149" s="0" t="n">
        <f aca="false">W_PH(AK$2,$A149)</f>
        <v>583.322095705824</v>
      </c>
      <c r="AL149" s="0" t="n">
        <f aca="false">W_PH(AL$2,$A149)</f>
        <v>582.461920573785</v>
      </c>
      <c r="AM149" s="0" t="n">
        <f aca="false">W_PH(AM$2,$A149)</f>
        <v>581.715046359533</v>
      </c>
      <c r="AN149" s="0" t="n">
        <f aca="false">W_PH(AN$2,$A149)</f>
        <v>581.078512195013</v>
      </c>
      <c r="AO149" s="0" t="n">
        <f aca="false">W_PH(AO$2,$A149)</f>
        <v>580.550167974309</v>
      </c>
      <c r="AP149" s="0" t="n">
        <f aca="false">W_PH(AP$2,$A149)</f>
        <v>580.128400727816</v>
      </c>
      <c r="AQ149" s="0" t="n">
        <f aca="false">W_PH(AQ$2,$A149)</f>
        <v>581.435608963065</v>
      </c>
      <c r="AR149" s="0" t="n">
        <f aca="false">W_PH(AR$2,$A149)</f>
        <v>582.847550759676</v>
      </c>
      <c r="AS149" s="0" t="n">
        <f aca="false">W_PH(AS$2,$A149)</f>
        <v>583.603092412725</v>
      </c>
    </row>
    <row r="150" customFormat="false" ht="13.8" hidden="false" customHeight="false" outlineLevel="0" collapsed="false">
      <c r="A150" s="0" t="n">
        <v>3100</v>
      </c>
      <c r="B150" s="0" t="n">
        <f aca="false">W_PH(B$2,$A150)</f>
        <v>591.966663510288</v>
      </c>
      <c r="C150" s="0" t="n">
        <f aca="false">W_PH(C$2,$A150)</f>
        <v>591.966503043952</v>
      </c>
      <c r="D150" s="0" t="n">
        <f aca="false">W_PH(D$2,$A150)</f>
        <v>591.966342579593</v>
      </c>
      <c r="E150" s="0" t="n">
        <f aca="false">W_PH(E$2,$A150)</f>
        <v>591.966182117212</v>
      </c>
      <c r="F150" s="0" t="n">
        <f aca="false">W_PH(F$2,$A150)</f>
        <v>591.966021656808</v>
      </c>
      <c r="G150" s="0" t="n">
        <f aca="false">W_PH(G$2,$A150)</f>
        <v>591.964417161529</v>
      </c>
      <c r="H150" s="0" t="n">
        <f aca="false">W_PH(H$2,$A150)</f>
        <v>591.962812863964</v>
      </c>
      <c r="I150" s="0" t="n">
        <f aca="false">W_PH(I$2,$A150)</f>
        <v>591.961208764073</v>
      </c>
      <c r="J150" s="0" t="n">
        <f aca="false">W_PH(J$2,$A150)</f>
        <v>591.959604861817</v>
      </c>
      <c r="K150" s="0" t="n">
        <f aca="false">W_PH(K$2,$A150)</f>
        <v>591.958001157156</v>
      </c>
      <c r="L150" s="0" t="n">
        <f aca="false">W_PH(L$2,$A150)</f>
        <v>591.956397650052</v>
      </c>
      <c r="M150" s="0" t="n">
        <f aca="false">W_PH(M$2,$A150)</f>
        <v>591.954794340465</v>
      </c>
      <c r="N150" s="0" t="n">
        <f aca="false">W_PH(N$2,$A150)</f>
        <v>591.953191228356</v>
      </c>
      <c r="O150" s="0" t="n">
        <f aca="false">W_PH(O$2,$A150)</f>
        <v>591.951588313685</v>
      </c>
      <c r="P150" s="0" t="n">
        <f aca="false">W_PH(P$2,$A150)</f>
        <v>591.93557001749</v>
      </c>
      <c r="Q150" s="0" t="n">
        <f aca="false">W_PH(Q$2,$A150)</f>
        <v>591.919571422115</v>
      </c>
      <c r="R150" s="0" t="n">
        <f aca="false">W_PH(R$2,$A150)</f>
        <v>591.903592488531</v>
      </c>
      <c r="S150" s="0" t="n">
        <f aca="false">W_PH(S$2,$A150)</f>
        <v>591.887633177812</v>
      </c>
      <c r="T150" s="0" t="n">
        <f aca="false">W_PH(T$2,$A150)</f>
        <v>591.871693451141</v>
      </c>
      <c r="U150" s="0" t="n">
        <f aca="false">W_PH(U$2,$A150)</f>
        <v>591.855773269802</v>
      </c>
      <c r="V150" s="0" t="n">
        <f aca="false">W_PH(V$2,$A150)</f>
        <v>591.83987259519</v>
      </c>
      <c r="W150" s="0" t="n">
        <f aca="false">W_PH(W$2,$A150)</f>
        <v>591.8239913888</v>
      </c>
      <c r="X150" s="0" t="n">
        <f aca="false">W_PH(X$2,$A150)</f>
        <v>591.808129612231</v>
      </c>
      <c r="Y150" s="0" t="n">
        <f aca="false">W_PH(Y$2,$A150)</f>
        <v>591.650572112259</v>
      </c>
      <c r="Z150" s="0" t="n">
        <f aca="false">W_PH(Z$2,$A150)</f>
        <v>591.49491611089</v>
      </c>
      <c r="AA150" s="0" t="n">
        <f aca="false">W_PH(AA$2,$A150)</f>
        <v>591.341124866156</v>
      </c>
      <c r="AB150" s="0" t="n">
        <f aca="false">W_PH(AB$2,$A150)</f>
        <v>591.189162611343</v>
      </c>
      <c r="AC150" s="0" t="n">
        <f aca="false">W_PH(AC$2,$A150)</f>
        <v>591.038994545956</v>
      </c>
      <c r="AD150" s="0" t="n">
        <f aca="false">W_PH(AD$2,$A150)</f>
        <v>590.890586838007</v>
      </c>
      <c r="AE150" s="0" t="n">
        <f aca="false">W_PH(AE$2,$A150)</f>
        <v>590.743906636181</v>
      </c>
      <c r="AF150" s="0" t="n">
        <f aca="false">W_PH(AF$2,$A150)</f>
        <v>590.598922090445</v>
      </c>
      <c r="AG150" s="0" t="n">
        <f aca="false">W_PH(AG$2,$A150)</f>
        <v>590.455602379631</v>
      </c>
      <c r="AH150" s="0" t="n">
        <f aca="false">W_PH(AH$2,$A150)</f>
        <v>589.107999952756</v>
      </c>
      <c r="AI150" s="0" t="n">
        <f aca="false">W_PH(AI$2,$A150)</f>
        <v>587.90193554595</v>
      </c>
      <c r="AJ150" s="0" t="n">
        <f aca="false">W_PH(AJ$2,$A150)</f>
        <v>586.825788061693</v>
      </c>
      <c r="AK150" s="0" t="n">
        <f aca="false">W_PH(AK$2,$A150)</f>
        <v>585.868162801909</v>
      </c>
      <c r="AL150" s="0" t="n">
        <f aca="false">W_PH(AL$2,$A150)</f>
        <v>585.023919274788</v>
      </c>
      <c r="AM150" s="0" t="n">
        <f aca="false">W_PH(AM$2,$A150)</f>
        <v>584.289719661921</v>
      </c>
      <c r="AN150" s="0" t="n">
        <f aca="false">W_PH(AN$2,$A150)</f>
        <v>583.663041906101</v>
      </c>
      <c r="AO150" s="0" t="n">
        <f aca="false">W_PH(AO$2,$A150)</f>
        <v>583.142021748874</v>
      </c>
      <c r="AP150" s="0" t="n">
        <f aca="false">W_PH(AP$2,$A150)</f>
        <v>582.725229326376</v>
      </c>
      <c r="AQ150" s="0" t="n">
        <f aca="false">W_PH(AQ$2,$A150)</f>
        <v>583.978230655793</v>
      </c>
      <c r="AR150" s="0" t="n">
        <f aca="false">W_PH(AR$2,$A150)</f>
        <v>585.362095387195</v>
      </c>
      <c r="AS150" s="0" t="n">
        <f aca="false">W_PH(AS$2,$A150)</f>
        <v>586.103600573758</v>
      </c>
    </row>
    <row r="151" customFormat="false" ht="13.8" hidden="false" customHeight="false" outlineLevel="0" collapsed="false">
      <c r="A151" s="0" t="n">
        <v>3110</v>
      </c>
      <c r="B151" s="0" t="n">
        <f aca="false">W_PH(B$2,$A151)</f>
        <v>594.345038315221</v>
      </c>
      <c r="C151" s="0" t="n">
        <f aca="false">W_PH(C$2,$A151)</f>
        <v>594.344882788799</v>
      </c>
      <c r="D151" s="0" t="n">
        <f aca="false">W_PH(D$2,$A151)</f>
        <v>594.344727264236</v>
      </c>
      <c r="E151" s="0" t="n">
        <f aca="false">W_PH(E$2,$A151)</f>
        <v>594.344571741534</v>
      </c>
      <c r="F151" s="0" t="n">
        <f aca="false">W_PH(F$2,$A151)</f>
        <v>594.344416220693</v>
      </c>
      <c r="G151" s="0" t="n">
        <f aca="false">W_PH(G$2,$A151)</f>
        <v>594.342861114594</v>
      </c>
      <c r="H151" s="0" t="n">
        <f aca="false">W_PH(H$2,$A151)</f>
        <v>594.341306194498</v>
      </c>
      <c r="I151" s="0" t="n">
        <f aca="false">W_PH(I$2,$A151)</f>
        <v>594.339751460366</v>
      </c>
      <c r="J151" s="0" t="n">
        <f aca="false">W_PH(J$2,$A151)</f>
        <v>594.338196912163</v>
      </c>
      <c r="K151" s="0" t="n">
        <f aca="false">W_PH(K$2,$A151)</f>
        <v>594.336642549853</v>
      </c>
      <c r="L151" s="0" t="n">
        <f aca="false">W_PH(L$2,$A151)</f>
        <v>594.3350883734</v>
      </c>
      <c r="M151" s="0" t="n">
        <f aca="false">W_PH(M$2,$A151)</f>
        <v>594.333534382765</v>
      </c>
      <c r="N151" s="0" t="n">
        <f aca="false">W_PH(N$2,$A151)</f>
        <v>594.331980577915</v>
      </c>
      <c r="O151" s="0" t="n">
        <f aca="false">W_PH(O$2,$A151)</f>
        <v>594.330426958812</v>
      </c>
      <c r="P151" s="0" t="n">
        <f aca="false">W_PH(P$2,$A151)</f>
        <v>594.314900975892</v>
      </c>
      <c r="Q151" s="0" t="n">
        <f aca="false">W_PH(Q$2,$A151)</f>
        <v>594.299393527817</v>
      </c>
      <c r="R151" s="0" t="n">
        <f aca="false">W_PH(R$2,$A151)</f>
        <v>594.283904578439</v>
      </c>
      <c r="S151" s="0" t="n">
        <f aca="false">W_PH(S$2,$A151)</f>
        <v>594.268434091717</v>
      </c>
      <c r="T151" s="0" t="n">
        <f aca="false">W_PH(T$2,$A151)</f>
        <v>594.252982031716</v>
      </c>
      <c r="U151" s="0" t="n">
        <f aca="false">W_PH(U$2,$A151)</f>
        <v>594.237548362604</v>
      </c>
      <c r="V151" s="0" t="n">
        <f aca="false">W_PH(V$2,$A151)</f>
        <v>594.222133048655</v>
      </c>
      <c r="W151" s="0" t="n">
        <f aca="false">W_PH(W$2,$A151)</f>
        <v>594.206736054247</v>
      </c>
      <c r="X151" s="0" t="n">
        <f aca="false">W_PH(X$2,$A151)</f>
        <v>594.191357343862</v>
      </c>
      <c r="Y151" s="0" t="n">
        <f aca="false">W_PH(Y$2,$A151)</f>
        <v>594.038568120317</v>
      </c>
      <c r="Z151" s="0" t="n">
        <f aca="false">W_PH(Z$2,$A151)</f>
        <v>593.887568982053</v>
      </c>
      <c r="AA151" s="0" t="n">
        <f aca="false">W_PH(AA$2,$A151)</f>
        <v>593.738326062128</v>
      </c>
      <c r="AB151" s="0" t="n">
        <f aca="false">W_PH(AB$2,$A151)</f>
        <v>593.590806462825</v>
      </c>
      <c r="AC151" s="0" t="n">
        <f aca="false">W_PH(AC$2,$A151)</f>
        <v>593.444978242422</v>
      </c>
      <c r="AD151" s="0" t="n">
        <f aca="false">W_PH(AD$2,$A151)</f>
        <v>593.300810411508</v>
      </c>
      <c r="AE151" s="0" t="n">
        <f aca="false">W_PH(AE$2,$A151)</f>
        <v>593.158272937664</v>
      </c>
      <c r="AF151" s="0" t="n">
        <f aca="false">W_PH(AF$2,$A151)</f>
        <v>593.017336757305</v>
      </c>
      <c r="AG151" s="0" t="n">
        <f aca="false">W_PH(AG$2,$A151)</f>
        <v>592.87797379353</v>
      </c>
      <c r="AH151" s="0" t="n">
        <f aca="false">W_PH(AH$2,$A151)</f>
        <v>591.565451956305</v>
      </c>
      <c r="AI151" s="0" t="n">
        <f aca="false">W_PH(AI$2,$A151)</f>
        <v>590.387641450686</v>
      </c>
      <c r="AJ151" s="0" t="n">
        <f aca="false">W_PH(AJ$2,$A151)</f>
        <v>589.334081696515</v>
      </c>
      <c r="AK151" s="0" t="n">
        <f aca="false">W_PH(AK$2,$A151)</f>
        <v>588.396243807448</v>
      </c>
      <c r="AL151" s="0" t="n">
        <f aca="false">W_PH(AL$2,$A151)</f>
        <v>587.568020554459</v>
      </c>
      <c r="AM151" s="0" t="n">
        <f aca="false">W_PH(AM$2,$A151)</f>
        <v>586.846646983667</v>
      </c>
      <c r="AN151" s="0" t="n">
        <f aca="false">W_PH(AN$2,$A151)</f>
        <v>586.230012512644</v>
      </c>
      <c r="AO151" s="0" t="n">
        <f aca="false">W_PH(AO$2,$A151)</f>
        <v>585.716533118454</v>
      </c>
      <c r="AP151" s="0" t="n">
        <f aca="false">W_PH(AP$2,$A151)</f>
        <v>585.304967735549</v>
      </c>
      <c r="AQ151" s="0" t="n">
        <f aca="false">W_PH(AQ$2,$A151)</f>
        <v>586.508840724554</v>
      </c>
      <c r="AR151" s="0" t="n">
        <f aca="false">W_PH(AR$2,$A151)</f>
        <v>587.865955894184</v>
      </c>
      <c r="AS151" s="0" t="n">
        <f aca="false">W_PH(AS$2,$A151)</f>
        <v>588.594045721774</v>
      </c>
    </row>
    <row r="152" customFormat="false" ht="13.8" hidden="false" customHeight="false" outlineLevel="0" collapsed="false">
      <c r="A152" s="0" t="n">
        <v>3120</v>
      </c>
      <c r="B152" s="0" t="n">
        <f aca="false">W_PH(B$2,$A152)</f>
        <v>596.708055551637</v>
      </c>
      <c r="C152" s="0" t="n">
        <f aca="false">W_PH(C$2,$A152)</f>
        <v>596.707904781173</v>
      </c>
      <c r="D152" s="0" t="n">
        <f aca="false">W_PH(D$2,$A152)</f>
        <v>596.707754012463</v>
      </c>
      <c r="E152" s="0" t="n">
        <f aca="false">W_PH(E$2,$A152)</f>
        <v>596.707603245506</v>
      </c>
      <c r="F152" s="0" t="n">
        <f aca="false">W_PH(F$2,$A152)</f>
        <v>596.707452480304</v>
      </c>
      <c r="G152" s="0" t="n">
        <f aca="false">W_PH(G$2,$A152)</f>
        <v>596.70594492474</v>
      </c>
      <c r="H152" s="0" t="n">
        <f aca="false">W_PH(H$2,$A152)</f>
        <v>596.704437544532</v>
      </c>
      <c r="I152" s="0" t="n">
        <f aca="false">W_PH(I$2,$A152)</f>
        <v>596.702930339644</v>
      </c>
      <c r="J152" s="0" t="n">
        <f aca="false">W_PH(J$2,$A152)</f>
        <v>596.701423310044</v>
      </c>
      <c r="K152" s="0" t="n">
        <f aca="false">W_PH(K$2,$A152)</f>
        <v>596.699916455698</v>
      </c>
      <c r="L152" s="0" t="n">
        <f aca="false">W_PH(L$2,$A152)</f>
        <v>596.698409776572</v>
      </c>
      <c r="M152" s="0" t="n">
        <f aca="false">W_PH(M$2,$A152)</f>
        <v>596.696903272631</v>
      </c>
      <c r="N152" s="0" t="n">
        <f aca="false">W_PH(N$2,$A152)</f>
        <v>596.695396943843</v>
      </c>
      <c r="O152" s="0" t="n">
        <f aca="false">W_PH(O$2,$A152)</f>
        <v>596.693890790173</v>
      </c>
      <c r="P152" s="0" t="n">
        <f aca="false">W_PH(P$2,$A152)</f>
        <v>596.678838877564</v>
      </c>
      <c r="Q152" s="0" t="n">
        <f aca="false">W_PH(Q$2,$A152)</f>
        <v>596.663804439712</v>
      </c>
      <c r="R152" s="0" t="n">
        <f aca="false">W_PH(R$2,$A152)</f>
        <v>596.648787443004</v>
      </c>
      <c r="S152" s="0" t="n">
        <f aca="false">W_PH(S$2,$A152)</f>
        <v>596.633787853932</v>
      </c>
      <c r="T152" s="0" t="n">
        <f aca="false">W_PH(T$2,$A152)</f>
        <v>596.618805639091</v>
      </c>
      <c r="U152" s="0" t="n">
        <f aca="false">W_PH(U$2,$A152)</f>
        <v>596.60384076518</v>
      </c>
      <c r="V152" s="0" t="n">
        <f aca="false">W_PH(V$2,$A152)</f>
        <v>596.588893199002</v>
      </c>
      <c r="W152" s="0" t="n">
        <f aca="false">W_PH(W$2,$A152)</f>
        <v>596.573962907461</v>
      </c>
      <c r="X152" s="0" t="n">
        <f aca="false">W_PH(X$2,$A152)</f>
        <v>596.559049857564</v>
      </c>
      <c r="Y152" s="0" t="n">
        <f aca="false">W_PH(Y$2,$A152)</f>
        <v>596.410860462929</v>
      </c>
      <c r="Z152" s="0" t="n">
        <f aca="false">W_PH(Z$2,$A152)</f>
        <v>596.264359684948</v>
      </c>
      <c r="AA152" s="0" t="n">
        <f aca="false">W_PH(AA$2,$A152)</f>
        <v>596.11951616182</v>
      </c>
      <c r="AB152" s="0" t="n">
        <f aca="false">W_PH(AB$2,$A152)</f>
        <v>595.976299487087</v>
      </c>
      <c r="AC152" s="0" t="n">
        <f aca="false">W_PH(AC$2,$A152)</f>
        <v>595.8346801934</v>
      </c>
      <c r="AD152" s="0" t="n">
        <f aca="false">W_PH(AD$2,$A152)</f>
        <v>595.694629744344</v>
      </c>
      <c r="AE152" s="0" t="n">
        <f aca="false">W_PH(AE$2,$A152)</f>
        <v>595.556120533336</v>
      </c>
      <c r="AF152" s="0" t="n">
        <f aca="false">W_PH(AF$2,$A152)</f>
        <v>595.419125888618</v>
      </c>
      <c r="AG152" s="0" t="n">
        <f aca="false">W_PH(AG$2,$A152)</f>
        <v>595.283620083409</v>
      </c>
      <c r="AH152" s="0" t="n">
        <f aca="false">W_PH(AH$2,$A152)</f>
        <v>594.005499166325</v>
      </c>
      <c r="AI152" s="0" t="n">
        <f aca="false">W_PH(AI$2,$A152)</f>
        <v>592.855630311982</v>
      </c>
      <c r="AJ152" s="0" t="n">
        <f aca="false">W_PH(AJ$2,$A152)</f>
        <v>591.824587186911</v>
      </c>
      <c r="AK152" s="0" t="n">
        <f aca="false">W_PH(AK$2,$A152)</f>
        <v>590.906469631673</v>
      </c>
      <c r="AL152" s="0" t="n">
        <f aca="false">W_PH(AL$2,$A152)</f>
        <v>590.094331937564</v>
      </c>
      <c r="AM152" s="0" t="n">
        <f aca="false">W_PH(AM$2,$A152)</f>
        <v>589.38592346869</v>
      </c>
      <c r="AN152" s="0" t="n">
        <f aca="false">W_PH(AN$2,$A152)</f>
        <v>588.779516126434</v>
      </c>
      <c r="AO152" s="0" t="n">
        <f aca="false">W_PH(AO$2,$A152)</f>
        <v>588.273796919691</v>
      </c>
      <c r="AP152" s="0" t="n">
        <f aca="false">W_PH(AP$2,$A152)</f>
        <v>587.867715380563</v>
      </c>
      <c r="AQ152" s="0" t="n">
        <f aca="false">W_PH(AQ$2,$A152)</f>
        <v>589.027426242076</v>
      </c>
      <c r="AR152" s="0" t="n">
        <f aca="false">W_PH(AR$2,$A152)</f>
        <v>590.359067598859</v>
      </c>
      <c r="AS152" s="0" t="n">
        <f aca="false">W_PH(AS$2,$A152)</f>
        <v>591.074323861414</v>
      </c>
    </row>
    <row r="153" customFormat="false" ht="13.8" hidden="false" customHeight="false" outlineLevel="0" collapsed="false">
      <c r="A153" s="0" t="n">
        <v>3130</v>
      </c>
      <c r="B153" s="0" t="n">
        <f aca="false">W_PH(B$2,$A153)</f>
        <v>599.055921096272</v>
      </c>
      <c r="C153" s="0" t="n">
        <f aca="false">W_PH(C$2,$A153)</f>
        <v>599.055774906804</v>
      </c>
      <c r="D153" s="0" t="n">
        <f aca="false">W_PH(D$2,$A153)</f>
        <v>599.055628718994</v>
      </c>
      <c r="E153" s="0" t="n">
        <f aca="false">W_PH(E$2,$A153)</f>
        <v>599.05548253284</v>
      </c>
      <c r="F153" s="0" t="n">
        <f aca="false">W_PH(F$2,$A153)</f>
        <v>599.055336348344</v>
      </c>
      <c r="G153" s="0" t="n">
        <f aca="false">W_PH(G$2,$A153)</f>
        <v>599.053874594493</v>
      </c>
      <c r="H153" s="0" t="n">
        <f aca="false">W_PH(H$2,$A153)</f>
        <v>599.052413006288</v>
      </c>
      <c r="I153" s="0" t="n">
        <f aca="false">W_PH(I$2,$A153)</f>
        <v>599.050951583696</v>
      </c>
      <c r="J153" s="0" t="n">
        <f aca="false">W_PH(J$2,$A153)</f>
        <v>599.049490326686</v>
      </c>
      <c r="K153" s="0" t="n">
        <f aca="false">W_PH(K$2,$A153)</f>
        <v>599.048029235227</v>
      </c>
      <c r="L153" s="0" t="n">
        <f aca="false">W_PH(L$2,$A153)</f>
        <v>599.046568309287</v>
      </c>
      <c r="M153" s="0" t="n">
        <f aca="false">W_PH(M$2,$A153)</f>
        <v>599.045107548834</v>
      </c>
      <c r="N153" s="0" t="n">
        <f aca="false">W_PH(N$2,$A153)</f>
        <v>599.043646953837</v>
      </c>
      <c r="O153" s="0" t="n">
        <f aca="false">W_PH(O$2,$A153)</f>
        <v>599.042186524264</v>
      </c>
      <c r="P153" s="0" t="n">
        <f aca="false">W_PH(P$2,$A153)</f>
        <v>599.02759131994</v>
      </c>
      <c r="Q153" s="0" t="n">
        <f aca="false">W_PH(Q$2,$A153)</f>
        <v>599.013012623436</v>
      </c>
      <c r="R153" s="0" t="n">
        <f aca="false">W_PH(R$2,$A153)</f>
        <v>598.99845040339</v>
      </c>
      <c r="S153" s="0" t="n">
        <f aca="false">W_PH(S$2,$A153)</f>
        <v>598.983904628543</v>
      </c>
      <c r="T153" s="0" t="n">
        <f aca="false">W_PH(T$2,$A153)</f>
        <v>598.969375267738</v>
      </c>
      <c r="U153" s="0" t="n">
        <f aca="false">W_PH(U$2,$A153)</f>
        <v>598.954862289918</v>
      </c>
      <c r="V153" s="0" t="n">
        <f aca="false">W_PH(V$2,$A153)</f>
        <v>598.940365664128</v>
      </c>
      <c r="W153" s="0" t="n">
        <f aca="false">W_PH(W$2,$A153)</f>
        <v>598.925885359513</v>
      </c>
      <c r="X153" s="0" t="n">
        <f aca="false">W_PH(X$2,$A153)</f>
        <v>598.91142134532</v>
      </c>
      <c r="Y153" s="0" t="n">
        <f aca="false">W_PH(Y$2,$A153)</f>
        <v>598.767670481326</v>
      </c>
      <c r="Z153" s="0" t="n">
        <f aca="false">W_PH(Z$2,$A153)</f>
        <v>598.6255155584</v>
      </c>
      <c r="AA153" s="0" t="n">
        <f aca="false">W_PH(AA$2,$A153)</f>
        <v>598.484927419387</v>
      </c>
      <c r="AB153" s="0" t="n">
        <f aca="false">W_PH(AB$2,$A153)</f>
        <v>598.345877841604</v>
      </c>
      <c r="AC153" s="0" t="n">
        <f aca="false">W_PH(AC$2,$A153)</f>
        <v>598.208339518573</v>
      </c>
      <c r="AD153" s="0" t="n">
        <f aca="false">W_PH(AD$2,$A153)</f>
        <v>598.072286048548</v>
      </c>
      <c r="AE153" s="0" t="n">
        <f aca="false">W_PH(AE$2,$A153)</f>
        <v>597.937691929029</v>
      </c>
      <c r="AF153" s="0" t="n">
        <f aca="false">W_PH(AF$2,$A153)</f>
        <v>597.804532556487</v>
      </c>
      <c r="AG153" s="0" t="n">
        <f aca="false">W_PH(AG$2,$A153)</f>
        <v>597.672784230509</v>
      </c>
      <c r="AH153" s="0" t="n">
        <f aca="false">W_PH(AH$2,$A153)</f>
        <v>596.428361815274</v>
      </c>
      <c r="AI153" s="0" t="n">
        <f aca="false">W_PH(AI$2,$A153)</f>
        <v>595.30609430736</v>
      </c>
      <c r="AJ153" s="0" t="n">
        <f aca="false">W_PH(AJ$2,$A153)</f>
        <v>594.297477258301</v>
      </c>
      <c r="AK153" s="0" t="n">
        <f aca="false">W_PH(AK$2,$A153)</f>
        <v>593.398984666892</v>
      </c>
      <c r="AL153" s="0" t="n">
        <f aca="false">W_PH(AL$2,$A153)</f>
        <v>592.602975072589</v>
      </c>
      <c r="AM153" s="0" t="n">
        <f aca="false">W_PH(AM$2,$A153)</f>
        <v>591.907657002257</v>
      </c>
      <c r="AN153" s="0" t="n">
        <f aca="false">W_PH(AN$2,$A153)</f>
        <v>591.3116550664</v>
      </c>
      <c r="AO153" s="0" t="n">
        <f aca="false">W_PH(AO$2,$A153)</f>
        <v>590.813915312775</v>
      </c>
      <c r="AP153" s="0" t="n">
        <f aca="false">W_PH(AP$2,$A153)</f>
        <v>590.413576359067</v>
      </c>
      <c r="AQ153" s="0" t="n">
        <f aca="false">W_PH(AQ$2,$A153)</f>
        <v>591.533967521629</v>
      </c>
      <c r="AR153" s="0" t="n">
        <f aca="false">W_PH(AR$2,$A153)</f>
        <v>592.84136565387</v>
      </c>
      <c r="AS153" s="0" t="n">
        <f aca="false">W_PH(AS$2,$A153)</f>
        <v>593.544341066752</v>
      </c>
    </row>
    <row r="154" customFormat="false" ht="13.8" hidden="false" customHeight="false" outlineLevel="0" collapsed="false">
      <c r="A154" s="0" t="n">
        <v>3140</v>
      </c>
      <c r="B154" s="0" t="n">
        <f aca="false">W_PH(B$2,$A154)</f>
        <v>601.388836378312</v>
      </c>
      <c r="C154" s="0" t="n">
        <f aca="false">W_PH(C$2,$A154)</f>
        <v>601.388694603472</v>
      </c>
      <c r="D154" s="0" t="n">
        <f aca="false">W_PH(D$2,$A154)</f>
        <v>601.388552830199</v>
      </c>
      <c r="E154" s="0" t="n">
        <f aca="false">W_PH(E$2,$A154)</f>
        <v>601.388411058494</v>
      </c>
      <c r="F154" s="0" t="n">
        <f aca="false">W_PH(F$2,$A154)</f>
        <v>601.388269288357</v>
      </c>
      <c r="G154" s="0" t="n">
        <f aca="false">W_PH(G$2,$A154)</f>
        <v>601.386851673218</v>
      </c>
      <c r="H154" s="0" t="n">
        <f aca="false">W_PH(H$2,$A154)</f>
        <v>601.385434214838</v>
      </c>
      <c r="I154" s="0" t="n">
        <f aca="false">W_PH(I$2,$A154)</f>
        <v>601.38401691319</v>
      </c>
      <c r="J154" s="0" t="n">
        <f aca="false">W_PH(J$2,$A154)</f>
        <v>601.382599768243</v>
      </c>
      <c r="K154" s="0" t="n">
        <f aca="false">W_PH(K$2,$A154)</f>
        <v>601.381182779967</v>
      </c>
      <c r="L154" s="0" t="n">
        <f aca="false">W_PH(L$2,$A154)</f>
        <v>601.379765948334</v>
      </c>
      <c r="M154" s="0" t="n">
        <f aca="false">W_PH(M$2,$A154)</f>
        <v>601.378349273313</v>
      </c>
      <c r="N154" s="0" t="n">
        <f aca="false">W_PH(N$2,$A154)</f>
        <v>601.376932754875</v>
      </c>
      <c r="O154" s="0" t="n">
        <f aca="false">W_PH(O$2,$A154)</f>
        <v>601.375516392991</v>
      </c>
      <c r="P154" s="0" t="n">
        <f aca="false">W_PH(P$2,$A154)</f>
        <v>601.361361378114</v>
      </c>
      <c r="Q154" s="0" t="n">
        <f aca="false">W_PH(Q$2,$A154)</f>
        <v>601.347221986214</v>
      </c>
      <c r="R154" s="0" t="n">
        <f aca="false">W_PH(R$2,$A154)</f>
        <v>601.333098187954</v>
      </c>
      <c r="S154" s="0" t="n">
        <f aca="false">W_PH(S$2,$A154)</f>
        <v>601.318989954092</v>
      </c>
      <c r="T154" s="0" t="n">
        <f aca="false">W_PH(T$2,$A154)</f>
        <v>601.304897255487</v>
      </c>
      <c r="U154" s="0" t="n">
        <f aca="false">W_PH(U$2,$A154)</f>
        <v>601.290820063095</v>
      </c>
      <c r="V154" s="0" t="n">
        <f aca="false">W_PH(V$2,$A154)</f>
        <v>601.276758347972</v>
      </c>
      <c r="W154" s="0" t="n">
        <f aca="false">W_PH(W$2,$A154)</f>
        <v>601.262712081271</v>
      </c>
      <c r="X154" s="0" t="n">
        <f aca="false">W_PH(X$2,$A154)</f>
        <v>601.24868123424</v>
      </c>
      <c r="Y154" s="0" t="n">
        <f aca="false">W_PH(Y$2,$A154)</f>
        <v>601.109214589653</v>
      </c>
      <c r="Z154" s="0" t="n">
        <f aca="false">W_PH(Z$2,$A154)</f>
        <v>600.971258995816</v>
      </c>
      <c r="AA154" s="0" t="n">
        <f aca="false">W_PH(AA$2,$A154)</f>
        <v>600.834787255613</v>
      </c>
      <c r="AB154" s="0" t="n">
        <f aca="false">W_PH(AB$2,$A154)</f>
        <v>600.699773079588</v>
      </c>
      <c r="AC154" s="0" t="n">
        <f aca="false">W_PH(AC$2,$A154)</f>
        <v>600.566191066406</v>
      </c>
      <c r="AD154" s="0" t="n">
        <f aca="false">W_PH(AD$2,$A154)</f>
        <v>600.43401668905</v>
      </c>
      <c r="AE154" s="0" t="n">
        <f aca="false">W_PH(AE$2,$A154)</f>
        <v>600.303226286106</v>
      </c>
      <c r="AF154" s="0" t="n">
        <f aca="false">W_PH(AF$2,$A154)</f>
        <v>600.173797057486</v>
      </c>
      <c r="AG154" s="0" t="n">
        <f aca="false">W_PH(AG$2,$A154)</f>
        <v>600.045707063972</v>
      </c>
      <c r="AH154" s="0" t="n">
        <f aca="false">W_PH(AH$2,$A154)</f>
        <v>598.834265000169</v>
      </c>
      <c r="AI154" s="0" t="n">
        <f aca="false">W_PH(AI$2,$A154)</f>
        <v>597.739234561705</v>
      </c>
      <c r="AJ154" s="0" t="n">
        <f aca="false">W_PH(AJ$2,$A154)</f>
        <v>596.752933396359</v>
      </c>
      <c r="AK154" s="0" t="n">
        <f aca="false">W_PH(AK$2,$A154)</f>
        <v>595.873945305047</v>
      </c>
      <c r="AL154" s="0" t="n">
        <f aca="false">W_PH(AL$2,$A154)</f>
        <v>595.094084545568</v>
      </c>
      <c r="AM154" s="0" t="n">
        <f aca="false">W_PH(AM$2,$A154)</f>
        <v>594.411967426998</v>
      </c>
      <c r="AN154" s="0" t="n">
        <f aca="false">W_PH(AN$2,$A154)</f>
        <v>593.826541429858</v>
      </c>
      <c r="AO154" s="0" t="n">
        <f aca="false">W_PH(AO$2,$A154)</f>
        <v>593.336997579605</v>
      </c>
      <c r="AP154" s="0" t="n">
        <f aca="false">W_PH(AP$2,$A154)</f>
        <v>592.942659318797</v>
      </c>
      <c r="AQ154" s="0" t="n">
        <f aca="false">W_PH(AQ$2,$A154)</f>
        <v>594.02843865404</v>
      </c>
      <c r="AR154" s="0" t="n">
        <f aca="false">W_PH(AR$2,$A154)</f>
        <v>595.312781814634</v>
      </c>
      <c r="AS154" s="0" t="n">
        <f aca="false">W_PH(AS$2,$A154)</f>
        <v>596.004006018022</v>
      </c>
    </row>
    <row r="155" customFormat="false" ht="13.8" hidden="false" customHeight="false" outlineLevel="0" collapsed="false">
      <c r="A155" s="0" t="n">
        <v>3150</v>
      </c>
      <c r="B155" s="0" t="n">
        <f aca="false">W_PH(B$2,$A155)</f>
        <v>603.706998547215</v>
      </c>
      <c r="C155" s="0" t="n">
        <f aca="false">W_PH(C$2,$A155)</f>
        <v>603.706861028825</v>
      </c>
      <c r="D155" s="0" t="n">
        <f aca="false">W_PH(D$2,$A155)</f>
        <v>603.706723511921</v>
      </c>
      <c r="E155" s="0" t="n">
        <f aca="false">W_PH(E$2,$A155)</f>
        <v>603.706585996503</v>
      </c>
      <c r="F155" s="0" t="n">
        <f aca="false">W_PH(F$2,$A155)</f>
        <v>603.706448482572</v>
      </c>
      <c r="G155" s="0" t="n">
        <f aca="false">W_PH(G$2,$A155)</f>
        <v>603.705073425</v>
      </c>
      <c r="H155" s="0" t="n">
        <f aca="false">W_PH(H$2,$A155)</f>
        <v>603.703698516033</v>
      </c>
      <c r="I155" s="0" t="n">
        <f aca="false">W_PH(I$2,$A155)</f>
        <v>603.702323755641</v>
      </c>
      <c r="J155" s="0" t="n">
        <f aca="false">W_PH(J$2,$A155)</f>
        <v>603.700949143798</v>
      </c>
      <c r="K155" s="0" t="n">
        <f aca="false">W_PH(K$2,$A155)</f>
        <v>603.699574680476</v>
      </c>
      <c r="L155" s="0" t="n">
        <f aca="false">W_PH(L$2,$A155)</f>
        <v>603.698200365647</v>
      </c>
      <c r="M155" s="0" t="n">
        <f aca="false">W_PH(M$2,$A155)</f>
        <v>603.696826199283</v>
      </c>
      <c r="N155" s="0" t="n">
        <f aca="false">W_PH(N$2,$A155)</f>
        <v>603.695452181357</v>
      </c>
      <c r="O155" s="0" t="n">
        <f aca="false">W_PH(O$2,$A155)</f>
        <v>603.694078311841</v>
      </c>
      <c r="P155" s="0" t="n">
        <f aca="false">W_PH(P$2,$A155)</f>
        <v>603.680347773157</v>
      </c>
      <c r="Q155" s="0" t="n">
        <f aca="false">W_PH(Q$2,$A155)</f>
        <v>603.666632045119</v>
      </c>
      <c r="R155" s="0" t="n">
        <f aca="false">W_PH(R$2,$A155)</f>
        <v>603.652931100223</v>
      </c>
      <c r="S155" s="0" t="n">
        <f aca="false">W_PH(S$2,$A155)</f>
        <v>603.639244911059</v>
      </c>
      <c r="T155" s="0" t="n">
        <f aca="false">W_PH(T$2,$A155)</f>
        <v>603.625573450311</v>
      </c>
      <c r="U155" s="0" t="n">
        <f aca="false">W_PH(U$2,$A155)</f>
        <v>603.611916690762</v>
      </c>
      <c r="V155" s="0" t="n">
        <f aca="false">W_PH(V$2,$A155)</f>
        <v>603.598274605285</v>
      </c>
      <c r="W155" s="0" t="n">
        <f aca="false">W_PH(W$2,$A155)</f>
        <v>603.584647166851</v>
      </c>
      <c r="X155" s="0" t="n">
        <f aca="false">W_PH(X$2,$A155)</f>
        <v>603.571034348523</v>
      </c>
      <c r="Y155" s="0" t="n">
        <f aca="false">W_PH(Y$2,$A155)</f>
        <v>603.435704411474</v>
      </c>
      <c r="Z155" s="0" t="n">
        <f aca="false">W_PH(Z$2,$A155)</f>
        <v>603.301807539193</v>
      </c>
      <c r="AA155" s="0" t="n">
        <f aca="false">W_PH(AA$2,$A155)</f>
        <v>603.16931829485</v>
      </c>
      <c r="AB155" s="0" t="n">
        <f aca="false">W_PH(AB$2,$A155)</f>
        <v>603.038212117613</v>
      </c>
      <c r="AC155" s="0" t="n">
        <f aca="false">W_PH(AC$2,$A155)</f>
        <v>602.908465302452</v>
      </c>
      <c r="AD155" s="0" t="n">
        <f aca="false">W_PH(AD$2,$A155)</f>
        <v>602.780054984773</v>
      </c>
      <c r="AE155" s="0" t="n">
        <f aca="false">W_PH(AE$2,$A155)</f>
        <v>602.6529591294</v>
      </c>
      <c r="AF155" s="0" t="n">
        <f aca="false">W_PH(AF$2,$A155)</f>
        <v>602.527156523344</v>
      </c>
      <c r="AG155" s="0" t="n">
        <f aca="false">W_PH(AG$2,$A155)</f>
        <v>602.402626771864</v>
      </c>
      <c r="AH155" s="0" t="n">
        <f aca="false">W_PH(AH$2,$A155)</f>
        <v>601.223437330828</v>
      </c>
      <c r="AI155" s="0" t="n">
        <f aca="false">W_PH(AI$2,$A155)</f>
        <v>600.15525942205</v>
      </c>
      <c r="AJ155" s="0" t="n">
        <f aca="false">W_PH(AJ$2,$A155)</f>
        <v>599.191144460739</v>
      </c>
      <c r="AK155" s="0" t="n">
        <f aca="false">W_PH(AK$2,$A155)</f>
        <v>598.331518463387</v>
      </c>
      <c r="AL155" s="0" t="n">
        <f aca="false">W_PH(AL$2,$A155)</f>
        <v>597.567806628425</v>
      </c>
      <c r="AM155" s="0" t="n">
        <f aca="false">W_PH(AM$2,$A155)</f>
        <v>596.898985654939</v>
      </c>
      <c r="AN155" s="0" t="n">
        <f aca="false">W_PH(AN$2,$A155)</f>
        <v>596.324296567388</v>
      </c>
      <c r="AO155" s="0" t="n">
        <f aca="false">W_PH(AO$2,$A155)</f>
        <v>595.843159873335</v>
      </c>
      <c r="AP155" s="0" t="n">
        <f aca="false">W_PH(AP$2,$A155)</f>
        <v>595.45507736009</v>
      </c>
      <c r="AQ155" s="0" t="n">
        <f aca="false">W_PH(AQ$2,$A155)</f>
        <v>596.510808498149</v>
      </c>
      <c r="AR155" s="0" t="n">
        <f aca="false">W_PH(AR$2,$A155)</f>
        <v>597.773243218241</v>
      </c>
      <c r="AS155" s="0" t="n">
        <f aca="false">W_PH(AS$2,$A155)</f>
        <v>598.453225984701</v>
      </c>
    </row>
    <row r="156" customFormat="false" ht="13.8" hidden="false" customHeight="false" outlineLevel="0" collapsed="false">
      <c r="A156" s="0" t="n">
        <v>3160</v>
      </c>
      <c r="B156" s="0" t="n">
        <f aca="false">W_PH(B$2,$A156)</f>
        <v>606.010600632824</v>
      </c>
      <c r="C156" s="0" t="n">
        <f aca="false">W_PH(C$2,$A156)</f>
        <v>606.010467220511</v>
      </c>
      <c r="D156" s="0" t="n">
        <f aca="false">W_PH(D$2,$A156)</f>
        <v>606.010333809609</v>
      </c>
      <c r="E156" s="0" t="n">
        <f aca="false">W_PH(E$2,$A156)</f>
        <v>606.010200400118</v>
      </c>
      <c r="F156" s="0" t="n">
        <f aca="false">W_PH(F$2,$A156)</f>
        <v>606.010066992039</v>
      </c>
      <c r="G156" s="0" t="n">
        <f aca="false">W_PH(G$2,$A156)</f>
        <v>606.008732988855</v>
      </c>
      <c r="H156" s="0" t="n">
        <f aca="false">W_PH(H$2,$A156)</f>
        <v>606.007399126763</v>
      </c>
      <c r="I156" s="0" t="n">
        <f aca="false">W_PH(I$2,$A156)</f>
        <v>606.006065405738</v>
      </c>
      <c r="J156" s="0" t="n">
        <f aca="false">W_PH(J$2,$A156)</f>
        <v>606.004731825753</v>
      </c>
      <c r="K156" s="0" t="n">
        <f aca="false">W_PH(K$2,$A156)</f>
        <v>606.003398386782</v>
      </c>
      <c r="L156" s="0" t="n">
        <f aca="false">W_PH(L$2,$A156)</f>
        <v>606.002065088799</v>
      </c>
      <c r="M156" s="0" t="n">
        <f aca="false">W_PH(M$2,$A156)</f>
        <v>606.000731931779</v>
      </c>
      <c r="N156" s="0" t="n">
        <f aca="false">W_PH(N$2,$A156)</f>
        <v>605.999398915695</v>
      </c>
      <c r="O156" s="0" t="n">
        <f aca="false">W_PH(O$2,$A156)</f>
        <v>605.99806604052</v>
      </c>
      <c r="P156" s="0" t="n">
        <f aca="false">W_PH(P$2,$A156)</f>
        <v>605.984745033133</v>
      </c>
      <c r="Q156" s="0" t="n">
        <f aca="false">W_PH(Q$2,$A156)</f>
        <v>605.97143808826</v>
      </c>
      <c r="R156" s="0" t="n">
        <f aca="false">W_PH(R$2,$A156)</f>
        <v>605.958145180076</v>
      </c>
      <c r="S156" s="0" t="n">
        <f aca="false">W_PH(S$2,$A156)</f>
        <v>605.944866282845</v>
      </c>
      <c r="T156" s="0" t="n">
        <f aca="false">W_PH(T$2,$A156)</f>
        <v>605.931601370926</v>
      </c>
      <c r="U156" s="0" t="n">
        <f aca="false">W_PH(U$2,$A156)</f>
        <v>605.918350418767</v>
      </c>
      <c r="V156" s="0" t="n">
        <f aca="false">W_PH(V$2,$A156)</f>
        <v>605.905113400907</v>
      </c>
      <c r="W156" s="0" t="n">
        <f aca="false">W_PH(W$2,$A156)</f>
        <v>605.891890291976</v>
      </c>
      <c r="X156" s="0" t="n">
        <f aca="false">W_PH(X$2,$A156)</f>
        <v>605.878681066693</v>
      </c>
      <c r="Y156" s="0" t="n">
        <f aca="false">W_PH(Y$2,$A156)</f>
        <v>605.74734691668</v>
      </c>
      <c r="Z156" s="0" t="n">
        <f aca="false">W_PH(Z$2,$A156)</f>
        <v>605.61737398031</v>
      </c>
      <c r="AA156" s="0" t="n">
        <f aca="false">W_PH(AA$2,$A156)</f>
        <v>605.488738417134</v>
      </c>
      <c r="AB156" s="0" t="n">
        <f aca="false">W_PH(AB$2,$A156)</f>
        <v>605.361417227282</v>
      </c>
      <c r="AC156" s="0" t="n">
        <f aca="false">W_PH(AC$2,$A156)</f>
        <v>605.235388231063</v>
      </c>
      <c r="AD156" s="0" t="n">
        <f aca="false">W_PH(AD$2,$A156)</f>
        <v>605.110630052677</v>
      </c>
      <c r="AE156" s="0" t="n">
        <f aca="false">W_PH(AE$2,$A156)</f>
        <v>604.987122107606</v>
      </c>
      <c r="AF156" s="0" t="n">
        <f aca="false">W_PH(AF$2,$A156)</f>
        <v>604.864844593279</v>
      </c>
      <c r="AG156" s="0" t="n">
        <f aca="false">W_PH(AG$2,$A156)</f>
        <v>604.743778482573</v>
      </c>
      <c r="AH156" s="0" t="n">
        <f aca="false">W_PH(AH$2,$A156)</f>
        <v>603.596109692284</v>
      </c>
      <c r="AI156" s="0" t="n">
        <f aca="false">W_PH(AI$2,$A156)</f>
        <v>602.554382871379</v>
      </c>
      <c r="AJ156" s="0" t="n">
        <f aca="false">W_PH(AJ$2,$A156)</f>
        <v>601.612305400362</v>
      </c>
      <c r="AK156" s="0" t="n">
        <f aca="false">W_PH(AK$2,$A156)</f>
        <v>600.771880155187</v>
      </c>
      <c r="AL156" s="0" t="n">
        <f aca="false">W_PH(AL$2,$A156)</f>
        <v>600.02429800701</v>
      </c>
      <c r="AM156" s="0" t="n">
        <f aca="false">W_PH(AM$2,$A156)</f>
        <v>599.368852716373</v>
      </c>
      <c r="AN156" s="0" t="n">
        <f aca="false">W_PH(AN$2,$A156)</f>
        <v>598.805050487333</v>
      </c>
      <c r="AO156" s="0" t="n">
        <f aca="false">W_PH(AO$2,$A156)</f>
        <v>598.332524925051</v>
      </c>
      <c r="AP156" s="0" t="n">
        <f aca="false">W_PH(AP$2,$A156)</f>
        <v>597.950947948111</v>
      </c>
      <c r="AQ156" s="0" t="n">
        <f aca="false">W_PH(AQ$2,$A156)</f>
        <v>598.98104194227</v>
      </c>
      <c r="AR156" s="0" t="n">
        <f aca="false">W_PH(AR$2,$A156)</f>
        <v>600.222672509096</v>
      </c>
      <c r="AS156" s="0" t="n">
        <f aca="false">W_PH(AS$2,$A156)</f>
        <v>600.891905190447</v>
      </c>
    </row>
    <row r="157" customFormat="false" ht="13.8" hidden="false" customHeight="false" outlineLevel="0" collapsed="false">
      <c r="A157" s="0" t="n">
        <v>3170</v>
      </c>
      <c r="B157" s="0" t="n">
        <f aca="false">W_PH(B$2,$A157)</f>
        <v>608.299831698056</v>
      </c>
      <c r="C157" s="0" t="n">
        <f aca="false">W_PH(C$2,$A157)</f>
        <v>608.299702248868</v>
      </c>
      <c r="D157" s="0" t="n">
        <f aca="false">W_PH(D$2,$A157)</f>
        <v>608.299572801022</v>
      </c>
      <c r="E157" s="0" t="n">
        <f aca="false">W_PH(E$2,$A157)</f>
        <v>608.299443354518</v>
      </c>
      <c r="F157" s="0" t="n">
        <f aca="false">W_PH(F$2,$A157)</f>
        <v>608.299313909356</v>
      </c>
      <c r="G157" s="0" t="n">
        <f aca="false">W_PH(G$2,$A157)</f>
        <v>608.298019531526</v>
      </c>
      <c r="H157" s="0" t="n">
        <f aca="false">W_PH(H$2,$A157)</f>
        <v>608.296725287848</v>
      </c>
      <c r="I157" s="0" t="n">
        <f aca="false">W_PH(I$2,$A157)</f>
        <v>608.295431178299</v>
      </c>
      <c r="J157" s="0" t="n">
        <f aca="false">W_PH(J$2,$A157)</f>
        <v>608.294137202854</v>
      </c>
      <c r="K157" s="0" t="n">
        <f aca="false">W_PH(K$2,$A157)</f>
        <v>608.292843361489</v>
      </c>
      <c r="L157" s="0" t="n">
        <f aca="false">W_PH(L$2,$A157)</f>
        <v>608.291549654178</v>
      </c>
      <c r="M157" s="0" t="n">
        <f aca="false">W_PH(M$2,$A157)</f>
        <v>608.290256080898</v>
      </c>
      <c r="N157" s="0" t="n">
        <f aca="false">W_PH(N$2,$A157)</f>
        <v>608.288962641624</v>
      </c>
      <c r="O157" s="0" t="n">
        <f aca="false">W_PH(O$2,$A157)</f>
        <v>608.287669336332</v>
      </c>
      <c r="P157" s="0" t="n">
        <f aca="false">W_PH(P$2,$A157)</f>
        <v>608.274743647039</v>
      </c>
      <c r="Q157" s="0" t="n">
        <f aca="false">W_PH(Q$2,$A157)</f>
        <v>608.261831329122</v>
      </c>
      <c r="R157" s="0" t="n">
        <f aca="false">W_PH(R$2,$A157)</f>
        <v>608.248932358305</v>
      </c>
      <c r="S157" s="0" t="n">
        <f aca="false">W_PH(S$2,$A157)</f>
        <v>608.236046710401</v>
      </c>
      <c r="T157" s="0" t="n">
        <f aca="false">W_PH(T$2,$A157)</f>
        <v>608.223174361309</v>
      </c>
      <c r="U157" s="0" t="n">
        <f aca="false">W_PH(U$2,$A157)</f>
        <v>608.210315287017</v>
      </c>
      <c r="V157" s="0" t="n">
        <f aca="false">W_PH(V$2,$A157)</f>
        <v>608.197469463598</v>
      </c>
      <c r="W157" s="0" t="n">
        <f aca="false">W_PH(W$2,$A157)</f>
        <v>608.184636867211</v>
      </c>
      <c r="X157" s="0" t="n">
        <f aca="false">W_PH(X$2,$A157)</f>
        <v>608.171817474102</v>
      </c>
      <c r="Y157" s="0" t="n">
        <f aca="false">W_PH(Y$2,$A157)</f>
        <v>608.044344558306</v>
      </c>
      <c r="Z157" s="0" t="n">
        <f aca="false">W_PH(Z$2,$A157)</f>
        <v>607.918166468048</v>
      </c>
      <c r="AA157" s="0" t="n">
        <f aca="false">W_PH(AA$2,$A157)</f>
        <v>607.7932608239</v>
      </c>
      <c r="AB157" s="0" t="n">
        <f aca="false">W_PH(AB$2,$A157)</f>
        <v>607.669606048851</v>
      </c>
      <c r="AC157" s="0" t="n">
        <f aca="false">W_PH(AC$2,$A157)</f>
        <v>607.547181348056</v>
      </c>
      <c r="AD157" s="0" t="n">
        <f aca="false">W_PH(AD$2,$A157)</f>
        <v>607.4259666921</v>
      </c>
      <c r="AE157" s="0" t="n">
        <f aca="false">W_PH(AE$2,$A157)</f>
        <v>607.305942803403</v>
      </c>
      <c r="AF157" s="0" t="n">
        <f aca="false">W_PH(AF$2,$A157)</f>
        <v>607.187091145429</v>
      </c>
      <c r="AG157" s="0" t="n">
        <f aca="false">W_PH(AG$2,$A157)</f>
        <v>607.069393914368</v>
      </c>
      <c r="AH157" s="0" t="n">
        <f aca="false">W_PH(AH$2,$A157)</f>
        <v>605.952514131991</v>
      </c>
      <c r="AI157" s="0" t="n">
        <f aca="false">W_PH(AI$2,$A157)</f>
        <v>604.936823097549</v>
      </c>
      <c r="AJ157" s="0" t="n">
        <f aca="false">W_PH(AJ$2,$A157)</f>
        <v>604.016616077242</v>
      </c>
      <c r="AK157" s="0" t="n">
        <f aca="false">W_PH(AK$2,$A157)</f>
        <v>603.195214129926</v>
      </c>
      <c r="AL157" s="0" t="n">
        <f aca="false">W_PH(AL$2,$A157)</f>
        <v>602.4637245226</v>
      </c>
      <c r="AM157" s="0" t="n">
        <f aca="false">W_PH(AM$2,$A157)</f>
        <v>601.821718777932</v>
      </c>
      <c r="AN157" s="0" t="n">
        <f aca="false">W_PH(AN$2,$A157)</f>
        <v>601.268941211783</v>
      </c>
      <c r="AO157" s="0" t="n">
        <f aca="false">W_PH(AO$2,$A157)</f>
        <v>600.805221713304</v>
      </c>
      <c r="AP157" s="0" t="n">
        <f aca="false">W_PH(AP$2,$A157)</f>
        <v>600.430392822734</v>
      </c>
      <c r="AQ157" s="0" t="n">
        <f aca="false">W_PH(AQ$2,$A157)</f>
        <v>601.439101301394</v>
      </c>
      <c r="AR157" s="0" t="n">
        <f aca="false">W_PH(AR$2,$A157)</f>
        <v>602.660988819206</v>
      </c>
      <c r="AS157" s="0" t="n">
        <f aca="false">W_PH(AS$2,$A157)</f>
        <v>603.319944764285</v>
      </c>
    </row>
    <row r="158" customFormat="false" ht="13.8" hidden="false" customHeight="false" outlineLevel="0" collapsed="false">
      <c r="A158" s="0" t="n">
        <v>3180</v>
      </c>
      <c r="B158" s="0" t="n">
        <f aca="false">W_PH(B$2,$A158)</f>
        <v>610.574876984456</v>
      </c>
      <c r="C158" s="0" t="n">
        <f aca="false">W_PH(C$2,$A158)</f>
        <v>610.574751362489</v>
      </c>
      <c r="D158" s="0" t="n">
        <f aca="false">W_PH(D$2,$A158)</f>
        <v>610.574625741799</v>
      </c>
      <c r="E158" s="0" t="n">
        <f aca="false">W_PH(E$2,$A158)</f>
        <v>610.574500122387</v>
      </c>
      <c r="F158" s="0" t="n">
        <f aca="false">W_PH(F$2,$A158)</f>
        <v>610.574374504253</v>
      </c>
      <c r="G158" s="0" t="n">
        <f aca="false">W_PH(G$2,$A158)</f>
        <v>610.573118393164</v>
      </c>
      <c r="H158" s="0" t="n">
        <f aca="false">W_PH(H$2,$A158)</f>
        <v>610.571862409799</v>
      </c>
      <c r="I158" s="0" t="n">
        <f aca="false">W_PH(I$2,$A158)</f>
        <v>610.570606554133</v>
      </c>
      <c r="J158" s="0" t="n">
        <f aca="false">W_PH(J$2,$A158)</f>
        <v>610.569350826144</v>
      </c>
      <c r="K158" s="0" t="n">
        <f aca="false">W_PH(K$2,$A158)</f>
        <v>610.568095225809</v>
      </c>
      <c r="L158" s="0" t="n">
        <f aca="false">W_PH(L$2,$A158)</f>
        <v>610.566839753104</v>
      </c>
      <c r="M158" s="0" t="n">
        <f aca="false">W_PH(M$2,$A158)</f>
        <v>610.565584408008</v>
      </c>
      <c r="N158" s="0" t="n">
        <f aca="false">W_PH(N$2,$A158)</f>
        <v>610.564329190496</v>
      </c>
      <c r="O158" s="0" t="n">
        <f aca="false">W_PH(O$2,$A158)</f>
        <v>610.563074100546</v>
      </c>
      <c r="P158" s="0" t="n">
        <f aca="false">W_PH(P$2,$A158)</f>
        <v>610.550530211904</v>
      </c>
      <c r="Q158" s="0" t="n">
        <f aca="false">W_PH(Q$2,$A158)</f>
        <v>610.537999054242</v>
      </c>
      <c r="R158" s="0" t="n">
        <f aca="false">W_PH(R$2,$A158)</f>
        <v>610.525480604731</v>
      </c>
      <c r="S158" s="0" t="n">
        <f aca="false">W_PH(S$2,$A158)</f>
        <v>610.512974840619</v>
      </c>
      <c r="T158" s="0" t="n">
        <f aca="false">W_PH(T$2,$A158)</f>
        <v>610.500481739242</v>
      </c>
      <c r="U158" s="0" t="n">
        <f aca="false">W_PH(U$2,$A158)</f>
        <v>610.488001278014</v>
      </c>
      <c r="V158" s="0" t="n">
        <f aca="false">W_PH(V$2,$A158)</f>
        <v>610.475533434436</v>
      </c>
      <c r="W158" s="0" t="n">
        <f aca="false">W_PH(W$2,$A158)</f>
        <v>610.463078186087</v>
      </c>
      <c r="X158" s="0" t="n">
        <f aca="false">W_PH(X$2,$A158)</f>
        <v>610.45063551063</v>
      </c>
      <c r="Y158" s="0" t="n">
        <f aca="false">W_PH(Y$2,$A158)</f>
        <v>610.32689540871</v>
      </c>
      <c r="Z158" s="0" t="n">
        <f aca="false">W_PH(Z$2,$A158)</f>
        <v>610.204388620735</v>
      </c>
      <c r="AA158" s="0" t="n">
        <f aca="false">W_PH(AA$2,$A158)</f>
        <v>610.08309411559</v>
      </c>
      <c r="AB158" s="0" t="n">
        <f aca="false">W_PH(AB$2,$A158)</f>
        <v>609.962991624562</v>
      </c>
      <c r="AC158" s="0" t="n">
        <f aca="false">W_PH(AC$2,$A158)</f>
        <v>609.84406162154</v>
      </c>
      <c r="AD158" s="0" t="n">
        <f aca="false">W_PH(AD$2,$A158)</f>
        <v>609.726285306194</v>
      </c>
      <c r="AE158" s="0" t="n">
        <f aca="false">W_PH(AE$2,$A158)</f>
        <v>609.60964458984</v>
      </c>
      <c r="AF158" s="0" t="n">
        <f aca="false">W_PH(AF$2,$A158)</f>
        <v>609.494122083734</v>
      </c>
      <c r="AG158" s="0" t="n">
        <f aca="false">W_PH(AG$2,$A158)</f>
        <v>609.379701089506</v>
      </c>
      <c r="AH158" s="0" t="n">
        <f aca="false">W_PH(AH$2,$A158)</f>
        <v>608.292882875483</v>
      </c>
      <c r="AI158" s="0" t="n">
        <f aca="false">W_PH(AI$2,$A158)</f>
        <v>607.302801222022</v>
      </c>
      <c r="AJ158" s="0" t="n">
        <f aca="false">W_PH(AJ$2,$A158)</f>
        <v>606.404280200491</v>
      </c>
      <c r="AK158" s="0" t="n">
        <f aca="false">W_PH(AK$2,$A158)</f>
        <v>605.601710598739</v>
      </c>
      <c r="AL158" s="0" t="n">
        <f aca="false">W_PH(AL$2,$A158)</f>
        <v>604.886259951678</v>
      </c>
      <c r="AM158" s="0" t="n">
        <f aca="false">W_PH(AM$2,$A158)</f>
        <v>604.257742155338</v>
      </c>
      <c r="AN158" s="0" t="n">
        <f aca="false">W_PH(AN$2,$A158)</f>
        <v>603.716114102317</v>
      </c>
      <c r="AO158" s="0" t="n">
        <f aca="false">W_PH(AO$2,$A158)</f>
        <v>603.26138510225</v>
      </c>
      <c r="AP158" s="0" t="n">
        <f aca="false">W_PH(AP$2,$A158)</f>
        <v>602.893537897019</v>
      </c>
      <c r="AQ158" s="0" t="n">
        <f aca="false">W_PH(AQ$2,$A158)</f>
        <v>603.884947751214</v>
      </c>
      <c r="AR158" s="0" t="n">
        <f aca="false">W_PH(AR$2,$A158)</f>
        <v>605.088109243115</v>
      </c>
      <c r="AS158" s="0" t="n">
        <f aca="false">W_PH(AS$2,$A158)</f>
        <v>605.737243690399</v>
      </c>
    </row>
    <row r="159" customFormat="false" ht="13.8" hidden="false" customHeight="false" outlineLevel="0" collapsed="false">
      <c r="A159" s="0" t="n">
        <v>3190</v>
      </c>
      <c r="B159" s="0" t="n">
        <f aca="false">W_PH(B$2,$A159)</f>
        <v>612.835918050872</v>
      </c>
      <c r="C159" s="0" t="n">
        <f aca="false">W_PH(C$2,$A159)</f>
        <v>612.835796126907</v>
      </c>
      <c r="D159" s="0" t="n">
        <f aca="false">W_PH(D$2,$A159)</f>
        <v>612.835674204159</v>
      </c>
      <c r="E159" s="0" t="n">
        <f aca="false">W_PH(E$2,$A159)</f>
        <v>612.835552282629</v>
      </c>
      <c r="F159" s="0" t="n">
        <f aca="false">W_PH(F$2,$A159)</f>
        <v>612.835430362316</v>
      </c>
      <c r="G159" s="0" t="n">
        <f aca="false">W_PH(G$2,$A159)</f>
        <v>612.834211226162</v>
      </c>
      <c r="H159" s="0" t="n">
        <f aca="false">W_PH(H$2,$A159)</f>
        <v>612.832992211755</v>
      </c>
      <c r="I159" s="0" t="n">
        <f aca="false">W_PH(I$2,$A159)</f>
        <v>612.831773319074</v>
      </c>
      <c r="J159" s="0" t="n">
        <f aca="false">W_PH(J$2,$A159)</f>
        <v>612.830554548098</v>
      </c>
      <c r="K159" s="0" t="n">
        <f aca="false">W_PH(K$2,$A159)</f>
        <v>612.829335898804</v>
      </c>
      <c r="L159" s="0" t="n">
        <f aca="false">W_PH(L$2,$A159)</f>
        <v>612.828117371172</v>
      </c>
      <c r="M159" s="0" t="n">
        <f aca="false">W_PH(M$2,$A159)</f>
        <v>612.826898965179</v>
      </c>
      <c r="N159" s="0" t="n">
        <f aca="false">W_PH(N$2,$A159)</f>
        <v>612.825680680804</v>
      </c>
      <c r="O159" s="0" t="n">
        <f aca="false">W_PH(O$2,$A159)</f>
        <v>612.824462518025</v>
      </c>
      <c r="P159" s="0" t="n">
        <f aca="false">W_PH(P$2,$A159)</f>
        <v>612.812287573282</v>
      </c>
      <c r="Q159" s="0" t="n">
        <f aca="false">W_PH(Q$2,$A159)</f>
        <v>612.800124764451</v>
      </c>
      <c r="R159" s="0" t="n">
        <f aca="false">W_PH(R$2,$A159)</f>
        <v>612.78797407005</v>
      </c>
      <c r="S159" s="0" t="n">
        <f aca="false">W_PH(S$2,$A159)</f>
        <v>612.775835468675</v>
      </c>
      <c r="T159" s="0" t="n">
        <f aca="false">W_PH(T$2,$A159)</f>
        <v>612.763708939003</v>
      </c>
      <c r="U159" s="0" t="n">
        <f aca="false">W_PH(U$2,$A159)</f>
        <v>612.751594459785</v>
      </c>
      <c r="V159" s="0" t="n">
        <f aca="false">W_PH(V$2,$A159)</f>
        <v>612.739492009853</v>
      </c>
      <c r="W159" s="0" t="n">
        <f aca="false">W_PH(W$2,$A159)</f>
        <v>612.727401568116</v>
      </c>
      <c r="X159" s="0" t="n">
        <f aca="false">W_PH(X$2,$A159)</f>
        <v>612.71532311356</v>
      </c>
      <c r="Y159" s="0" t="n">
        <f aca="false">W_PH(Y$2,$A159)</f>
        <v>612.595193294624</v>
      </c>
      <c r="Z159" s="0" t="n">
        <f aca="false">W_PH(Z$2,$A159)</f>
        <v>612.476239642474</v>
      </c>
      <c r="AA159" s="0" t="n">
        <f aca="false">W_PH(AA$2,$A159)</f>
        <v>612.358442379466</v>
      </c>
      <c r="AB159" s="0" t="n">
        <f aca="false">W_PH(AB$2,$A159)</f>
        <v>612.241782449327</v>
      </c>
      <c r="AC159" s="0" t="n">
        <f aca="false">W_PH(AC$2,$A159)</f>
        <v>612.126241497984</v>
      </c>
      <c r="AD159" s="0" t="n">
        <f aca="false">W_PH(AD$2,$A159)</f>
        <v>612.011801856944</v>
      </c>
      <c r="AE159" s="0" t="n">
        <f aca="false">W_PH(AE$2,$A159)</f>
        <v>611.898446528981</v>
      </c>
      <c r="AF159" s="0" t="n">
        <f aca="false">W_PH(AF$2,$A159)</f>
        <v>611.786159175913</v>
      </c>
      <c r="AG159" s="0" t="n">
        <f aca="false">W_PH(AG$2,$A159)</f>
        <v>611.674924108252</v>
      </c>
      <c r="AH159" s="0" t="n">
        <f aca="false">W_PH(AH$2,$A159)</f>
        <v>610.617447468946</v>
      </c>
      <c r="AI159" s="0" t="n">
        <f aca="false">W_PH(AI$2,$A159)</f>
        <v>609.652540185231</v>
      </c>
      <c r="AJ159" s="0" t="n">
        <f aca="false">W_PH(AJ$2,$A159)</f>
        <v>608.775504368485</v>
      </c>
      <c r="AK159" s="0" t="n">
        <f aca="false">W_PH(AK$2,$A159)</f>
        <v>607.991565054414</v>
      </c>
      <c r="AL159" s="0" t="n">
        <f aca="false">W_PH(AL$2,$A159)</f>
        <v>607.292084841633</v>
      </c>
      <c r="AM159" s="0" t="n">
        <f aca="false">W_PH(AM$2,$A159)</f>
        <v>606.677088340519</v>
      </c>
      <c r="AN159" s="0" t="n">
        <f aca="false">W_PH(AN$2,$A159)</f>
        <v>606.146721170731</v>
      </c>
      <c r="AO159" s="0" t="n">
        <f aca="false">W_PH(AO$2,$A159)</f>
        <v>605.701155454119</v>
      </c>
      <c r="AP159" s="0" t="n">
        <f aca="false">W_PH(AP$2,$A159)</f>
        <v>605.3405131379</v>
      </c>
      <c r="AQ159" s="0" t="n">
        <f aca="false">W_PH(AQ$2,$A159)</f>
        <v>606.318542727929</v>
      </c>
      <c r="AR159" s="0" t="n">
        <f aca="false">W_PH(AR$2,$A159)</f>
        <v>607.503950548707</v>
      </c>
      <c r="AS159" s="0" t="n">
        <f aca="false">W_PH(AS$2,$A159)</f>
        <v>608.143700328928</v>
      </c>
    </row>
    <row r="160" customFormat="false" ht="13.8" hidden="false" customHeight="false" outlineLevel="0" collapsed="false">
      <c r="A160" s="0" t="n">
        <v>3200</v>
      </c>
      <c r="B160" s="0" t="n">
        <f aca="false">W_PH(B$2,$A160)</f>
        <v>615.083132905556</v>
      </c>
      <c r="C160" s="0" t="n">
        <f aca="false">W_PH(C$2,$A160)</f>
        <v>615.083014556706</v>
      </c>
      <c r="D160" s="0" t="n">
        <f aca="false">W_PH(D$2,$A160)</f>
        <v>615.082896209019</v>
      </c>
      <c r="E160" s="0" t="n">
        <f aca="false">W_PH(E$2,$A160)</f>
        <v>615.082777862493</v>
      </c>
      <c r="F160" s="0" t="n">
        <f aca="false">W_PH(F$2,$A160)</f>
        <v>615.08265951713</v>
      </c>
      <c r="G160" s="0" t="n">
        <f aca="false">W_PH(G$2,$A160)</f>
        <v>615.0814761274</v>
      </c>
      <c r="H160" s="0" t="n">
        <f aca="false">W_PH(H$2,$A160)</f>
        <v>615.080292853852</v>
      </c>
      <c r="I160" s="0" t="n">
        <f aca="false">W_PH(I$2,$A160)</f>
        <v>615.079109696463</v>
      </c>
      <c r="J160" s="0" t="n">
        <f aca="false">W_PH(J$2,$A160)</f>
        <v>615.077926655213</v>
      </c>
      <c r="K160" s="0" t="n">
        <f aca="false">W_PH(K$2,$A160)</f>
        <v>615.076743730082</v>
      </c>
      <c r="L160" s="0" t="n">
        <f aca="false">W_PH(L$2,$A160)</f>
        <v>615.075560921051</v>
      </c>
      <c r="M160" s="0" t="n">
        <f aca="false">W_PH(M$2,$A160)</f>
        <v>615.074378228097</v>
      </c>
      <c r="N160" s="0" t="n">
        <f aca="false">W_PH(N$2,$A160)</f>
        <v>615.073195651202</v>
      </c>
      <c r="O160" s="0" t="n">
        <f aca="false">W_PH(O$2,$A160)</f>
        <v>615.072013190344</v>
      </c>
      <c r="P160" s="0" t="n">
        <f aca="false">W_PH(P$2,$A160)</f>
        <v>615.060194959372</v>
      </c>
      <c r="Q160" s="0" t="n">
        <f aca="false">W_PH(Q$2,$A160)</f>
        <v>615.048388309857</v>
      </c>
      <c r="R160" s="0" t="n">
        <f aca="false">W_PH(R$2,$A160)</f>
        <v>615.036593221588</v>
      </c>
      <c r="S160" s="0" t="n">
        <f aca="false">W_PH(S$2,$A160)</f>
        <v>615.024809674427</v>
      </c>
      <c r="T160" s="0" t="n">
        <f aca="false">W_PH(T$2,$A160)</f>
        <v>615.013037648312</v>
      </c>
      <c r="U160" s="0" t="n">
        <f aca="false">W_PH(U$2,$A160)</f>
        <v>615.001277123252</v>
      </c>
      <c r="V160" s="0" t="n">
        <f aca="false">W_PH(V$2,$A160)</f>
        <v>614.989528079331</v>
      </c>
      <c r="W160" s="0" t="n">
        <f aca="false">W_PH(W$2,$A160)</f>
        <v>614.977790496705</v>
      </c>
      <c r="X160" s="0" t="n">
        <f aca="false">W_PH(X$2,$A160)</f>
        <v>614.966064355605</v>
      </c>
      <c r="Y160" s="0" t="n">
        <f aca="false">W_PH(Y$2,$A160)</f>
        <v>614.849427930605</v>
      </c>
      <c r="Z160" s="0" t="n">
        <f aca="false">W_PH(Z$2,$A160)</f>
        <v>614.733914442369</v>
      </c>
      <c r="AA160" s="0" t="n">
        <f aca="false">W_PH(AA$2,$A160)</f>
        <v>614.619505285964</v>
      </c>
      <c r="AB160" s="0" t="n">
        <f aca="false">W_PH(AB$2,$A160)</f>
        <v>614.506182536449</v>
      </c>
      <c r="AC160" s="0" t="n">
        <f aca="false">W_PH(AC$2,$A160)</f>
        <v>614.393928930485</v>
      </c>
      <c r="AD160" s="0" t="n">
        <f aca="false">W_PH(AD$2,$A160)</f>
        <v>614.282727850116</v>
      </c>
      <c r="AE160" s="0" t="n">
        <f aca="false">W_PH(AE$2,$A160)</f>
        <v>614.172563308549</v>
      </c>
      <c r="AF160" s="0" t="n">
        <f aca="false">W_PH(AF$2,$A160)</f>
        <v>614.063419937732</v>
      </c>
      <c r="AG160" s="0" t="n">
        <f aca="false">W_PH(AG$2,$A160)</f>
        <v>613.955282977569</v>
      </c>
      <c r="AH160" s="0" t="n">
        <f aca="false">W_PH(AH$2,$A160)</f>
        <v>612.926438043436</v>
      </c>
      <c r="AI160" s="0" t="n">
        <f aca="false">W_PH(AI$2,$A160)</f>
        <v>611.986263780099</v>
      </c>
      <c r="AJ160" s="0" t="n">
        <f aca="false">W_PH(AJ$2,$A160)</f>
        <v>611.130497214806</v>
      </c>
      <c r="AK160" s="0" t="n">
        <f aca="false">W_PH(AK$2,$A160)</f>
        <v>610.364977190387</v>
      </c>
      <c r="AL160" s="0" t="n">
        <f aca="false">W_PH(AL$2,$A160)</f>
        <v>609.681385414394</v>
      </c>
      <c r="AM160" s="0" t="n">
        <f aca="false">W_PH(AM$2,$A160)</f>
        <v>609.079929058116</v>
      </c>
      <c r="AN160" s="0" t="n">
        <f aca="false">W_PH(AN$2,$A160)</f>
        <v>608.560920387298</v>
      </c>
      <c r="AO160" s="0" t="n">
        <f aca="false">W_PH(AO$2,$A160)</f>
        <v>608.124678221667</v>
      </c>
      <c r="AP160" s="0" t="n">
        <f aca="false">W_PH(AP$2,$A160)</f>
        <v>607.771452425121</v>
      </c>
      <c r="AQ160" s="0" t="n">
        <f aca="false">W_PH(AQ$2,$A160)</f>
        <v>608.739849244304</v>
      </c>
      <c r="AR160" s="0" t="n">
        <f aca="false">W_PH(AR$2,$A160)</f>
        <v>609.908430942087</v>
      </c>
      <c r="AS160" s="0" t="n">
        <f aca="false">W_PH(AS$2,$A160)</f>
        <v>610.539214202564</v>
      </c>
    </row>
    <row r="161" customFormat="false" ht="13.8" hidden="false" customHeight="false" outlineLevel="0" collapsed="false">
      <c r="A161" s="0" t="n">
        <v>3210</v>
      </c>
      <c r="B161" s="0" t="n">
        <f aca="false">W_PH(B$2,$A161)</f>
        <v>617.31669613193</v>
      </c>
      <c r="C161" s="0" t="n">
        <f aca="false">W_PH(C$2,$A161)</f>
        <v>617.316581241306</v>
      </c>
      <c r="D161" s="0" t="n">
        <f aca="false">W_PH(D$2,$A161)</f>
        <v>617.316466351792</v>
      </c>
      <c r="E161" s="0" t="n">
        <f aca="false">W_PH(E$2,$A161)</f>
        <v>617.316351463388</v>
      </c>
      <c r="F161" s="0" t="n">
        <f aca="false">W_PH(F$2,$A161)</f>
        <v>617.316236576094</v>
      </c>
      <c r="G161" s="0" t="n">
        <f aca="false">W_PH(G$2,$A161)</f>
        <v>617.315087764199</v>
      </c>
      <c r="H161" s="0" t="n">
        <f aca="false">W_PH(H$2,$A161)</f>
        <v>617.313939063283</v>
      </c>
      <c r="I161" s="0" t="n">
        <f aca="false">W_PH(I$2,$A161)</f>
        <v>617.312790473328</v>
      </c>
      <c r="J161" s="0" t="n">
        <f aca="false">W_PH(J$2,$A161)</f>
        <v>617.311641994313</v>
      </c>
      <c r="K161" s="0" t="n">
        <f aca="false">W_PH(K$2,$A161)</f>
        <v>617.31049362622</v>
      </c>
      <c r="L161" s="0" t="n">
        <f aca="false">W_PH(L$2,$A161)</f>
        <v>617.309345369029</v>
      </c>
      <c r="M161" s="0" t="n">
        <f aca="false">W_PH(M$2,$A161)</f>
        <v>617.308197222722</v>
      </c>
      <c r="N161" s="0" t="n">
        <f aca="false">W_PH(N$2,$A161)</f>
        <v>617.307049187279</v>
      </c>
      <c r="O161" s="0" t="n">
        <f aca="false">W_PH(O$2,$A161)</f>
        <v>617.305901262681</v>
      </c>
      <c r="P161" s="0" t="n">
        <f aca="false">W_PH(P$2,$A161)</f>
        <v>617.294428108981</v>
      </c>
      <c r="Q161" s="0" t="n">
        <f aca="false">W_PH(Q$2,$A161)</f>
        <v>617.282966018805</v>
      </c>
      <c r="R161" s="0" t="n">
        <f aca="false">W_PH(R$2,$A161)</f>
        <v>617.271514973143</v>
      </c>
      <c r="S161" s="0" t="n">
        <f aca="false">W_PH(S$2,$A161)</f>
        <v>617.260074953053</v>
      </c>
      <c r="T161" s="0" t="n">
        <f aca="false">W_PH(T$2,$A161)</f>
        <v>617.248645939663</v>
      </c>
      <c r="U161" s="0" t="n">
        <f aca="false">W_PH(U$2,$A161)</f>
        <v>617.23722791417</v>
      </c>
      <c r="V161" s="0" t="n">
        <f aca="false">W_PH(V$2,$A161)</f>
        <v>617.22582085784</v>
      </c>
      <c r="W161" s="0" t="n">
        <f aca="false">W_PH(W$2,$A161)</f>
        <v>617.214424752008</v>
      </c>
      <c r="X161" s="0" t="n">
        <f aca="false">W_PH(X$2,$A161)</f>
        <v>617.203039578076</v>
      </c>
      <c r="Y161" s="0" t="n">
        <f aca="false">W_PH(Y$2,$A161)</f>
        <v>617.089785050435</v>
      </c>
      <c r="Z161" s="0" t="n">
        <f aca="false">W_PH(Z$2,$A161)</f>
        <v>616.977603755712</v>
      </c>
      <c r="AA161" s="0" t="n">
        <f aca="false">W_PH(AA$2,$A161)</f>
        <v>616.866478191955</v>
      </c>
      <c r="AB161" s="0" t="n">
        <f aca="false">W_PH(AB$2,$A161)</f>
        <v>616.756391496063</v>
      </c>
      <c r="AC161" s="0" t="n">
        <f aca="false">W_PH(AC$2,$A161)</f>
        <v>616.64732742626</v>
      </c>
      <c r="AD161" s="0" t="n">
        <f aca="false">W_PH(AD$2,$A161)</f>
        <v>616.539270346438</v>
      </c>
      <c r="AE161" s="0" t="n">
        <f aca="false">W_PH(AE$2,$A161)</f>
        <v>616.432205212218</v>
      </c>
      <c r="AF161" s="0" t="n">
        <f aca="false">W_PH(AF$2,$A161)</f>
        <v>616.326117558568</v>
      </c>
      <c r="AG161" s="0" t="n">
        <f aca="false">W_PH(AG$2,$A161)</f>
        <v>616.220993488863</v>
      </c>
      <c r="AH161" s="0" t="n">
        <f aca="false">W_PH(AH$2,$A161)</f>
        <v>615.220082692995</v>
      </c>
      <c r="AI161" s="0" t="n">
        <f aca="false">W_PH(AI$2,$A161)</f>
        <v>614.304195822167</v>
      </c>
      <c r="AJ161" s="0" t="n">
        <f aca="false">W_PH(AJ$2,$A161)</f>
        <v>613.469468651995</v>
      </c>
      <c r="AK161" s="0" t="n">
        <f aca="false">W_PH(AK$2,$A161)</f>
        <v>612.722149919557</v>
      </c>
      <c r="AL161" s="0" t="n">
        <f aca="false">W_PH(AL$2,$A161)</f>
        <v>612.054352545567</v>
      </c>
      <c r="AM161" s="0" t="n">
        <f aca="false">W_PH(AM$2,$A161)</f>
        <v>611.466441362474</v>
      </c>
      <c r="AN161" s="0" t="n">
        <f aca="false">W_PH(AN$2,$A161)</f>
        <v>610.958874996905</v>
      </c>
      <c r="AO161" s="0" t="n">
        <f aca="false">W_PH(AO$2,$A161)</f>
        <v>610.532103526175</v>
      </c>
      <c r="AP161" s="0" t="n">
        <f aca="false">W_PH(AP$2,$A161)</f>
        <v>610.186493386513</v>
      </c>
      <c r="AQ161" s="0" t="n">
        <f aca="false">W_PH(AQ$2,$A161)</f>
        <v>611.148833088931</v>
      </c>
      <c r="AR161" s="0" t="n">
        <f aca="false">W_PH(AR$2,$A161)</f>
        <v>612.301471762967</v>
      </c>
      <c r="AS161" s="0" t="n">
        <f aca="false">W_PH(AS$2,$A161)</f>
        <v>612.923687836742</v>
      </c>
    </row>
    <row r="162" customFormat="false" ht="13.8" hidden="false" customHeight="false" outlineLevel="0" collapsed="false">
      <c r="A162" s="0" t="n">
        <v>3220</v>
      </c>
      <c r="B162" s="0" t="n">
        <f aca="false">W_PH(B$2,$A162)</f>
        <v>619.536779008306</v>
      </c>
      <c r="C162" s="0" t="n">
        <f aca="false">W_PH(C$2,$A162)</f>
        <v>619.536667464687</v>
      </c>
      <c r="D162" s="0" t="n">
        <f aca="false">W_PH(D$2,$A162)</f>
        <v>619.536555922129</v>
      </c>
      <c r="E162" s="0" t="n">
        <f aca="false">W_PH(E$2,$A162)</f>
        <v>619.536444380632</v>
      </c>
      <c r="F162" s="0" t="n">
        <f aca="false">W_PH(F$2,$A162)</f>
        <v>619.536332840196</v>
      </c>
      <c r="G162" s="0" t="n">
        <f aca="false">W_PH(G$2,$A162)</f>
        <v>619.535217494207</v>
      </c>
      <c r="H162" s="0" t="n">
        <f aca="false">W_PH(H$2,$A162)</f>
        <v>619.534102254326</v>
      </c>
      <c r="I162" s="0" t="n">
        <f aca="false">W_PH(I$2,$A162)</f>
        <v>619.532987120537</v>
      </c>
      <c r="J162" s="0" t="n">
        <f aca="false">W_PH(J$2,$A162)</f>
        <v>619.53187209282</v>
      </c>
      <c r="K162" s="0" t="n">
        <f aca="false">W_PH(K$2,$A162)</f>
        <v>619.530757171158</v>
      </c>
      <c r="L162" s="0" t="n">
        <f aca="false">W_PH(L$2,$A162)</f>
        <v>619.529642355533</v>
      </c>
      <c r="M162" s="0" t="n">
        <f aca="false">W_PH(M$2,$A162)</f>
        <v>619.528527645926</v>
      </c>
      <c r="N162" s="0" t="n">
        <f aca="false">W_PH(N$2,$A162)</f>
        <v>619.52741304232</v>
      </c>
      <c r="O162" s="0" t="n">
        <f aca="false">W_PH(O$2,$A162)</f>
        <v>619.526298544697</v>
      </c>
      <c r="P162" s="0" t="n">
        <f aca="false">W_PH(P$2,$A162)</f>
        <v>619.515159393571</v>
      </c>
      <c r="Q162" s="0" t="n">
        <f aca="false">W_PH(Q$2,$A162)</f>
        <v>619.504030820996</v>
      </c>
      <c r="R162" s="0" t="n">
        <f aca="false">W_PH(R$2,$A162)</f>
        <v>619.492912809098</v>
      </c>
      <c r="S162" s="0" t="n">
        <f aca="false">W_PH(S$2,$A162)</f>
        <v>619.481805340068</v>
      </c>
      <c r="T162" s="0" t="n">
        <f aca="false">W_PH(T$2,$A162)</f>
        <v>619.470708396164</v>
      </c>
      <c r="U162" s="0" t="n">
        <f aca="false">W_PH(U$2,$A162)</f>
        <v>619.459621959706</v>
      </c>
      <c r="V162" s="0" t="n">
        <f aca="false">W_PH(V$2,$A162)</f>
        <v>619.44854601308</v>
      </c>
      <c r="W162" s="0" t="n">
        <f aca="false">W_PH(W$2,$A162)</f>
        <v>619.437480538737</v>
      </c>
      <c r="X162" s="0" t="n">
        <f aca="false">W_PH(X$2,$A162)</f>
        <v>619.42642551919</v>
      </c>
      <c r="Y162" s="0" t="n">
        <f aca="false">W_PH(Y$2,$A162)</f>
        <v>619.316446536082</v>
      </c>
      <c r="Z162" s="0" t="n">
        <f aca="false">W_PH(Z$2,$A162)</f>
        <v>619.207494266177</v>
      </c>
      <c r="AA162" s="0" t="n">
        <f aca="false">W_PH(AA$2,$A162)</f>
        <v>619.099552249412</v>
      </c>
      <c r="AB162" s="0" t="n">
        <f aca="false">W_PH(AB$2,$A162)</f>
        <v>618.99260462413</v>
      </c>
      <c r="AC162" s="0" t="n">
        <f aca="false">W_PH(AC$2,$A162)</f>
        <v>618.886636110484</v>
      </c>
      <c r="AD162" s="0" t="n">
        <f aca="false">W_PH(AD$2,$A162)</f>
        <v>618.781631995433</v>
      </c>
      <c r="AE162" s="0" t="n">
        <f aca="false">W_PH(AE$2,$A162)</f>
        <v>618.677578119228</v>
      </c>
      <c r="AF162" s="0" t="n">
        <f aca="false">W_PH(AF$2,$A162)</f>
        <v>618.574460863264</v>
      </c>
      <c r="AG162" s="0" t="n">
        <f aca="false">W_PH(AG$2,$A162)</f>
        <v>618.472267139169</v>
      </c>
      <c r="AH162" s="0" t="n">
        <f aca="false">W_PH(AH$2,$A162)</f>
        <v>617.498606957381</v>
      </c>
      <c r="AI162" s="0" t="n">
        <f aca="false">W_PH(AI$2,$A162)</f>
        <v>616.606559443221</v>
      </c>
      <c r="AJ162" s="0" t="n">
        <f aca="false">W_PH(AJ$2,$A162)</f>
        <v>615.792629206267</v>
      </c>
      <c r="AK162" s="0" t="n">
        <f aca="false">W_PH(AK$2,$A162)</f>
        <v>615.063288491133</v>
      </c>
      <c r="AL162" s="0" t="n">
        <f aca="false">W_PH(AL$2,$A162)</f>
        <v>614.411180823174</v>
      </c>
      <c r="AM162" s="0" t="n">
        <f aca="false">W_PH(AM$2,$A162)</f>
        <v>613.836806783027</v>
      </c>
      <c r="AN162" s="0" t="n">
        <f aca="false">W_PH(AN$2,$A162)</f>
        <v>613.340752851367</v>
      </c>
      <c r="AO162" s="0" t="n">
        <f aca="false">W_PH(AO$2,$A162)</f>
        <v>612.923585726324</v>
      </c>
      <c r="AP162" s="0" t="n">
        <f aca="false">W_PH(AP$2,$A162)</f>
        <v>612.585777209385</v>
      </c>
      <c r="AQ162" s="0" t="n">
        <f aca="false">W_PH(AQ$2,$A162)</f>
        <v>613.545463888236</v>
      </c>
      <c r="AR162" s="0" t="n">
        <f aca="false">W_PH(AR$2,$A162)</f>
        <v>614.68299903061</v>
      </c>
      <c r="AS162" s="0" t="n">
        <f aca="false">W_PH(AS$2,$A162)</f>
        <v>615.297028511214</v>
      </c>
    </row>
    <row r="163" customFormat="false" ht="13.8" hidden="false" customHeight="false" outlineLevel="0" collapsed="false">
      <c r="A163" s="0" t="n">
        <v>3230</v>
      </c>
      <c r="B163" s="0" t="n">
        <f aca="false">W_PH(B$2,$A163)</f>
        <v>621.743549621802</v>
      </c>
      <c r="C163" s="0" t="n">
        <f aca="false">W_PH(C$2,$A163)</f>
        <v>621.743441319323</v>
      </c>
      <c r="D163" s="0" t="n">
        <f aca="false">W_PH(D$2,$A163)</f>
        <v>621.743333017859</v>
      </c>
      <c r="E163" s="0" t="n">
        <f aca="false">W_PH(E$2,$A163)</f>
        <v>621.743224717411</v>
      </c>
      <c r="F163" s="0" t="n">
        <f aca="false">W_PH(F$2,$A163)</f>
        <v>621.743116417979</v>
      </c>
      <c r="G163" s="0" t="n">
        <f aca="false">W_PH(G$2,$A163)</f>
        <v>621.742033479506</v>
      </c>
      <c r="H163" s="0" t="n">
        <f aca="false">W_PH(H$2,$A163)</f>
        <v>621.740950642571</v>
      </c>
      <c r="I163" s="0" t="n">
        <f aca="false">W_PH(I$2,$A163)</f>
        <v>621.739867907156</v>
      </c>
      <c r="J163" s="0" t="n">
        <f aca="false">W_PH(J$2,$A163)</f>
        <v>621.738785273246</v>
      </c>
      <c r="K163" s="0" t="n">
        <f aca="false">W_PH(K$2,$A163)</f>
        <v>621.737702740824</v>
      </c>
      <c r="L163" s="0" t="n">
        <f aca="false">W_PH(L$2,$A163)</f>
        <v>621.736620309872</v>
      </c>
      <c r="M163" s="0" t="n">
        <f aca="false">W_PH(M$2,$A163)</f>
        <v>621.735537980373</v>
      </c>
      <c r="N163" s="0" t="n">
        <f aca="false">W_PH(N$2,$A163)</f>
        <v>621.734455752311</v>
      </c>
      <c r="O163" s="0" t="n">
        <f aca="false">W_PH(O$2,$A163)</f>
        <v>621.733373625668</v>
      </c>
      <c r="P163" s="0" t="n">
        <f aca="false">W_PH(P$2,$A163)</f>
        <v>621.72255793361</v>
      </c>
      <c r="Q163" s="0" t="n">
        <f aca="false">W_PH(Q$2,$A163)</f>
        <v>621.711752364979</v>
      </c>
      <c r="R163" s="0" t="n">
        <f aca="false">W_PH(R$2,$A163)</f>
        <v>621.700956902983</v>
      </c>
      <c r="S163" s="0" t="n">
        <f aca="false">W_PH(S$2,$A163)</f>
        <v>621.690171530888</v>
      </c>
      <c r="T163" s="0" t="n">
        <f aca="false">W_PH(T$2,$A163)</f>
        <v>621.679396232024</v>
      </c>
      <c r="U163" s="0" t="n">
        <f aca="false">W_PH(U$2,$A163)</f>
        <v>621.66863098978</v>
      </c>
      <c r="V163" s="0" t="n">
        <f aca="false">W_PH(V$2,$A163)</f>
        <v>621.657875787605</v>
      </c>
      <c r="W163" s="0" t="n">
        <f aca="false">W_PH(W$2,$A163)</f>
        <v>621.647130609009</v>
      </c>
      <c r="X163" s="0" t="n">
        <f aca="false">W_PH(X$2,$A163)</f>
        <v>621.636395437561</v>
      </c>
      <c r="Y163" s="0" t="n">
        <f aca="false">W_PH(Y$2,$A163)</f>
        <v>621.529590543862</v>
      </c>
      <c r="Z163" s="0" t="n">
        <f aca="false">W_PH(Z$2,$A163)</f>
        <v>621.423768728204</v>
      </c>
      <c r="AA163" s="0" t="n">
        <f aca="false">W_PH(AA$2,$A163)</f>
        <v>621.318914518059</v>
      </c>
      <c r="AB163" s="0" t="n">
        <f aca="false">W_PH(AB$2,$A163)</f>
        <v>621.215012999939</v>
      </c>
      <c r="AC163" s="0" t="n">
        <f aca="false">W_PH(AC$2,$A163)</f>
        <v>621.112049803735</v>
      </c>
      <c r="AD163" s="0" t="n">
        <f aca="false">W_PH(AD$2,$A163)</f>
        <v>621.010011088448</v>
      </c>
      <c r="AE163" s="0" t="n">
        <f aca="false">W_PH(AE$2,$A163)</f>
        <v>620.908883529199</v>
      </c>
      <c r="AF163" s="0" t="n">
        <f aca="false">W_PH(AF$2,$A163)</f>
        <v>620.808654305431</v>
      </c>
      <c r="AG163" s="0" t="n">
        <f aca="false">W_PH(AG$2,$A163)</f>
        <v>620.709311090193</v>
      </c>
      <c r="AH163" s="0" t="n">
        <f aca="false">W_PH(AH$2,$A163)</f>
        <v>619.762233399359</v>
      </c>
      <c r="AI163" s="0" t="n">
        <f aca="false">W_PH(AI$2,$A163)</f>
        <v>618.893576494863</v>
      </c>
      <c r="AJ163" s="0" t="n">
        <f aca="false">W_PH(AJ$2,$A163)</f>
        <v>618.100189435897</v>
      </c>
      <c r="AK163" s="0" t="n">
        <f aca="false">W_PH(AK$2,$A163)</f>
        <v>617.388599701854</v>
      </c>
      <c r="AL163" s="0" t="n">
        <f aca="false">W_PH(AL$2,$A163)</f>
        <v>616.752067687398</v>
      </c>
      <c r="AM163" s="0" t="n">
        <f aca="false">W_PH(AM$2,$A163)</f>
        <v>616.191210523397</v>
      </c>
      <c r="AN163" s="0" t="n">
        <f aca="false">W_PH(AN$2,$A163)</f>
        <v>615.70672576456</v>
      </c>
      <c r="AO163" s="0" t="n">
        <f aca="false">W_PH(AO$2,$A163)</f>
        <v>615.299282983028</v>
      </c>
      <c r="AP163" s="0" t="n">
        <f aca="false">W_PH(AP$2,$A163)</f>
        <v>614.969448429235</v>
      </c>
      <c r="AQ163" s="0" t="n">
        <f aca="false">W_PH(AQ$2,$A163)</f>
        <v>615.929716020422</v>
      </c>
      <c r="AR163" s="0" t="n">
        <f aca="false">W_PH(AR$2,$A163)</f>
        <v>617.052944792683</v>
      </c>
      <c r="AS163" s="0" t="n">
        <f aca="false">W_PH(AS$2,$A163)</f>
        <v>617.659149833002</v>
      </c>
    </row>
    <row r="164" customFormat="false" ht="13.8" hidden="false" customHeight="false" outlineLevel="0" collapsed="false">
      <c r="A164" s="0" t="n">
        <v>3240</v>
      </c>
      <c r="B164" s="0" t="n">
        <f aca="false">W_PH(B$2,$A164)</f>
        <v>623.937172976711</v>
      </c>
      <c r="C164" s="0" t="n">
        <f aca="false">W_PH(C$2,$A164)</f>
        <v>623.937067814565</v>
      </c>
      <c r="D164" s="0" t="n">
        <f aca="false">W_PH(D$2,$A164)</f>
        <v>623.936962653392</v>
      </c>
      <c r="E164" s="0" t="n">
        <f aca="false">W_PH(E$2,$A164)</f>
        <v>623.936857493191</v>
      </c>
      <c r="F164" s="0" t="n">
        <f aca="false">W_PH(F$2,$A164)</f>
        <v>623.936752333963</v>
      </c>
      <c r="G164" s="0" t="n">
        <f aca="false">W_PH(G$2,$A164)</f>
        <v>623.935700795167</v>
      </c>
      <c r="H164" s="0" t="n">
        <f aca="false">W_PH(H$2,$A164)</f>
        <v>623.934649353612</v>
      </c>
      <c r="I164" s="0" t="n">
        <f aca="false">W_PH(I$2,$A164)</f>
        <v>623.933598009279</v>
      </c>
      <c r="J164" s="0" t="n">
        <f aca="false">W_PH(J$2,$A164)</f>
        <v>623.932546762155</v>
      </c>
      <c r="K164" s="0" t="n">
        <f aca="false">W_PH(K$2,$A164)</f>
        <v>623.931495612222</v>
      </c>
      <c r="L164" s="0" t="n">
        <f aca="false">W_PH(L$2,$A164)</f>
        <v>623.930444559466</v>
      </c>
      <c r="M164" s="0" t="n">
        <f aca="false">W_PH(M$2,$A164)</f>
        <v>623.92939360387</v>
      </c>
      <c r="N164" s="0" t="n">
        <f aca="false">W_PH(N$2,$A164)</f>
        <v>623.928342745418</v>
      </c>
      <c r="O164" s="0" t="n">
        <f aca="false">W_PH(O$2,$A164)</f>
        <v>623.927291984094</v>
      </c>
      <c r="P164" s="0" t="n">
        <f aca="false">W_PH(P$2,$A164)</f>
        <v>623.916789709435</v>
      </c>
      <c r="Q164" s="0" t="n">
        <f aca="false">W_PH(Q$2,$A164)</f>
        <v>623.906297130215</v>
      </c>
      <c r="R164" s="0" t="n">
        <f aca="false">W_PH(R$2,$A164)</f>
        <v>623.89581423067</v>
      </c>
      <c r="S164" s="0" t="n">
        <f aca="false">W_PH(S$2,$A164)</f>
        <v>623.885340995092</v>
      </c>
      <c r="T164" s="0" t="n">
        <f aca="false">W_PH(T$2,$A164)</f>
        <v>623.87487740783</v>
      </c>
      <c r="U164" s="0" t="n">
        <f aca="false">W_PH(U$2,$A164)</f>
        <v>623.864423453288</v>
      </c>
      <c r="V164" s="0" t="n">
        <f aca="false">W_PH(V$2,$A164)</f>
        <v>623.853979115928</v>
      </c>
      <c r="W164" s="0" t="n">
        <f aca="false">W_PH(W$2,$A164)</f>
        <v>623.843544380267</v>
      </c>
      <c r="X164" s="0" t="n">
        <f aca="false">W_PH(X$2,$A164)</f>
        <v>623.833119230878</v>
      </c>
      <c r="Y164" s="0" t="n">
        <f aca="false">W_PH(Y$2,$A164)</f>
        <v>623.729391627502</v>
      </c>
      <c r="Z164" s="0" t="n">
        <f aca="false">W_PH(Z$2,$A164)</f>
        <v>623.626606088813</v>
      </c>
      <c r="AA164" s="0" t="n">
        <f aca="false">W_PH(AA$2,$A164)</f>
        <v>623.524748080739</v>
      </c>
      <c r="AB164" s="0" t="n">
        <f aca="false">W_PH(AB$2,$A164)</f>
        <v>623.423803590226</v>
      </c>
      <c r="AC164" s="0" t="n">
        <f aca="false">W_PH(AC$2,$A164)</f>
        <v>623.32375911053</v>
      </c>
      <c r="AD164" s="0" t="n">
        <f aca="false">W_PH(AD$2,$A164)</f>
        <v>623.224601627707</v>
      </c>
      <c r="AE164" s="0" t="n">
        <f aca="false">W_PH(AE$2,$A164)</f>
        <v>623.126318608223</v>
      </c>
      <c r="AF164" s="0" t="n">
        <f aca="false">W_PH(AF$2,$A164)</f>
        <v>623.028897987586</v>
      </c>
      <c r="AG164" s="0" t="n">
        <f aca="false">W_PH(AG$2,$A164)</f>
        <v>622.932328159946</v>
      </c>
      <c r="AH164" s="0" t="n">
        <f aca="false">W_PH(AH$2,$A164)</f>
        <v>622.011181266322</v>
      </c>
      <c r="AI164" s="0" t="n">
        <f aca="false">W_PH(AI$2,$A164)</f>
        <v>621.165467048871</v>
      </c>
      <c r="AJ164" s="0" t="n">
        <f aca="false">W_PH(AJ$2,$A164)</f>
        <v>620.392359425841</v>
      </c>
      <c r="AK164" s="0" t="n">
        <f aca="false">W_PH(AK$2,$A164)</f>
        <v>619.698291196627</v>
      </c>
      <c r="AL164" s="0" t="n">
        <f aca="false">W_PH(AL$2,$A164)</f>
        <v>619.077212650686</v>
      </c>
      <c r="AM164" s="0" t="n">
        <f aca="false">W_PH(AM$2,$A164)</f>
        <v>618.529840717375</v>
      </c>
      <c r="AN164" s="0" t="n">
        <f aca="false">W_PH(AN$2,$A164)</f>
        <v>618.056968895493</v>
      </c>
      <c r="AO164" s="0" t="n">
        <f aca="false">W_PH(AO$2,$A164)</f>
        <v>617.659356824955</v>
      </c>
      <c r="AP164" s="0" t="n">
        <f aca="false">W_PH(AP$2,$A164)</f>
        <v>617.337654697945</v>
      </c>
      <c r="AQ164" s="0" t="n">
        <f aca="false">W_PH(AQ$2,$A164)</f>
        <v>618.301569377759</v>
      </c>
      <c r="AR164" s="0" t="n">
        <f aca="false">W_PH(AR$2,$A164)</f>
        <v>619.411248253005</v>
      </c>
      <c r="AS164" s="0" t="n">
        <f aca="false">W_PH(AS$2,$A164)</f>
        <v>620.009973079069</v>
      </c>
    </row>
    <row r="165" customFormat="false" ht="13.8" hidden="false" customHeight="false" outlineLevel="0" collapsed="false">
      <c r="A165" s="0" t="n">
        <v>3250</v>
      </c>
      <c r="B165" s="0" t="n">
        <f aca="false">W_PH(B$2,$A165)</f>
        <v>626.117811097568</v>
      </c>
      <c r="C165" s="0" t="n">
        <f aca="false">W_PH(C$2,$A165)</f>
        <v>626.11770897972</v>
      </c>
      <c r="D165" s="0" t="n">
        <f aca="false">W_PH(D$2,$A165)</f>
        <v>626.117606862804</v>
      </c>
      <c r="E165" s="0" t="n">
        <f aca="false">W_PH(E$2,$A165)</f>
        <v>626.11750474682</v>
      </c>
      <c r="F165" s="0" t="n">
        <f aca="false">W_PH(F$2,$A165)</f>
        <v>626.117402631768</v>
      </c>
      <c r="G165" s="0" t="n">
        <f aca="false">W_PH(G$2,$A165)</f>
        <v>626.116381532511</v>
      </c>
      <c r="H165" s="0" t="n">
        <f aca="false">W_PH(H$2,$A165)</f>
        <v>626.115360526443</v>
      </c>
      <c r="I165" s="0" t="n">
        <f aca="false">W_PH(I$2,$A165)</f>
        <v>626.11433961355</v>
      </c>
      <c r="J165" s="0" t="n">
        <f aca="false">W_PH(J$2,$A165)</f>
        <v>626.113318793816</v>
      </c>
      <c r="K165" s="0" t="n">
        <f aca="false">W_PH(K$2,$A165)</f>
        <v>626.112298067227</v>
      </c>
      <c r="L165" s="0" t="n">
        <f aca="false">W_PH(L$2,$A165)</f>
        <v>626.111277433769</v>
      </c>
      <c r="M165" s="0" t="n">
        <f aca="false">W_PH(M$2,$A165)</f>
        <v>626.110256893425</v>
      </c>
      <c r="N165" s="0" t="n">
        <f aca="false">W_PH(N$2,$A165)</f>
        <v>626.109236446181</v>
      </c>
      <c r="O165" s="0" t="n">
        <f aca="false">W_PH(O$2,$A165)</f>
        <v>626.108216092023</v>
      </c>
      <c r="P165" s="0" t="n">
        <f aca="false">W_PH(P$2,$A165)</f>
        <v>626.098017666864</v>
      </c>
      <c r="Q165" s="0" t="n">
        <f aca="false">W_PH(Q$2,$A165)</f>
        <v>626.087828533915</v>
      </c>
      <c r="R165" s="0" t="n">
        <f aca="false">W_PH(R$2,$A165)</f>
        <v>626.077648678392</v>
      </c>
      <c r="S165" s="0" t="n">
        <f aca="false">W_PH(S$2,$A165)</f>
        <v>626.067478085562</v>
      </c>
      <c r="T165" s="0" t="n">
        <f aca="false">W_PH(T$2,$A165)</f>
        <v>626.057316740746</v>
      </c>
      <c r="U165" s="0" t="n">
        <f aca="false">W_PH(U$2,$A165)</f>
        <v>626.047164629318</v>
      </c>
      <c r="V165" s="0" t="n">
        <f aca="false">W_PH(V$2,$A165)</f>
        <v>626.0370217367</v>
      </c>
      <c r="W165" s="0" t="n">
        <f aca="false">W_PH(W$2,$A165)</f>
        <v>626.026888048372</v>
      </c>
      <c r="X165" s="0" t="n">
        <f aca="false">W_PH(X$2,$A165)</f>
        <v>626.016763549862</v>
      </c>
      <c r="Y165" s="0" t="n">
        <f aca="false">W_PH(Y$2,$A165)</f>
        <v>625.916020857851</v>
      </c>
      <c r="Z165" s="0" t="n">
        <f aca="false">W_PH(Z$2,$A165)</f>
        <v>625.816181608198</v>
      </c>
      <c r="AA165" s="0" t="n">
        <f aca="false">W_PH(AA$2,$A165)</f>
        <v>625.717232160327</v>
      </c>
      <c r="AB165" s="0" t="n">
        <f aca="false">W_PH(AB$2,$A165)</f>
        <v>625.619159358221</v>
      </c>
      <c r="AC165" s="0" t="n">
        <f aca="false">W_PH(AC$2,$A165)</f>
        <v>625.521950516642</v>
      </c>
      <c r="AD165" s="0" t="n">
        <f aca="false">W_PH(AD$2,$A165)</f>
        <v>625.425593408411</v>
      </c>
      <c r="AE165" s="0" t="n">
        <f aca="false">W_PH(AE$2,$A165)</f>
        <v>625.330076252636</v>
      </c>
      <c r="AF165" s="0" t="n">
        <f aca="false">W_PH(AF$2,$A165)</f>
        <v>625.235387703853</v>
      </c>
      <c r="AG165" s="0" t="n">
        <f aca="false">W_PH(AG$2,$A165)</f>
        <v>625.141516842008</v>
      </c>
      <c r="AH165" s="0" t="n">
        <f aca="false">W_PH(AH$2,$A165)</f>
        <v>624.245666226221</v>
      </c>
      <c r="AI165" s="0" t="n">
        <f aca="false">W_PH(AI$2,$A165)</f>
        <v>623.422448981983</v>
      </c>
      <c r="AJ165" s="0" t="n">
        <f aca="false">W_PH(AJ$2,$A165)</f>
        <v>622.669348351295</v>
      </c>
      <c r="AK165" s="0" t="n">
        <f aca="false">W_PH(AK$2,$A165)</f>
        <v>621.99257085283</v>
      </c>
      <c r="AL165" s="0" t="n">
        <f aca="false">W_PH(AL$2,$A165)</f>
        <v>621.386816595994</v>
      </c>
      <c r="AM165" s="0" t="n">
        <f aca="false">W_PH(AM$2,$A165)</f>
        <v>620.852887743243</v>
      </c>
      <c r="AN165" s="0" t="n">
        <f aca="false">W_PH(AN$2,$A165)</f>
        <v>620.391660163154</v>
      </c>
      <c r="AO165" s="0" t="n">
        <f aca="false">W_PH(AO$2,$A165)</f>
        <v>620.003971719032</v>
      </c>
      <c r="AP165" s="0" t="n">
        <f aca="false">W_PH(AP$2,$A165)</f>
        <v>619.690546534426</v>
      </c>
      <c r="AQ165" s="0" t="n">
        <f aca="false">W_PH(AQ$2,$A165)</f>
        <v>620.661009979072</v>
      </c>
      <c r="AR165" s="0" t="n">
        <f aca="false">W_PH(AR$2,$A165)</f>
        <v>621.757856671114</v>
      </c>
      <c r="AS165" s="0" t="n">
        <f aca="false">W_PH(AS$2,$A165)</f>
        <v>622.349428284849</v>
      </c>
    </row>
    <row r="166" customFormat="false" ht="13.8" hidden="false" customHeight="false" outlineLevel="0" collapsed="false">
      <c r="A166" s="0" t="n">
        <v>3260</v>
      </c>
      <c r="B166" s="0" t="n">
        <f aca="false">W_PH(B$2,$A166)</f>
        <v>628.285623127143</v>
      </c>
      <c r="C166" s="0" t="n">
        <f aca="false">W_PH(C$2,$A166)</f>
        <v>628.285523962058</v>
      </c>
      <c r="D166" s="0" t="n">
        <f aca="false">W_PH(D$2,$A166)</f>
        <v>628.285424797867</v>
      </c>
      <c r="E166" s="0" t="n">
        <f aca="false">W_PH(E$2,$A166)</f>
        <v>628.28532563457</v>
      </c>
      <c r="F166" s="0" t="n">
        <f aca="false">W_PH(F$2,$A166)</f>
        <v>628.285226472166</v>
      </c>
      <c r="G166" s="0" t="n">
        <f aca="false">W_PH(G$2,$A166)</f>
        <v>628.284234897289</v>
      </c>
      <c r="H166" s="0" t="n">
        <f aca="false">W_PH(H$2,$A166)</f>
        <v>628.283243411778</v>
      </c>
      <c r="I166" s="0" t="n">
        <f aca="false">W_PH(I$2,$A166)</f>
        <v>628.282252015621</v>
      </c>
      <c r="J166" s="0" t="n">
        <f aca="false">W_PH(J$2,$A166)</f>
        <v>628.281260708803</v>
      </c>
      <c r="K166" s="0" t="n">
        <f aca="false">W_PH(K$2,$A166)</f>
        <v>628.28026949131</v>
      </c>
      <c r="L166" s="0" t="n">
        <f aca="false">W_PH(L$2,$A166)</f>
        <v>628.279278363128</v>
      </c>
      <c r="M166" s="0" t="n">
        <f aca="false">W_PH(M$2,$A166)</f>
        <v>628.278287324244</v>
      </c>
      <c r="N166" s="0" t="n">
        <f aca="false">W_PH(N$2,$A166)</f>
        <v>628.277296374643</v>
      </c>
      <c r="O166" s="0" t="n">
        <f aca="false">W_PH(O$2,$A166)</f>
        <v>628.276305514311</v>
      </c>
      <c r="P166" s="0" t="n">
        <f aca="false">W_PH(P$2,$A166)</f>
        <v>628.266401817752</v>
      </c>
      <c r="Q166" s="0" t="n">
        <f aca="false">W_PH(Q$2,$A166)</f>
        <v>628.256507032847</v>
      </c>
      <c r="R166" s="0" t="n">
        <f aca="false">W_PH(R$2,$A166)</f>
        <v>628.246621145747</v>
      </c>
      <c r="S166" s="0" t="n">
        <f aca="false">W_PH(S$2,$A166)</f>
        <v>628.23674414265</v>
      </c>
      <c r="T166" s="0" t="n">
        <f aca="false">W_PH(T$2,$A166)</f>
        <v>628.226876009802</v>
      </c>
      <c r="U166" s="0" t="n">
        <f aca="false">W_PH(U$2,$A166)</f>
        <v>628.217016733497</v>
      </c>
      <c r="V166" s="0" t="n">
        <f aca="false">W_PH(V$2,$A166)</f>
        <v>628.207166300082</v>
      </c>
      <c r="W166" s="0" t="n">
        <f aca="false">W_PH(W$2,$A166)</f>
        <v>628.197324695947</v>
      </c>
      <c r="X166" s="0" t="n">
        <f aca="false">W_PH(X$2,$A166)</f>
        <v>628.187491907533</v>
      </c>
      <c r="Y166" s="0" t="n">
        <f aca="false">W_PH(Y$2,$A166)</f>
        <v>628.089645939021</v>
      </c>
      <c r="Z166" s="0" t="n">
        <f aca="false">W_PH(Z$2,$A166)</f>
        <v>627.9926669785</v>
      </c>
      <c r="AA166" s="0" t="n">
        <f aca="false">W_PH(AA$2,$A166)</f>
        <v>627.896542237185</v>
      </c>
      <c r="AB166" s="0" t="n">
        <f aca="false">W_PH(AB$2,$A166)</f>
        <v>627.80125937608</v>
      </c>
      <c r="AC166" s="0" t="n">
        <f aca="false">W_PH(AC$2,$A166)</f>
        <v>627.706806493125</v>
      </c>
      <c r="AD166" s="0" t="n">
        <f aca="false">W_PH(AD$2,$A166)</f>
        <v>627.613172111237</v>
      </c>
      <c r="AE166" s="0" t="n">
        <f aca="false">W_PH(AE$2,$A166)</f>
        <v>627.520345167194</v>
      </c>
      <c r="AF166" s="0" t="n">
        <f aca="false">W_PH(AF$2,$A166)</f>
        <v>627.428315001316</v>
      </c>
      <c r="AG166" s="0" t="n">
        <f aca="false">W_PH(AG$2,$A166)</f>
        <v>627.337071347876</v>
      </c>
      <c r="AH166" s="0" t="n">
        <f aca="false">W_PH(AH$2,$A166)</f>
        <v>626.465900168278</v>
      </c>
      <c r="AI166" s="0" t="n">
        <f aca="false">W_PH(AI$2,$A166)</f>
        <v>625.664737633874</v>
      </c>
      <c r="AJ166" s="0" t="n">
        <f aca="false">W_PH(AJ$2,$A166)</f>
        <v>624.931364103144</v>
      </c>
      <c r="AK166" s="0" t="n">
        <f aca="false">W_PH(AK$2,$A166)</f>
        <v>624.271646242012</v>
      </c>
      <c r="AL166" s="0" t="n">
        <f aca="false">W_PH(AL$2,$A166)</f>
        <v>623.681081149903</v>
      </c>
      <c r="AM166" s="0" t="n">
        <f aca="false">W_PH(AM$2,$A166)</f>
        <v>623.160543596537</v>
      </c>
      <c r="AN166" s="0" t="n">
        <f aca="false">W_PH(AN$2,$A166)</f>
        <v>622.710979695829</v>
      </c>
      <c r="AO166" s="0" t="n">
        <f aca="false">W_PH(AO$2,$A166)</f>
        <v>622.333294649795</v>
      </c>
      <c r="AP166" s="0" t="n">
        <f aca="false">W_PH(AP$2,$A166)</f>
        <v>622.028277061095</v>
      </c>
      <c r="AQ166" s="0" t="n">
        <f aca="false">W_PH(AQ$2,$A166)</f>
        <v>623.00803043821</v>
      </c>
      <c r="AR166" s="0" t="n">
        <f aca="false">W_PH(AR$2,$A166)</f>
        <v>624.092726038392</v>
      </c>
      <c r="AS166" s="0" t="n">
        <f aca="false">W_PH(AS$2,$A166)</f>
        <v>624.677455074333</v>
      </c>
    </row>
    <row r="167" customFormat="false" ht="13.8" hidden="false" customHeight="false" outlineLevel="0" collapsed="false">
      <c r="A167" s="0" t="n">
        <v>3270</v>
      </c>
      <c r="B167" s="0" t="n">
        <f aca="false">W_PH(B$2,$A167)</f>
        <v>630.440765419611</v>
      </c>
      <c r="C167" s="0" t="n">
        <f aca="false">W_PH(C$2,$A167)</f>
        <v>630.440669119995</v>
      </c>
      <c r="D167" s="0" t="n">
        <f aca="false">W_PH(D$2,$A167)</f>
        <v>630.440572821237</v>
      </c>
      <c r="E167" s="0" t="n">
        <f aca="false">W_PH(E$2,$A167)</f>
        <v>630.440476523337</v>
      </c>
      <c r="F167" s="0" t="n">
        <f aca="false">W_PH(F$2,$A167)</f>
        <v>630.440380226295</v>
      </c>
      <c r="G167" s="0" t="n">
        <f aca="false">W_PH(G$2,$A167)</f>
        <v>630.43941730304</v>
      </c>
      <c r="H167" s="0" t="n">
        <f aca="false">W_PH(H$2,$A167)</f>
        <v>630.438454465538</v>
      </c>
      <c r="I167" s="0" t="n">
        <f aca="false">W_PH(I$2,$A167)</f>
        <v>630.437491713778</v>
      </c>
      <c r="J167" s="0" t="n">
        <f aca="false">W_PH(J$2,$A167)</f>
        <v>630.436529047745</v>
      </c>
      <c r="K167" s="0" t="n">
        <f aca="false">W_PH(K$2,$A167)</f>
        <v>630.435566467427</v>
      </c>
      <c r="L167" s="0" t="n">
        <f aca="false">W_PH(L$2,$A167)</f>
        <v>630.434603972811</v>
      </c>
      <c r="M167" s="0" t="n">
        <f aca="false">W_PH(M$2,$A167)</f>
        <v>630.433641563883</v>
      </c>
      <c r="N167" s="0" t="n">
        <f aca="false">W_PH(N$2,$A167)</f>
        <v>630.43267924063</v>
      </c>
      <c r="O167" s="0" t="n">
        <f aca="false">W_PH(O$2,$A167)</f>
        <v>630.43171700304</v>
      </c>
      <c r="P167" s="0" t="n">
        <f aca="false">W_PH(P$2,$A167)</f>
        <v>630.422099335709</v>
      </c>
      <c r="Q167" s="0" t="n">
        <f aca="false">W_PH(Q$2,$A167)</f>
        <v>630.412490220316</v>
      </c>
      <c r="R167" s="0" t="n">
        <f aca="false">W_PH(R$2,$A167)</f>
        <v>630.402889643902</v>
      </c>
      <c r="S167" s="0" t="n">
        <f aca="false">W_PH(S$2,$A167)</f>
        <v>630.393297593553</v>
      </c>
      <c r="T167" s="0" t="n">
        <f aca="false">W_PH(T$2,$A167)</f>
        <v>630.383714056397</v>
      </c>
      <c r="U167" s="0" t="n">
        <f aca="false">W_PH(U$2,$A167)</f>
        <v>630.37413901961</v>
      </c>
      <c r="V167" s="0" t="n">
        <f aca="false">W_PH(V$2,$A167)</f>
        <v>630.364572470413</v>
      </c>
      <c r="W167" s="0" t="n">
        <f aca="false">W_PH(W$2,$A167)</f>
        <v>630.35501439607</v>
      </c>
      <c r="X167" s="0" t="n">
        <f aca="false">W_PH(X$2,$A167)</f>
        <v>630.345464783891</v>
      </c>
      <c r="Y167" s="0" t="n">
        <f aca="false">W_PH(Y$2,$A167)</f>
        <v>630.250431320802</v>
      </c>
      <c r="Z167" s="0" t="n">
        <f aca="false">W_PH(Z$2,$A167)</f>
        <v>630.156230440302</v>
      </c>
      <c r="AA167" s="0" t="n">
        <f aca="false">W_PH(AA$2,$A167)</f>
        <v>630.062850166267</v>
      </c>
      <c r="AB167" s="0" t="n">
        <f aca="false">W_PH(AB$2,$A167)</f>
        <v>629.970278939389</v>
      </c>
      <c r="AC167" s="0" t="n">
        <f aca="false">W_PH(AC$2,$A167)</f>
        <v>629.878505605192</v>
      </c>
      <c r="AD167" s="0" t="n">
        <f aca="false">W_PH(AD$2,$A167)</f>
        <v>629.787519402845</v>
      </c>
      <c r="AE167" s="0" t="n">
        <f aca="false">W_PH(AE$2,$A167)</f>
        <v>629.697309954692</v>
      </c>
      <c r="AF167" s="0" t="n">
        <f aca="false">W_PH(AF$2,$A167)</f>
        <v>629.607867256491</v>
      </c>
      <c r="AG167" s="0" t="n">
        <f aca="false">W_PH(AG$2,$A167)</f>
        <v>629.51918166829</v>
      </c>
      <c r="AH167" s="0" t="n">
        <f aca="false">W_PH(AH$2,$A167)</f>
        <v>628.672091059621</v>
      </c>
      <c r="AI167" s="0" t="n">
        <f aca="false">W_PH(AI$2,$A167)</f>
        <v>627.892545528329</v>
      </c>
      <c r="AJ167" s="0" t="n">
        <f aca="false">W_PH(AJ$2,$A167)</f>
        <v>627.178612968643</v>
      </c>
      <c r="AK167" s="0" t="n">
        <f aca="false">W_PH(AK$2,$A167)</f>
        <v>626.535724162561</v>
      </c>
      <c r="AL167" s="0" t="n">
        <f aca="false">W_PH(AL$2,$A167)</f>
        <v>625.960208126443</v>
      </c>
      <c r="AM167" s="0" t="n">
        <f aca="false">W_PH(AM$2,$A167)</f>
        <v>625.453001320253</v>
      </c>
      <c r="AN167" s="0" t="n">
        <f aca="false">W_PH(AN$2,$A167)</f>
        <v>625.015109316624</v>
      </c>
      <c r="AO167" s="0" t="n">
        <f aca="false">W_PH(AO$2,$A167)</f>
        <v>624.647494710929</v>
      </c>
      <c r="AP167" s="0" t="n">
        <f aca="false">W_PH(AP$2,$A167)</f>
        <v>624.351001729851</v>
      </c>
      <c r="AQ167" s="0" t="n">
        <f aca="false">W_PH(AQ$2,$A167)</f>
        <v>625.342630297143</v>
      </c>
      <c r="AR167" s="0" t="n">
        <f aca="false">W_PH(AR$2,$A167)</f>
        <v>626.415821543509</v>
      </c>
      <c r="AS167" s="0" t="n">
        <f aca="false">W_PH(AS$2,$A167)</f>
        <v>626.994003240913</v>
      </c>
    </row>
    <row r="168" customFormat="false" ht="13.8" hidden="false" customHeight="false" outlineLevel="0" collapsed="false">
      <c r="A168" s="0" t="n">
        <v>3280</v>
      </c>
      <c r="B168" s="0" t="n">
        <f aca="false">W_PH(B$2,$A168)</f>
        <v>632.583391629082</v>
      </c>
      <c r="C168" s="0" t="n">
        <f aca="false">W_PH(C$2,$A168)</f>
        <v>632.583298111639</v>
      </c>
      <c r="D168" s="0" t="n">
        <f aca="false">W_PH(D$2,$A168)</f>
        <v>632.583204595019</v>
      </c>
      <c r="E168" s="0" t="n">
        <f aca="false">W_PH(E$2,$A168)</f>
        <v>632.583111079224</v>
      </c>
      <c r="F168" s="0" t="n">
        <f aca="false">W_PH(F$2,$A168)</f>
        <v>632.583017564251</v>
      </c>
      <c r="G168" s="0" t="n">
        <f aca="false">W_PH(G$2,$A168)</f>
        <v>632.582082459815</v>
      </c>
      <c r="H168" s="0" t="n">
        <f aca="false">W_PH(H$2,$A168)</f>
        <v>632.581147437712</v>
      </c>
      <c r="I168" s="0" t="n">
        <f aca="false">W_PH(I$2,$A168)</f>
        <v>632.580212497931</v>
      </c>
      <c r="J168" s="0" t="n">
        <f aca="false">W_PH(J$2,$A168)</f>
        <v>632.579277640458</v>
      </c>
      <c r="K168" s="0" t="n">
        <f aca="false">W_PH(K$2,$A168)</f>
        <v>632.578342865283</v>
      </c>
      <c r="L168" s="0" t="n">
        <f aca="false">W_PH(L$2,$A168)</f>
        <v>632.577408172392</v>
      </c>
      <c r="M168" s="0" t="n">
        <f aca="false">W_PH(M$2,$A168)</f>
        <v>632.576473561774</v>
      </c>
      <c r="N168" s="0" t="n">
        <f aca="false">W_PH(N$2,$A168)</f>
        <v>632.575539033416</v>
      </c>
      <c r="O168" s="0" t="n">
        <f aca="false">W_PH(O$2,$A168)</f>
        <v>632.574604587306</v>
      </c>
      <c r="P168" s="0" t="n">
        <f aca="false">W_PH(P$2,$A168)</f>
        <v>632.565264647176</v>
      </c>
      <c r="Q168" s="0" t="n">
        <f aca="false">W_PH(Q$2,$A168)</f>
        <v>632.555932918492</v>
      </c>
      <c r="R168" s="0" t="n">
        <f aca="false">W_PH(R$2,$A168)</f>
        <v>632.546609389141</v>
      </c>
      <c r="S168" s="0" t="n">
        <f aca="false">W_PH(S$2,$A168)</f>
        <v>632.537294047055</v>
      </c>
      <c r="T168" s="0" t="n">
        <f aca="false">W_PH(T$2,$A168)</f>
        <v>632.527986880205</v>
      </c>
      <c r="U168" s="0" t="n">
        <f aca="false">W_PH(U$2,$A168)</f>
        <v>632.518687876608</v>
      </c>
      <c r="V168" s="0" t="n">
        <f aca="false">W_PH(V$2,$A168)</f>
        <v>632.509397024317</v>
      </c>
      <c r="W168" s="0" t="n">
        <f aca="false">W_PH(W$2,$A168)</f>
        <v>632.500114311431</v>
      </c>
      <c r="X168" s="0" t="n">
        <f aca="false">W_PH(X$2,$A168)</f>
        <v>632.490839726088</v>
      </c>
      <c r="Y168" s="0" t="n">
        <f aca="false">W_PH(Y$2,$A168)</f>
        <v>632.398538307223</v>
      </c>
      <c r="Z168" s="0" t="n">
        <f aca="false">W_PH(Z$2,$A168)</f>
        <v>632.307036896403</v>
      </c>
      <c r="AA168" s="0" t="n">
        <f aca="false">W_PH(AA$2,$A168)</f>
        <v>632.21632429312</v>
      </c>
      <c r="AB168" s="0" t="n">
        <f aca="false">W_PH(AB$2,$A168)</f>
        <v>632.126389682535</v>
      </c>
      <c r="AC168" s="0" t="n">
        <f aca="false">W_PH(AC$2,$A168)</f>
        <v>632.037222624342</v>
      </c>
      <c r="AD168" s="0" t="n">
        <f aca="false">W_PH(AD$2,$A168)</f>
        <v>631.948813042302</v>
      </c>
      <c r="AE168" s="0" t="n">
        <f aca="false">W_PH(AE$2,$A168)</f>
        <v>631.861151214431</v>
      </c>
      <c r="AF168" s="0" t="n">
        <f aca="false">W_PH(AF$2,$A168)</f>
        <v>631.774227763792</v>
      </c>
      <c r="AG168" s="0" t="n">
        <f aca="false">W_PH(AG$2,$A168)</f>
        <v>631.688033649856</v>
      </c>
      <c r="AH168" s="0" t="n">
        <f aca="false">W_PH(AH$2,$A168)</f>
        <v>630.864442849759</v>
      </c>
      <c r="AI168" s="0" t="n">
        <f aca="false">W_PH(AI$2,$A168)</f>
        <v>630.10608214881</v>
      </c>
      <c r="AJ168" s="0" t="n">
        <f aca="false">W_PH(AJ$2,$A168)</f>
        <v>629.41129936112</v>
      </c>
      <c r="AK168" s="0" t="n">
        <f aca="false">W_PH(AK$2,$A168)</f>
        <v>628.785010236873</v>
      </c>
      <c r="AL168" s="0" t="n">
        <f aca="false">W_PH(AL$2,$A168)</f>
        <v>628.224399037076</v>
      </c>
      <c r="AM168" s="0" t="n">
        <f aca="false">W_PH(AM$2,$A168)</f>
        <v>627.73045449068</v>
      </c>
      <c r="AN168" s="0" t="n">
        <f aca="false">W_PH(AN$2,$A168)</f>
        <v>627.304232066084</v>
      </c>
      <c r="AO168" s="0" t="n">
        <f aca="false">W_PH(AO$2,$A168)</f>
        <v>626.946742711823</v>
      </c>
      <c r="AP168" s="0" t="n">
        <f aca="false">W_PH(AP$2,$A168)</f>
        <v>626.658878041215</v>
      </c>
      <c r="AQ168" s="0" t="n">
        <f aca="false">W_PH(AQ$2,$A168)</f>
        <v>627.664816234217</v>
      </c>
      <c r="AR168" s="0" t="n">
        <f aca="false">W_PH(AR$2,$A168)</f>
        <v>628.727117844973</v>
      </c>
      <c r="AS168" s="0" t="n">
        <f aca="false">W_PH(AS$2,$A168)</f>
        <v>629.299033096899</v>
      </c>
    </row>
    <row r="169" customFormat="false" ht="13.8" hidden="false" customHeight="false" outlineLevel="0" collapsed="false">
      <c r="A169" s="0" t="n">
        <v>3290</v>
      </c>
      <c r="B169" s="0" t="n">
        <f aca="false">W_PH(B$2,$A169)</f>
        <v>634.713652793752</v>
      </c>
      <c r="C169" s="0" t="n">
        <f aca="false">W_PH(C$2,$A169)</f>
        <v>634.71356197895</v>
      </c>
      <c r="D169" s="0" t="n">
        <f aca="false">W_PH(D$2,$A169)</f>
        <v>634.713471164939</v>
      </c>
      <c r="E169" s="0" t="n">
        <f aca="false">W_PH(E$2,$A169)</f>
        <v>634.713380351719</v>
      </c>
      <c r="F169" s="0" t="n">
        <f aca="false">W_PH(F$2,$A169)</f>
        <v>634.71328953929</v>
      </c>
      <c r="G169" s="0" t="n">
        <f aca="false">W_PH(G$2,$A169)</f>
        <v>634.712381458506</v>
      </c>
      <c r="H169" s="0" t="n">
        <f aca="false">W_PH(H$2,$A169)</f>
        <v>634.711473456814</v>
      </c>
      <c r="I169" s="0" t="n">
        <f aca="false">W_PH(I$2,$A169)</f>
        <v>634.710565534202</v>
      </c>
      <c r="J169" s="0" t="n">
        <f aca="false">W_PH(J$2,$A169)</f>
        <v>634.709657690659</v>
      </c>
      <c r="K169" s="0" t="n">
        <f aca="false">W_PH(K$2,$A169)</f>
        <v>634.708749926174</v>
      </c>
      <c r="L169" s="0" t="n">
        <f aca="false">W_PH(L$2,$A169)</f>
        <v>634.707842240735</v>
      </c>
      <c r="M169" s="0" t="n">
        <f aca="false">W_PH(M$2,$A169)</f>
        <v>634.706934634331</v>
      </c>
      <c r="N169" s="0" t="n">
        <f aca="false">W_PH(N$2,$A169)</f>
        <v>634.70602710695</v>
      </c>
      <c r="O169" s="0" t="n">
        <f aca="false">W_PH(O$2,$A169)</f>
        <v>634.705119658582</v>
      </c>
      <c r="P169" s="0" t="n">
        <f aca="false">W_PH(P$2,$A169)</f>
        <v>634.696049518068</v>
      </c>
      <c r="Q169" s="0" t="n">
        <f aca="false">W_PH(Q$2,$A169)</f>
        <v>634.686987266297</v>
      </c>
      <c r="R169" s="0" t="n">
        <f aca="false">W_PH(R$2,$A169)</f>
        <v>634.677932891966</v>
      </c>
      <c r="S169" s="0" t="n">
        <f aca="false">W_PH(S$2,$A169)</f>
        <v>634.668886383812</v>
      </c>
      <c r="T169" s="0" t="n">
        <f aca="false">W_PH(T$2,$A169)</f>
        <v>634.659847730612</v>
      </c>
      <c r="U169" s="0" t="n">
        <f aca="false">W_PH(U$2,$A169)</f>
        <v>634.65081692118</v>
      </c>
      <c r="V169" s="0" t="n">
        <f aca="false">W_PH(V$2,$A169)</f>
        <v>634.641793944367</v>
      </c>
      <c r="W169" s="0" t="n">
        <f aca="false">W_PH(W$2,$A169)</f>
        <v>634.632778789066</v>
      </c>
      <c r="X169" s="0" t="n">
        <f aca="false">W_PH(X$2,$A169)</f>
        <v>634.623771444204</v>
      </c>
      <c r="Y169" s="0" t="n">
        <f aca="false">W_PH(Y$2,$A169)</f>
        <v>634.534125161184</v>
      </c>
      <c r="Z169" s="0" t="n">
        <f aca="false">W_PH(Z$2,$A169)</f>
        <v>634.44524802256</v>
      </c>
      <c r="AA169" s="0" t="n">
        <f aca="false">W_PH(AA$2,$A169)</f>
        <v>634.357129568113</v>
      </c>
      <c r="AB169" s="0" t="n">
        <f aca="false">W_PH(AB$2,$A169)</f>
        <v>634.269759693985</v>
      </c>
      <c r="AC169" s="0" t="n">
        <f aca="false">W_PH(AC$2,$A169)</f>
        <v>634.183128642332</v>
      </c>
      <c r="AD169" s="0" t="n">
        <f aca="false">W_PH(AD$2,$A169)</f>
        <v>634.09722699158</v>
      </c>
      <c r="AE169" s="0" t="n">
        <f aca="false">W_PH(AE$2,$A169)</f>
        <v>634.012045647232</v>
      </c>
      <c r="AF169" s="0" t="n">
        <f aca="false">W_PH(AF$2,$A169)</f>
        <v>633.927575833213</v>
      </c>
      <c r="AG169" s="0" t="n">
        <f aca="false">W_PH(AG$2,$A169)</f>
        <v>633.843809083727</v>
      </c>
      <c r="AH169" s="0" t="n">
        <f aca="false">W_PH(AH$2,$A169)</f>
        <v>633.043155415619</v>
      </c>
      <c r="AI169" s="0" t="n">
        <f aca="false">W_PH(AI$2,$A169)</f>
        <v>632.305553760841</v>
      </c>
      <c r="AJ169" s="0" t="n">
        <f aca="false">W_PH(AJ$2,$A169)</f>
        <v>631.629625592966</v>
      </c>
      <c r="AK169" s="0" t="n">
        <f aca="false">W_PH(AK$2,$A169)</f>
        <v>631.01970856674</v>
      </c>
      <c r="AL169" s="0" t="n">
        <f aca="false">W_PH(AL$2,$A169)</f>
        <v>630.473854661884</v>
      </c>
      <c r="AM169" s="0" t="n">
        <f aca="false">W_PH(AM$2,$A169)</f>
        <v>629.993096756436</v>
      </c>
      <c r="AN169" s="0" t="n">
        <f aca="false">W_PH(AN$2,$A169)</f>
        <v>629.578531762106</v>
      </c>
      <c r="AO169" s="0" t="n">
        <f aca="false">W_PH(AO$2,$A169)</f>
        <v>629.231210801474</v>
      </c>
      <c r="AP169" s="0" t="n">
        <f aca="false">W_PH(AP$2,$A169)</f>
        <v>628.952065260248</v>
      </c>
      <c r="AQ169" s="0" t="n">
        <f aca="false">W_PH(AQ$2,$A169)</f>
        <v>629.974602159332</v>
      </c>
      <c r="AR169" s="0" t="n">
        <f aca="false">W_PH(AR$2,$A169)</f>
        <v>631.026599171525</v>
      </c>
      <c r="AS169" s="0" t="n">
        <f aca="false">W_PH(AS$2,$A169)</f>
        <v>631.592515614976</v>
      </c>
    </row>
    <row r="170" customFormat="false" ht="13.8" hidden="false" customHeight="false" outlineLevel="0" collapsed="false">
      <c r="A170" s="0" t="n">
        <v>3300</v>
      </c>
      <c r="B170" s="0" t="n">
        <f aca="false">W_PH(B$2,$A170)</f>
        <v>636.831697415844</v>
      </c>
      <c r="C170" s="0" t="n">
        <f aca="false">W_PH(C$2,$A170)</f>
        <v>636.831609227697</v>
      </c>
      <c r="D170" s="0" t="n">
        <f aca="false">W_PH(D$2,$A170)</f>
        <v>636.83152104031</v>
      </c>
      <c r="E170" s="0" t="n">
        <f aca="false">W_PH(E$2,$A170)</f>
        <v>636.831432853684</v>
      </c>
      <c r="F170" s="0" t="n">
        <f aca="false">W_PH(F$2,$A170)</f>
        <v>636.831344667818</v>
      </c>
      <c r="G170" s="0" t="n">
        <f aca="false">W_PH(G$2,$A170)</f>
        <v>636.830462850969</v>
      </c>
      <c r="H170" s="0" t="n">
        <f aca="false">W_PH(H$2,$A170)</f>
        <v>636.829581110136</v>
      </c>
      <c r="I170" s="0" t="n">
        <f aca="false">W_PH(I$2,$A170)</f>
        <v>636.828699445308</v>
      </c>
      <c r="J170" s="0" t="n">
        <f aca="false">W_PH(J$2,$A170)</f>
        <v>636.827817856475</v>
      </c>
      <c r="K170" s="0" t="n">
        <f aca="false">W_PH(K$2,$A170)</f>
        <v>636.826936343626</v>
      </c>
      <c r="L170" s="0" t="n">
        <f aca="false">W_PH(L$2,$A170)</f>
        <v>636.826054906751</v>
      </c>
      <c r="M170" s="0" t="n">
        <f aca="false">W_PH(M$2,$A170)</f>
        <v>636.825173545839</v>
      </c>
      <c r="N170" s="0" t="n">
        <f aca="false">W_PH(N$2,$A170)</f>
        <v>636.82429226088</v>
      </c>
      <c r="O170" s="0" t="n">
        <f aca="false">W_PH(O$2,$A170)</f>
        <v>636.823411051862</v>
      </c>
      <c r="P170" s="0" t="n">
        <f aca="false">W_PH(P$2,$A170)</f>
        <v>636.814603136159</v>
      </c>
      <c r="Q170" s="0" t="n">
        <f aca="false">W_PH(Q$2,$A170)</f>
        <v>636.805802803019</v>
      </c>
      <c r="R170" s="0" t="n">
        <f aca="false">W_PH(R$2,$A170)</f>
        <v>636.797010041912</v>
      </c>
      <c r="S170" s="0" t="n">
        <f aca="false">W_PH(S$2,$A170)</f>
        <v>636.788224842342</v>
      </c>
      <c r="T170" s="0" t="n">
        <f aca="false">W_PH(T$2,$A170)</f>
        <v>636.77944719385</v>
      </c>
      <c r="U170" s="0" t="n">
        <f aca="false">W_PH(U$2,$A170)</f>
        <v>636.770677086014</v>
      </c>
      <c r="V170" s="0" t="n">
        <f aca="false">W_PH(V$2,$A170)</f>
        <v>636.761914508446</v>
      </c>
      <c r="W170" s="0" t="n">
        <f aca="false">W_PH(W$2,$A170)</f>
        <v>636.753159450792</v>
      </c>
      <c r="X170" s="0" t="n">
        <f aca="false">W_PH(X$2,$A170)</f>
        <v>636.744411902735</v>
      </c>
      <c r="Y170" s="0" t="n">
        <f aca="false">W_PH(Y$2,$A170)</f>
        <v>636.657347205088</v>
      </c>
      <c r="Z170" s="0" t="n">
        <f aca="false">W_PH(Z$2,$A170)</f>
        <v>636.571022374916</v>
      </c>
      <c r="AA170" s="0" t="n">
        <f aca="false">W_PH(AA$2,$A170)</f>
        <v>636.485427658397</v>
      </c>
      <c r="AB170" s="0" t="n">
        <f aca="false">W_PH(AB$2,$A170)</f>
        <v>636.400553630582</v>
      </c>
      <c r="AC170" s="0" t="n">
        <f aca="false">W_PH(AC$2,$A170)</f>
        <v>636.316391185795</v>
      </c>
      <c r="AD170" s="0" t="n">
        <f aca="false">W_PH(AD$2,$A170)</f>
        <v>636.232931528564</v>
      </c>
      <c r="AE170" s="0" t="n">
        <f aca="false">W_PH(AE$2,$A170)</f>
        <v>636.150166165031</v>
      </c>
      <c r="AF170" s="0" t="n">
        <f aca="false">W_PH(AF$2,$A170)</f>
        <v>636.068086894849</v>
      </c>
      <c r="AG170" s="0" t="n">
        <f aca="false">W_PH(AG$2,$A170)</f>
        <v>635.986685803508</v>
      </c>
      <c r="AH170" s="0" t="n">
        <f aca="false">W_PH(AH$2,$A170)</f>
        <v>635.208424540656</v>
      </c>
      <c r="AI170" s="0" t="n">
        <f aca="false">W_PH(AI$2,$A170)</f>
        <v>634.491163274647</v>
      </c>
      <c r="AJ170" s="0" t="n">
        <f aca="false">W_PH(AJ$2,$A170)</f>
        <v>633.833791686671</v>
      </c>
      <c r="AK170" s="0" t="n">
        <f aca="false">W_PH(AK$2,$A170)</f>
        <v>633.240021440892</v>
      </c>
      <c r="AL170" s="0" t="n">
        <f aca="false">W_PH(AL$2,$A170)</f>
        <v>632.708774676971</v>
      </c>
      <c r="AM170" s="0" t="n">
        <f aca="false">W_PH(AM$2,$A170)</f>
        <v>632.241121427806</v>
      </c>
      <c r="AN170" s="0" t="n">
        <f aca="false">W_PH(AN$2,$A170)</f>
        <v>631.838192596738</v>
      </c>
      <c r="AO170" s="0" t="n">
        <f aca="false">W_PH(AO$2,$A170)</f>
        <v>631.501072111533</v>
      </c>
      <c r="AP170" s="0" t="n">
        <f aca="false">W_PH(AP$2,$A170)</f>
        <v>631.230724132595</v>
      </c>
      <c r="AQ170" s="0" t="n">
        <f aca="false">W_PH(AQ$2,$A170)</f>
        <v>632.272009208429</v>
      </c>
      <c r="AR170" s="0" t="n">
        <f aca="false">W_PH(AR$2,$A170)</f>
        <v>633.314259272385</v>
      </c>
      <c r="AS170" s="0" t="n">
        <f aca="false">W_PH(AS$2,$A170)</f>
        <v>633.874432387606</v>
      </c>
    </row>
    <row r="171" customFormat="false" ht="13.8" hidden="false" customHeight="false" outlineLevel="0" collapsed="false">
      <c r="A171" s="0" t="n">
        <v>3310</v>
      </c>
      <c r="B171" s="0" t="n">
        <f aca="false">W_PH(B$2,$A171)</f>
        <v>638.937671537552</v>
      </c>
      <c r="C171" s="0" t="n">
        <f aca="false">W_PH(C$2,$A171)</f>
        <v>638.937585903413</v>
      </c>
      <c r="D171" s="0" t="n">
        <f aca="false">W_PH(D$2,$A171)</f>
        <v>638.937500270006</v>
      </c>
      <c r="E171" s="0" t="n">
        <f aca="false">W_PH(E$2,$A171)</f>
        <v>638.93741463733</v>
      </c>
      <c r="F171" s="0" t="n">
        <f aca="false">W_PH(F$2,$A171)</f>
        <v>638.937329005385</v>
      </c>
      <c r="G171" s="0" t="n">
        <f aca="false">W_PH(G$2,$A171)</f>
        <v>638.936472726141</v>
      </c>
      <c r="H171" s="0" t="n">
        <f aca="false">W_PH(H$2,$A171)</f>
        <v>638.935616519991</v>
      </c>
      <c r="I171" s="0" t="n">
        <f aca="false">W_PH(I$2,$A171)</f>
        <v>638.934760386927</v>
      </c>
      <c r="J171" s="0" t="n">
        <f aca="false">W_PH(J$2,$A171)</f>
        <v>638.933904326937</v>
      </c>
      <c r="K171" s="0" t="n">
        <f aca="false">W_PH(K$2,$A171)</f>
        <v>638.933048340013</v>
      </c>
      <c r="L171" s="0" t="n">
        <f aca="false">W_PH(L$2,$A171)</f>
        <v>638.932192426145</v>
      </c>
      <c r="M171" s="0" t="n">
        <f aca="false">W_PH(M$2,$A171)</f>
        <v>638.931336585322</v>
      </c>
      <c r="N171" s="0" t="n">
        <f aca="false">W_PH(N$2,$A171)</f>
        <v>638.930480817535</v>
      </c>
      <c r="O171" s="0" t="n">
        <f aca="false">W_PH(O$2,$A171)</f>
        <v>638.929625122774</v>
      </c>
      <c r="P171" s="0" t="n">
        <f aca="false">W_PH(P$2,$A171)</f>
        <v>638.92107218942</v>
      </c>
      <c r="Q171" s="0" t="n">
        <f aca="false">W_PH(Q$2,$A171)</f>
        <v>638.912526547845</v>
      </c>
      <c r="R171" s="0" t="n">
        <f aca="false">W_PH(R$2,$A171)</f>
        <v>638.903988188253</v>
      </c>
      <c r="S171" s="0" t="n">
        <f aca="false">W_PH(S$2,$A171)</f>
        <v>638.895457100881</v>
      </c>
      <c r="T171" s="0" t="n">
        <f aca="false">W_PH(T$2,$A171)</f>
        <v>638.886933275998</v>
      </c>
      <c r="U171" s="0" t="n">
        <f aca="false">W_PH(U$2,$A171)</f>
        <v>638.878416703907</v>
      </c>
      <c r="V171" s="0" t="n">
        <f aca="false">W_PH(V$2,$A171)</f>
        <v>638.869907374944</v>
      </c>
      <c r="W171" s="0" t="n">
        <f aca="false">W_PH(W$2,$A171)</f>
        <v>638.861405279475</v>
      </c>
      <c r="X171" s="0" t="n">
        <f aca="false">W_PH(X$2,$A171)</f>
        <v>638.852910407903</v>
      </c>
      <c r="Y171" s="0" t="n">
        <f aca="false">W_PH(Y$2,$A171)</f>
        <v>638.768356917491</v>
      </c>
      <c r="Z171" s="0" t="n">
        <f aca="false">W_PH(Z$2,$A171)</f>
        <v>638.684515493915</v>
      </c>
      <c r="AA171" s="0" t="n">
        <f aca="false">W_PH(AA$2,$A171)</f>
        <v>638.601377057114</v>
      </c>
      <c r="AB171" s="0" t="n">
        <f aca="false">W_PH(AB$2,$A171)</f>
        <v>638.518932830185</v>
      </c>
      <c r="AC171" s="0" t="n">
        <f aca="false">W_PH(AC$2,$A171)</f>
        <v>638.437174330486</v>
      </c>
      <c r="AD171" s="0" t="n">
        <f aca="false">W_PH(AD$2,$A171)</f>
        <v>638.356093361201</v>
      </c>
      <c r="AE171" s="0" t="n">
        <f aca="false">W_PH(AE$2,$A171)</f>
        <v>638.275682003343</v>
      </c>
      <c r="AF171" s="0" t="n">
        <f aca="false">W_PH(AF$2,$A171)</f>
        <v>638.195932608158</v>
      </c>
      <c r="AG171" s="0" t="n">
        <f aca="false">W_PH(AG$2,$A171)</f>
        <v>638.116837789941</v>
      </c>
      <c r="AH171" s="0" t="n">
        <f aca="false">W_PH(AH$2,$A171)</f>
        <v>637.360441922324</v>
      </c>
      <c r="AI171" s="0" t="n">
        <f aca="false">W_PH(AI$2,$A171)</f>
        <v>636.663110142455</v>
      </c>
      <c r="AJ171" s="0" t="n">
        <f aca="false">W_PH(AJ$2,$A171)</f>
        <v>636.023995219166</v>
      </c>
      <c r="AK171" s="0" t="n">
        <f aca="false">W_PH(AK$2,$A171)</f>
        <v>635.446149089016</v>
      </c>
      <c r="AL171" s="0" t="n">
        <f aca="false">W_PH(AL$2,$A171)</f>
        <v>634.929357333057</v>
      </c>
      <c r="AM171" s="0" t="n">
        <f aca="false">W_PH(AM$2,$A171)</f>
        <v>634.474721113222</v>
      </c>
      <c r="AN171" s="0" t="n">
        <f aca="false">W_PH(AN$2,$A171)</f>
        <v>634.083398769011</v>
      </c>
      <c r="AO171" s="0" t="n">
        <f aca="false">W_PH(AO$2,$A171)</f>
        <v>633.756500419839</v>
      </c>
      <c r="AP171" s="0" t="n">
        <f aca="false">W_PH(AP$2,$A171)</f>
        <v>633.49501660374</v>
      </c>
      <c r="AQ171" s="0" t="n">
        <f aca="false">W_PH(AQ$2,$A171)</f>
        <v>634.557065649906</v>
      </c>
      <c r="AR171" s="0" t="n">
        <f aca="false">W_PH(AR$2,$A171)</f>
        <v>635.590101239588</v>
      </c>
      <c r="AS171" s="0" t="n">
        <f aca="false">W_PH(AS$2,$A171)</f>
        <v>636.144775431283</v>
      </c>
    </row>
    <row r="172" customFormat="false" ht="13.8" hidden="false" customHeight="false" outlineLevel="0" collapsed="false">
      <c r="A172" s="0" t="n">
        <v>3320</v>
      </c>
      <c r="B172" s="0" t="n">
        <f aca="false">W_PH(B$2,$A172)</f>
        <v>641.031718813181</v>
      </c>
      <c r="C172" s="0" t="n">
        <f aca="false">W_PH(C$2,$A172)</f>
        <v>641.031635663551</v>
      </c>
      <c r="D172" s="0" t="n">
        <f aca="false">W_PH(D$2,$A172)</f>
        <v>641.031552514624</v>
      </c>
      <c r="E172" s="0" t="n">
        <f aca="false">W_PH(E$2,$A172)</f>
        <v>641.031469366401</v>
      </c>
      <c r="F172" s="0" t="n">
        <f aca="false">W_PH(F$2,$A172)</f>
        <v>641.03138621888</v>
      </c>
      <c r="G172" s="0" t="n">
        <f aca="false">W_PH(G$2,$A172)</f>
        <v>641.030554782356</v>
      </c>
      <c r="H172" s="0" t="n">
        <f aca="false">W_PH(H$2,$A172)</f>
        <v>641.029723416149</v>
      </c>
      <c r="I172" s="0" t="n">
        <f aca="false">W_PH(I$2,$A172)</f>
        <v>641.028892120252</v>
      </c>
      <c r="J172" s="0" t="n">
        <f aca="false">W_PH(J$2,$A172)</f>
        <v>641.028060894654</v>
      </c>
      <c r="K172" s="0" t="n">
        <f aca="false">W_PH(K$2,$A172)</f>
        <v>641.027229739348</v>
      </c>
      <c r="L172" s="0" t="n">
        <f aca="false">W_PH(L$2,$A172)</f>
        <v>641.026398654323</v>
      </c>
      <c r="M172" s="0" t="n">
        <f aca="false">W_PH(M$2,$A172)</f>
        <v>641.025567639571</v>
      </c>
      <c r="N172" s="0" t="n">
        <f aca="false">W_PH(N$2,$A172)</f>
        <v>641.024736695082</v>
      </c>
      <c r="O172" s="0" t="n">
        <f aca="false">W_PH(O$2,$A172)</f>
        <v>641.023905820847</v>
      </c>
      <c r="P172" s="0" t="n">
        <f aca="false">W_PH(P$2,$A172)</f>
        <v>641.015600940472</v>
      </c>
      <c r="Q172" s="0" t="n">
        <f aca="false">W_PH(Q$2,$A172)</f>
        <v>641.00730307548</v>
      </c>
      <c r="R172" s="0" t="n">
        <f aca="false">W_PH(R$2,$A172)</f>
        <v>640.999012216774</v>
      </c>
      <c r="S172" s="0" t="n">
        <f aca="false">W_PH(S$2,$A172)</f>
        <v>640.990728355288</v>
      </c>
      <c r="T172" s="0" t="n">
        <f aca="false">W_PH(T$2,$A172)</f>
        <v>640.982451481985</v>
      </c>
      <c r="U172" s="0" t="n">
        <f aca="false">W_PH(U$2,$A172)</f>
        <v>640.974181587858</v>
      </c>
      <c r="V172" s="0" t="n">
        <f aca="false">W_PH(V$2,$A172)</f>
        <v>640.965918663932</v>
      </c>
      <c r="W172" s="0" t="n">
        <f aca="false">W_PH(W$2,$A172)</f>
        <v>640.95766270126</v>
      </c>
      <c r="X172" s="0" t="n">
        <f aca="false">W_PH(X$2,$A172)</f>
        <v>640.949413690926</v>
      </c>
      <c r="Y172" s="0" t="n">
        <f aca="false">W_PH(Y$2,$A172)</f>
        <v>640.867304025739</v>
      </c>
      <c r="Z172" s="0" t="n">
        <f aca="false">W_PH(Z$2,$A172)</f>
        <v>640.78588000455</v>
      </c>
      <c r="AA172" s="0" t="n">
        <f aca="false">W_PH(AA$2,$A172)</f>
        <v>640.705133189541</v>
      </c>
      <c r="AB172" s="0" t="n">
        <f aca="false">W_PH(AB$2,$A172)</f>
        <v>640.625055422045</v>
      </c>
      <c r="AC172" s="0" t="n">
        <f aca="false">W_PH(AC$2,$A172)</f>
        <v>640.545638814317</v>
      </c>
      <c r="AD172" s="0" t="n">
        <f aca="false">W_PH(AD$2,$A172)</f>
        <v>640.466875741695</v>
      </c>
      <c r="AE172" s="0" t="n">
        <f aca="false">W_PH(AE$2,$A172)</f>
        <v>640.388758835157</v>
      </c>
      <c r="AF172" s="0" t="n">
        <f aca="false">W_PH(AF$2,$A172)</f>
        <v>640.311280974231</v>
      </c>
      <c r="AG172" s="0" t="n">
        <f aca="false">W_PH(AG$2,$A172)</f>
        <v>640.234435280264</v>
      </c>
      <c r="AH172" s="0" t="n">
        <f aca="false">W_PH(AH$2,$A172)</f>
        <v>639.499395202923</v>
      </c>
      <c r="AI172" s="0" t="n">
        <f aca="false">W_PH(AI$2,$A172)</f>
        <v>638.821590285674</v>
      </c>
      <c r="AJ172" s="0" t="n">
        <f aca="false">W_PH(AJ$2,$A172)</f>
        <v>638.200431195203</v>
      </c>
      <c r="AK172" s="0" t="n">
        <f aca="false">W_PH(AK$2,$A172)</f>
        <v>637.638289476905</v>
      </c>
      <c r="AL172" s="0" t="n">
        <f aca="false">W_PH(AL$2,$A172)</f>
        <v>637.13579918038</v>
      </c>
      <c r="AM172" s="0" t="n">
        <f aca="false">W_PH(AM$2,$A172)</f>
        <v>636.694087399524</v>
      </c>
      <c r="AN172" s="0" t="n">
        <f aca="false">W_PH(AN$2,$A172)</f>
        <v>636.31433415252</v>
      </c>
      <c r="AO172" s="0" t="n">
        <f aca="false">W_PH(AO$2,$A172)</f>
        <v>635.997669835321</v>
      </c>
      <c r="AP172" s="0" t="n">
        <f aca="false">W_PH(AP$2,$A172)</f>
        <v>635.745105544171</v>
      </c>
      <c r="AQ172" s="0" t="n">
        <f aca="false">W_PH(AQ$2,$A172)</f>
        <v>636.82980671542</v>
      </c>
      <c r="AR172" s="0" t="n">
        <f aca="false">W_PH(AR$2,$A172)</f>
        <v>637.854137223947</v>
      </c>
      <c r="AS172" s="0" t="n">
        <f aca="false">W_PH(AS$2,$A172)</f>
        <v>638.403546862153</v>
      </c>
    </row>
    <row r="173" customFormat="false" ht="13.8" hidden="false" customHeight="false" outlineLevel="0" collapsed="false">
      <c r="A173" s="0" t="n">
        <v>3330</v>
      </c>
      <c r="B173" s="0" t="n">
        <f aca="false">W_PH(B$2,$A173)</f>
        <v>643.11398057767</v>
      </c>
      <c r="C173" s="0" t="n">
        <f aca="false">W_PH(C$2,$A173)</f>
        <v>643.11389984601</v>
      </c>
      <c r="D173" s="0" t="n">
        <f aca="false">W_PH(D$2,$A173)</f>
        <v>643.113819115027</v>
      </c>
      <c r="E173" s="0" t="n">
        <f aca="false">W_PH(E$2,$A173)</f>
        <v>643.11373838472</v>
      </c>
      <c r="F173" s="0" t="n">
        <f aca="false">W_PH(F$2,$A173)</f>
        <v>643.113657655091</v>
      </c>
      <c r="G173" s="0" t="n">
        <f aca="false">W_PH(G$2,$A173)</f>
        <v>643.112850396021</v>
      </c>
      <c r="H173" s="0" t="n">
        <f aca="false">W_PH(H$2,$A173)</f>
        <v>643.112043204628</v>
      </c>
      <c r="I173" s="0" t="n">
        <f aca="false">W_PH(I$2,$A173)</f>
        <v>643.111236080903</v>
      </c>
      <c r="J173" s="0" t="n">
        <f aca="false">W_PH(J$2,$A173)</f>
        <v>643.110429024839</v>
      </c>
      <c r="K173" s="0" t="n">
        <f aca="false">W_PH(K$2,$A173)</f>
        <v>643.109622036427</v>
      </c>
      <c r="L173" s="0" t="n">
        <f aca="false">W_PH(L$2,$A173)</f>
        <v>643.108815115658</v>
      </c>
      <c r="M173" s="0" t="n">
        <f aca="false">W_PH(M$2,$A173)</f>
        <v>643.108008262524</v>
      </c>
      <c r="N173" s="0" t="n">
        <f aca="false">W_PH(N$2,$A173)</f>
        <v>643.107201477016</v>
      </c>
      <c r="O173" s="0" t="n">
        <f aca="false">W_PH(O$2,$A173)</f>
        <v>643.106394759126</v>
      </c>
      <c r="P173" s="0" t="n">
        <f aca="false">W_PH(P$2,$A173)</f>
        <v>643.098331297341</v>
      </c>
      <c r="Q173" s="0" t="n">
        <f aca="false">W_PH(Q$2,$A173)</f>
        <v>643.090274588033</v>
      </c>
      <c r="R173" s="0" t="n">
        <f aca="false">W_PH(R$2,$A173)</f>
        <v>643.082224622768</v>
      </c>
      <c r="S173" s="0" t="n">
        <f aca="false">W_PH(S$2,$A173)</f>
        <v>643.074181393141</v>
      </c>
      <c r="T173" s="0" t="n">
        <f aca="false">W_PH(T$2,$A173)</f>
        <v>643.066144890777</v>
      </c>
      <c r="U173" s="0" t="n">
        <f aca="false">W_PH(U$2,$A173)</f>
        <v>643.058115107325</v>
      </c>
      <c r="V173" s="0" t="n">
        <f aca="false">W_PH(V$2,$A173)</f>
        <v>643.050092034464</v>
      </c>
      <c r="W173" s="0" t="n">
        <f aca="false">W_PH(W$2,$A173)</f>
        <v>643.042075663902</v>
      </c>
      <c r="X173" s="0" t="n">
        <f aca="false">W_PH(X$2,$A173)</f>
        <v>643.03406598737</v>
      </c>
      <c r="Y173" s="0" t="n">
        <f aca="false">W_PH(Y$2,$A173)</f>
        <v>642.954335594656</v>
      </c>
      <c r="Z173" s="0" t="n">
        <f aca="false">W_PH(Z$2,$A173)</f>
        <v>642.875265712851</v>
      </c>
      <c r="AA173" s="0" t="n">
        <f aca="false">W_PH(AA$2,$A173)</f>
        <v>642.79684851588</v>
      </c>
      <c r="AB173" s="0" t="n">
        <f aca="false">W_PH(AB$2,$A173)</f>
        <v>642.719076434462</v>
      </c>
      <c r="AC173" s="0" t="n">
        <f aca="false">W_PH(AC$2,$A173)</f>
        <v>642.641942148488</v>
      </c>
      <c r="AD173" s="0" t="n">
        <f aca="false">W_PH(AD$2,$A173)</f>
        <v>642.56543857976</v>
      </c>
      <c r="AE173" s="0" t="n">
        <f aca="false">W_PH(AE$2,$A173)</f>
        <v>642.489558885062</v>
      </c>
      <c r="AF173" s="0" t="n">
        <f aca="false">W_PH(AF$2,$A173)</f>
        <v>642.414296449556</v>
      </c>
      <c r="AG173" s="0" t="n">
        <f aca="false">W_PH(AG$2,$A173)</f>
        <v>642.339644880481</v>
      </c>
      <c r="AH173" s="0" t="n">
        <f aca="false">W_PH(AH$2,$A173)</f>
        <v>641.625468019468</v>
      </c>
      <c r="AI173" s="0" t="n">
        <f aca="false">W_PH(AI$2,$A173)</f>
        <v>640.966796047837</v>
      </c>
      <c r="AJ173" s="0" t="n">
        <f aca="false">W_PH(AJ$2,$A173)</f>
        <v>640.363291945955</v>
      </c>
      <c r="AK173" s="0" t="n">
        <f aca="false">W_PH(AK$2,$A173)</f>
        <v>639.816638137833</v>
      </c>
      <c r="AL173" s="0" t="n">
        <f aca="false">W_PH(AL$2,$A173)</f>
        <v>639.328294835202</v>
      </c>
      <c r="AM173" s="0" t="n">
        <f aca="false">W_PH(AM$2,$A173)</f>
        <v>638.899410572587</v>
      </c>
      <c r="AN173" s="0" t="n">
        <f aca="false">W_PH(AN$2,$A173)</f>
        <v>638.531181996234</v>
      </c>
      <c r="AO173" s="0" t="n">
        <f aca="false">W_PH(AO$2,$A173)</f>
        <v>638.224754504745</v>
      </c>
      <c r="AP173" s="0" t="n">
        <f aca="false">W_PH(AP$2,$A173)</f>
        <v>637.981154482781</v>
      </c>
      <c r="AQ173" s="0" t="n">
        <f aca="false">W_PH(AQ$2,$A173)</f>
        <v>639.09027436714</v>
      </c>
      <c r="AR173" s="0" t="n">
        <f aca="false">W_PH(AR$2,$A173)</f>
        <v>640.106388065048</v>
      </c>
      <c r="AS173" s="0" t="n">
        <f aca="false">W_PH(AS$2,$A173)</f>
        <v>640.650758468258</v>
      </c>
    </row>
    <row r="174" customFormat="false" ht="13.8" hidden="false" customHeight="false" outlineLevel="0" collapsed="false">
      <c r="A174" s="0" t="n">
        <v>3340</v>
      </c>
      <c r="B174" s="0" t="n">
        <f aca="false">W_PH(B$2,$A174)</f>
        <v>645.184595911654</v>
      </c>
      <c r="C174" s="0" t="n">
        <f aca="false">W_PH(C$2,$A174)</f>
        <v>645.184517534217</v>
      </c>
      <c r="D174" s="0" t="n">
        <f aca="false">W_PH(D$2,$A174)</f>
        <v>645.184439157433</v>
      </c>
      <c r="E174" s="0" t="n">
        <f aca="false">W_PH(E$2,$A174)</f>
        <v>645.184360781299</v>
      </c>
      <c r="F174" s="0" t="n">
        <f aca="false">W_PH(F$2,$A174)</f>
        <v>645.184282405817</v>
      </c>
      <c r="G174" s="0" t="n">
        <f aca="false">W_PH(G$2,$A174)</f>
        <v>645.183498686844</v>
      </c>
      <c r="H174" s="0" t="n">
        <f aca="false">W_PH(H$2,$A174)</f>
        <v>645.182715033035</v>
      </c>
      <c r="I174" s="0" t="n">
        <f aca="false">W_PH(I$2,$A174)</f>
        <v>645.181931444381</v>
      </c>
      <c r="J174" s="0" t="n">
        <f aca="false">W_PH(J$2,$A174)</f>
        <v>645.181147920875</v>
      </c>
      <c r="K174" s="0" t="n">
        <f aca="false">W_PH(K$2,$A174)</f>
        <v>645.180364462509</v>
      </c>
      <c r="L174" s="0" t="n">
        <f aca="false">W_PH(L$2,$A174)</f>
        <v>645.179581069275</v>
      </c>
      <c r="M174" s="0" t="n">
        <f aca="false">W_PH(M$2,$A174)</f>
        <v>645.178797741165</v>
      </c>
      <c r="N174" s="0" t="n">
        <f aca="false">W_PH(N$2,$A174)</f>
        <v>645.178014478172</v>
      </c>
      <c r="O174" s="0" t="n">
        <f aca="false">W_PH(O$2,$A174)</f>
        <v>645.177231280287</v>
      </c>
      <c r="P174" s="0" t="n">
        <f aca="false">W_PH(P$2,$A174)</f>
        <v>645.169402880687</v>
      </c>
      <c r="Q174" s="0" t="n">
        <f aca="false">W_PH(Q$2,$A174)</f>
        <v>645.161580983334</v>
      </c>
      <c r="R174" s="0" t="n">
        <f aca="false">W_PH(R$2,$A174)</f>
        <v>645.153765580428</v>
      </c>
      <c r="S174" s="0" t="n">
        <f aca="false">W_PH(S$2,$A174)</f>
        <v>645.145956664193</v>
      </c>
      <c r="T174" s="0" t="n">
        <f aca="false">W_PH(T$2,$A174)</f>
        <v>645.138154226879</v>
      </c>
      <c r="U174" s="0" t="n">
        <f aca="false">W_PH(U$2,$A174)</f>
        <v>645.130358260761</v>
      </c>
      <c r="V174" s="0" t="n">
        <f aca="false">W_PH(V$2,$A174)</f>
        <v>645.12256875814</v>
      </c>
      <c r="W174" s="0" t="n">
        <f aca="false">W_PH(W$2,$A174)</f>
        <v>645.114785711342</v>
      </c>
      <c r="X174" s="0" t="n">
        <f aca="false">W_PH(X$2,$A174)</f>
        <v>645.107009112719</v>
      </c>
      <c r="Y174" s="0" t="n">
        <f aca="false">W_PH(Y$2,$A174)</f>
        <v>645.029596111323</v>
      </c>
      <c r="Z174" s="0" t="n">
        <f aca="false">W_PH(Z$2,$A174)</f>
        <v>644.95281969854</v>
      </c>
      <c r="AA174" s="0" t="n">
        <f aca="false">W_PH(AA$2,$A174)</f>
        <v>644.876672630502</v>
      </c>
      <c r="AB174" s="0" t="n">
        <f aca="false">W_PH(AB$2,$A174)</f>
        <v>644.801147899339</v>
      </c>
      <c r="AC174" s="0" t="n">
        <f aca="false">W_PH(AC$2,$A174)</f>
        <v>644.726238726134</v>
      </c>
      <c r="AD174" s="0" t="n">
        <f aca="false">W_PH(AD$2,$A174)</f>
        <v>644.651938554189</v>
      </c>
      <c r="AE174" s="0" t="n">
        <f aca="false">W_PH(AE$2,$A174)</f>
        <v>644.578241042587</v>
      </c>
      <c r="AF174" s="0" t="n">
        <f aca="false">W_PH(AF$2,$A174)</f>
        <v>644.505140060045</v>
      </c>
      <c r="AG174" s="0" t="n">
        <f aca="false">W_PH(AG$2,$A174)</f>
        <v>644.432629679038</v>
      </c>
      <c r="AH174" s="0" t="n">
        <f aca="false">W_PH(AH$2,$A174)</f>
        <v>643.738840068843</v>
      </c>
      <c r="AI174" s="0" t="n">
        <f aca="false">W_PH(AI$2,$A174)</f>
        <v>643.098916169795</v>
      </c>
      <c r="AJ174" s="0" t="n">
        <f aca="false">W_PH(AJ$2,$A174)</f>
        <v>642.512767049455</v>
      </c>
      <c r="AK174" s="0" t="n">
        <f aca="false">W_PH(AK$2,$A174)</f>
        <v>641.981388035661</v>
      </c>
      <c r="AL174" s="0" t="n">
        <f aca="false">W_PH(AL$2,$A174)</f>
        <v>641.507036783481</v>
      </c>
      <c r="AM174" s="0" t="n">
        <f aca="false">W_PH(AM$2,$A174)</f>
        <v>641.090879374879</v>
      </c>
      <c r="AN174" s="0" t="n">
        <f aca="false">W_PH(AN$2,$A174)</f>
        <v>640.734124656738</v>
      </c>
      <c r="AO174" s="0" t="n">
        <f aca="false">W_PH(AO$2,$A174)</f>
        <v>640.437928341448</v>
      </c>
      <c r="AP174" s="0" t="n">
        <f aca="false">W_PH(AP$2,$A174)</f>
        <v>640.203327350442</v>
      </c>
      <c r="AQ174" s="0" t="n">
        <f aca="false">W_PH(AQ$2,$A174)</f>
        <v>641.338517012911</v>
      </c>
      <c r="AR174" s="0" t="n">
        <f aca="false">W_PH(AR$2,$A174)</f>
        <v>642.346882854096</v>
      </c>
      <c r="AS174" s="0" t="n">
        <f aca="false">W_PH(AS$2,$A174)</f>
        <v>642.886431201768</v>
      </c>
    </row>
    <row r="175" customFormat="false" ht="13.8" hidden="false" customHeight="false" outlineLevel="0" collapsed="false">
      <c r="A175" s="0" t="n">
        <v>3350</v>
      </c>
      <c r="B175" s="0" t="n">
        <f aca="false">W_PH(B$2,$A175)</f>
        <v>647.243701703264</v>
      </c>
      <c r="C175" s="0" t="n">
        <f aca="false">W_PH(C$2,$A175)</f>
        <v>647.243625618935</v>
      </c>
      <c r="D175" s="0" t="n">
        <f aca="false">W_PH(D$2,$A175)</f>
        <v>647.243549535233</v>
      </c>
      <c r="E175" s="0" t="n">
        <f aca="false">W_PH(E$2,$A175)</f>
        <v>647.24347345216</v>
      </c>
      <c r="F175" s="0" t="n">
        <f aca="false">W_PH(F$2,$A175)</f>
        <v>647.243397369715</v>
      </c>
      <c r="G175" s="0" t="n">
        <f aca="false">W_PH(G$2,$A175)</f>
        <v>647.242636579783</v>
      </c>
      <c r="H175" s="0" t="n">
        <f aca="false">W_PH(H$2,$A175)</f>
        <v>647.241875852622</v>
      </c>
      <c r="I175" s="0" t="n">
        <f aca="false">W_PH(I$2,$A175)</f>
        <v>647.241115188224</v>
      </c>
      <c r="J175" s="0" t="n">
        <f aca="false">W_PH(J$2,$A175)</f>
        <v>647.240354586581</v>
      </c>
      <c r="K175" s="0" t="n">
        <f aca="false">W_PH(K$2,$A175)</f>
        <v>647.239594047686</v>
      </c>
      <c r="L175" s="0" t="n">
        <f aca="false">W_PH(L$2,$A175)</f>
        <v>647.238833571532</v>
      </c>
      <c r="M175" s="0" t="n">
        <f aca="false">W_PH(M$2,$A175)</f>
        <v>647.238073158112</v>
      </c>
      <c r="N175" s="0" t="n">
        <f aca="false">W_PH(N$2,$A175)</f>
        <v>647.237312807418</v>
      </c>
      <c r="O175" s="0" t="n">
        <f aca="false">W_PH(O$2,$A175)</f>
        <v>647.236552519444</v>
      </c>
      <c r="P175" s="0" t="n">
        <f aca="false">W_PH(P$2,$A175)</f>
        <v>647.22895308766</v>
      </c>
      <c r="Q175" s="0" t="n">
        <f aca="false">W_PH(Q$2,$A175)</f>
        <v>647.221359919847</v>
      </c>
      <c r="R175" s="0" t="n">
        <f aca="false">W_PH(R$2,$A175)</f>
        <v>647.213773008803</v>
      </c>
      <c r="S175" s="0" t="n">
        <f aca="false">W_PH(S$2,$A175)</f>
        <v>647.206192347347</v>
      </c>
      <c r="T175" s="0" t="n">
        <f aca="false">W_PH(T$2,$A175)</f>
        <v>647.198617928325</v>
      </c>
      <c r="U175" s="0" t="n">
        <f aca="false">W_PH(U$2,$A175)</f>
        <v>647.191049744606</v>
      </c>
      <c r="V175" s="0" t="n">
        <f aca="false">W_PH(V$2,$A175)</f>
        <v>647.183487789081</v>
      </c>
      <c r="W175" s="0" t="n">
        <f aca="false">W_PH(W$2,$A175)</f>
        <v>647.175932054665</v>
      </c>
      <c r="X175" s="0" t="n">
        <f aca="false">W_PH(X$2,$A175)</f>
        <v>647.168382534296</v>
      </c>
      <c r="Y175" s="0" t="n">
        <f aca="false">W_PH(Y$2,$A175)</f>
        <v>647.09322756602</v>
      </c>
      <c r="Z175" s="0" t="n">
        <f aca="false">W_PH(Z$2,$A175)</f>
        <v>647.018686403841</v>
      </c>
      <c r="AA175" s="0" t="n">
        <f aca="false">W_PH(AA$2,$A175)</f>
        <v>646.944752357487</v>
      </c>
      <c r="AB175" s="0" t="n">
        <f aca="false">W_PH(AB$2,$A175)</f>
        <v>646.871418953369</v>
      </c>
      <c r="AC175" s="0" t="n">
        <f aca="false">W_PH(AC$2,$A175)</f>
        <v>646.798679928068</v>
      </c>
      <c r="AD175" s="0" t="n">
        <f aca="false">W_PH(AD$2,$A175)</f>
        <v>646.726529222099</v>
      </c>
      <c r="AE175" s="0" t="n">
        <f aca="false">W_PH(AE$2,$A175)</f>
        <v>646.654960973938</v>
      </c>
      <c r="AF175" s="0" t="n">
        <f aca="false">W_PH(AF$2,$A175)</f>
        <v>646.583969514298</v>
      </c>
      <c r="AG175" s="0" t="n">
        <f aca="false">W_PH(AG$2,$A175)</f>
        <v>646.513549360657</v>
      </c>
      <c r="AH175" s="0" t="n">
        <f aca="false">W_PH(AH$2,$A175)</f>
        <v>645.839687185019</v>
      </c>
      <c r="AI175" s="0" t="n">
        <f aca="false">W_PH(AI$2,$A175)</f>
        <v>645.218135784086</v>
      </c>
      <c r="AJ175" s="0" t="n">
        <f aca="false">W_PH(AJ$2,$A175)</f>
        <v>644.64904326987</v>
      </c>
      <c r="AK175" s="0" t="n">
        <f aca="false">W_PH(AK$2,$A175)</f>
        <v>644.132729455595</v>
      </c>
      <c r="AL175" s="0" t="n">
        <f aca="false">W_PH(AL$2,$A175)</f>
        <v>643.672215217537</v>
      </c>
      <c r="AM175" s="0" t="n">
        <f aca="false">W_PH(AM$2,$A175)</f>
        <v>643.268680796616</v>
      </c>
      <c r="AN175" s="0" t="n">
        <f aca="false">W_PH(AN$2,$A175)</f>
        <v>642.923343360019</v>
      </c>
      <c r="AO175" s="0" t="n">
        <f aca="false">W_PH(AO$2,$A175)</f>
        <v>642.637364775847</v>
      </c>
      <c r="AP175" s="0" t="n">
        <f aca="false">W_PH(AP$2,$A175)</f>
        <v>642.411788235292</v>
      </c>
      <c r="AQ175" s="0" t="n">
        <f aca="false">W_PH(AQ$2,$A175)</f>
        <v>643.574589180041</v>
      </c>
      <c r="AR175" s="0" t="n">
        <f aca="false">W_PH(AR$2,$A175)</f>
        <v>644.575658446699</v>
      </c>
      <c r="AS175" s="0" t="n">
        <f aca="false">W_PH(AS$2,$A175)</f>
        <v>645.110594612404</v>
      </c>
    </row>
    <row r="176" customFormat="false" ht="13.8" hidden="false" customHeight="false" outlineLevel="0" collapsed="false">
      <c r="A176" s="0" t="n">
        <v>3360</v>
      </c>
      <c r="B176" s="0" t="n">
        <f aca="false">W_PH(B$2,$A176)</f>
        <v>649.291432706803</v>
      </c>
      <c r="C176" s="0" t="n">
        <f aca="false">W_PH(C$2,$A176)</f>
        <v>649.291358856946</v>
      </c>
      <c r="D176" s="0" t="n">
        <f aca="false">W_PH(D$2,$A176)</f>
        <v>649.291285007695</v>
      </c>
      <c r="E176" s="0" t="n">
        <f aca="false">W_PH(E$2,$A176)</f>
        <v>649.291211159048</v>
      </c>
      <c r="F176" s="0" t="n">
        <f aca="false">W_PH(F$2,$A176)</f>
        <v>649.291137311007</v>
      </c>
      <c r="G176" s="0" t="n">
        <f aca="false">W_PH(G$2,$A176)</f>
        <v>649.290398863863</v>
      </c>
      <c r="H176" s="0" t="n">
        <f aca="false">W_PH(H$2,$A176)</f>
        <v>649.28966047721</v>
      </c>
      <c r="I176" s="0" t="n">
        <f aca="false">W_PH(I$2,$A176)</f>
        <v>649.288922151039</v>
      </c>
      <c r="J176" s="0" t="n">
        <f aca="false">W_PH(J$2,$A176)</f>
        <v>649.288183885345</v>
      </c>
      <c r="K176" s="0" t="n">
        <f aca="false">W_PH(K$2,$A176)</f>
        <v>649.287445680121</v>
      </c>
      <c r="L176" s="0" t="n">
        <f aca="false">W_PH(L$2,$A176)</f>
        <v>649.28670753536</v>
      </c>
      <c r="M176" s="0" t="n">
        <f aca="false">W_PH(M$2,$A176)</f>
        <v>649.285969451055</v>
      </c>
      <c r="N176" s="0" t="n">
        <f aca="false">W_PH(N$2,$A176)</f>
        <v>649.285231427199</v>
      </c>
      <c r="O176" s="0" t="n">
        <f aca="false">W_PH(O$2,$A176)</f>
        <v>649.284493463787</v>
      </c>
      <c r="P176" s="0" t="n">
        <f aca="false">W_PH(P$2,$A176)</f>
        <v>649.277117152567</v>
      </c>
      <c r="Q176" s="0" t="n">
        <f aca="false">W_PH(Q$2,$A176)</f>
        <v>649.269746878331</v>
      </c>
      <c r="R176" s="0" t="n">
        <f aca="false">W_PH(R$2,$A176)</f>
        <v>649.262382634444</v>
      </c>
      <c r="S176" s="0" t="n">
        <f aca="false">W_PH(S$2,$A176)</f>
        <v>649.255024414294</v>
      </c>
      <c r="T176" s="0" t="n">
        <f aca="false">W_PH(T$2,$A176)</f>
        <v>649.247672211291</v>
      </c>
      <c r="U176" s="0" t="n">
        <f aca="false">W_PH(U$2,$A176)</f>
        <v>649.240326018864</v>
      </c>
      <c r="V176" s="0" t="n">
        <f aca="false">W_PH(V$2,$A176)</f>
        <v>649.232985830466</v>
      </c>
      <c r="W176" s="0" t="n">
        <f aca="false">W_PH(W$2,$A176)</f>
        <v>649.22565163957</v>
      </c>
      <c r="X176" s="0" t="n">
        <f aca="false">W_PH(X$2,$A176)</f>
        <v>649.218323439671</v>
      </c>
      <c r="Y176" s="0" t="n">
        <f aca="false">W_PH(Y$2,$A176)</f>
        <v>649.145369529415</v>
      </c>
      <c r="Z176" s="0" t="n">
        <f aca="false">W_PH(Z$2,$A176)</f>
        <v>649.073007718455</v>
      </c>
      <c r="AA176" s="0" t="n">
        <f aca="false">W_PH(AA$2,$A176)</f>
        <v>649.001231842399</v>
      </c>
      <c r="AB176" s="0" t="n">
        <f aca="false">W_PH(AB$2,$A176)</f>
        <v>648.930035935622</v>
      </c>
      <c r="AC176" s="0" t="n">
        <f aca="false">W_PH(AC$2,$A176)</f>
        <v>648.859414225244</v>
      </c>
      <c r="AD176" s="0" t="n">
        <f aca="false">W_PH(AD$2,$A176)</f>
        <v>648.789361125355</v>
      </c>
      <c r="AE176" s="0" t="n">
        <f aca="false">W_PH(AE$2,$A176)</f>
        <v>648.719871231477</v>
      </c>
      <c r="AF176" s="0" t="n">
        <f aca="false">W_PH(AF$2,$A176)</f>
        <v>648.650939315249</v>
      </c>
      <c r="AG176" s="0" t="n">
        <f aca="false">W_PH(AG$2,$A176)</f>
        <v>648.582560319324</v>
      </c>
      <c r="AH176" s="0" t="n">
        <f aca="false">W_PH(AH$2,$A176)</f>
        <v>647.92818142557</v>
      </c>
      <c r="AI176" s="0" t="n">
        <f aca="false">W_PH(AI$2,$A176)</f>
        <v>647.324636425832</v>
      </c>
      <c r="AJ176" s="0" t="n">
        <f aca="false">W_PH(AJ$2,$A176)</f>
        <v>646.772304512975</v>
      </c>
      <c r="AK176" s="0" t="n">
        <f aca="false">W_PH(AK$2,$A176)</f>
        <v>646.270849918919</v>
      </c>
      <c r="AL176" s="0" t="n">
        <f aca="false">W_PH(AL$2,$A176)</f>
        <v>645.824017901856</v>
      </c>
      <c r="AM176" s="0" t="n">
        <f aca="false">W_PH(AM$2,$A176)</f>
        <v>645.432999897272</v>
      </c>
      <c r="AN176" s="0" t="n">
        <f aca="false">W_PH(AN$2,$A176)</f>
        <v>645.09901799078</v>
      </c>
      <c r="AO176" s="0" t="n">
        <f aca="false">W_PH(AO$2,$A176)</f>
        <v>644.823236527294</v>
      </c>
      <c r="AP176" s="0" t="n">
        <f aca="false">W_PH(AP$2,$A176)</f>
        <v>644.606701150895</v>
      </c>
      <c r="AQ176" s="0" t="n">
        <f aca="false">W_PH(AQ$2,$A176)</f>
        <v>645.798551157583</v>
      </c>
      <c r="AR176" s="0" t="n">
        <f aca="false">W_PH(AR$2,$A176)</f>
        <v>646.792758940845</v>
      </c>
      <c r="AS176" s="0" t="n">
        <f aca="false">W_PH(AS$2,$A176)</f>
        <v>647.323286240884</v>
      </c>
    </row>
    <row r="177" customFormat="false" ht="13.8" hidden="false" customHeight="false" outlineLevel="0" collapsed="false">
      <c r="A177" s="0" t="n">
        <v>3370</v>
      </c>
      <c r="B177" s="0" t="n">
        <f aca="false">W_PH(B$2,$A177)</f>
        <v>651.327921598468</v>
      </c>
      <c r="C177" s="0" t="n">
        <f aca="false">W_PH(C$2,$A177)</f>
        <v>651.327849926789</v>
      </c>
      <c r="D177" s="0" t="n">
        <f aca="false">W_PH(D$2,$A177)</f>
        <v>651.327778255694</v>
      </c>
      <c r="E177" s="0" t="n">
        <f aca="false">W_PH(E$2,$A177)</f>
        <v>651.327706585181</v>
      </c>
      <c r="F177" s="0" t="n">
        <f aca="false">W_PH(F$2,$A177)</f>
        <v>651.327634915252</v>
      </c>
      <c r="G177" s="0" t="n">
        <f aca="false">W_PH(G$2,$A177)</f>
        <v>651.326918248038</v>
      </c>
      <c r="H177" s="0" t="n">
        <f aca="false">W_PH(H$2,$A177)</f>
        <v>651.326201639141</v>
      </c>
      <c r="I177" s="0" t="n">
        <f aca="false">W_PH(I$2,$A177)</f>
        <v>651.325485088556</v>
      </c>
      <c r="J177" s="0" t="n">
        <f aca="false">W_PH(J$2,$A177)</f>
        <v>651.324768596274</v>
      </c>
      <c r="K177" s="0" t="n">
        <f aca="false">W_PH(K$2,$A177)</f>
        <v>651.324052162292</v>
      </c>
      <c r="L177" s="0" t="n">
        <f aca="false">W_PH(L$2,$A177)</f>
        <v>651.323335786602</v>
      </c>
      <c r="M177" s="0" t="n">
        <f aca="false">W_PH(M$2,$A177)</f>
        <v>651.322619469199</v>
      </c>
      <c r="N177" s="0" t="n">
        <f aca="false">W_PH(N$2,$A177)</f>
        <v>651.321903210076</v>
      </c>
      <c r="O177" s="0" t="n">
        <f aca="false">W_PH(O$2,$A177)</f>
        <v>651.321187009227</v>
      </c>
      <c r="P177" s="0" t="n">
        <f aca="false">W_PH(P$2,$A177)</f>
        <v>651.31402820447</v>
      </c>
      <c r="Q177" s="0" t="n">
        <f aca="false">W_PH(Q$2,$A177)</f>
        <v>651.306875220404</v>
      </c>
      <c r="R177" s="0" t="n">
        <f aca="false">W_PH(R$2,$A177)</f>
        <v>651.299728050932</v>
      </c>
      <c r="S177" s="0" t="n">
        <f aca="false">W_PH(S$2,$A177)</f>
        <v>651.292586689979</v>
      </c>
      <c r="T177" s="0" t="n">
        <f aca="false">W_PH(T$2,$A177)</f>
        <v>651.285451131488</v>
      </c>
      <c r="U177" s="0" t="n">
        <f aca="false">W_PH(U$2,$A177)</f>
        <v>651.278321369422</v>
      </c>
      <c r="V177" s="0" t="n">
        <f aca="false">W_PH(V$2,$A177)</f>
        <v>651.271197397765</v>
      </c>
      <c r="W177" s="0" t="n">
        <f aca="false">W_PH(W$2,$A177)</f>
        <v>651.264079210519</v>
      </c>
      <c r="X177" s="0" t="n">
        <f aca="false">W_PH(X$2,$A177)</f>
        <v>651.256966801706</v>
      </c>
      <c r="Y177" s="0" t="n">
        <f aca="false">W_PH(Y$2,$A177)</f>
        <v>651.186159226107</v>
      </c>
      <c r="Z177" s="0" t="n">
        <f aca="false">W_PH(Z$2,$A177)</f>
        <v>651.115923060722</v>
      </c>
      <c r="AA177" s="0" t="n">
        <f aca="false">W_PH(AA$2,$A177)</f>
        <v>651.046252640216</v>
      </c>
      <c r="AB177" s="0" t="n">
        <f aca="false">W_PH(AB$2,$A177)</f>
        <v>650.977142481407</v>
      </c>
      <c r="AC177" s="0" t="n">
        <f aca="false">W_PH(AC$2,$A177)</f>
        <v>650.908587277708</v>
      </c>
      <c r="AD177" s="0" t="n">
        <f aca="false">W_PH(AD$2,$A177)</f>
        <v>650.840581893782</v>
      </c>
      <c r="AE177" s="0" t="n">
        <f aca="false">W_PH(AE$2,$A177)</f>
        <v>650.773121360406</v>
      </c>
      <c r="AF177" s="0" t="n">
        <f aca="false">W_PH(AF$2,$A177)</f>
        <v>650.706200869538</v>
      </c>
      <c r="AG177" s="0" t="n">
        <f aca="false">W_PH(AG$2,$A177)</f>
        <v>650.639815769571</v>
      </c>
      <c r="AH177" s="0" t="n">
        <f aca="false">W_PH(AH$2,$A177)</f>
        <v>650.004491165153</v>
      </c>
      <c r="AI177" s="0" t="n">
        <f aca="false">W_PH(AI$2,$A177)</f>
        <v>649.418596057801</v>
      </c>
      <c r="AJ177" s="0" t="n">
        <f aca="false">W_PH(AJ$2,$A177)</f>
        <v>648.882731795526</v>
      </c>
      <c r="AK177" s="0" t="n">
        <f aca="false">W_PH(AK$2,$A177)</f>
        <v>648.395934118422</v>
      </c>
      <c r="AL177" s="0" t="n">
        <f aca="false">W_PH(AL$2,$A177)</f>
        <v>647.96263006449</v>
      </c>
      <c r="AM177" s="0" t="n">
        <f aca="false">W_PH(AM$2,$A177)</f>
        <v>647.584019654378</v>
      </c>
      <c r="AN177" s="0" t="n">
        <f aca="false">W_PH(AN$2,$A177)</f>
        <v>647.26132690724</v>
      </c>
      <c r="AO177" s="0" t="n">
        <f aca="false">W_PH(AO$2,$A177)</f>
        <v>646.995715396601</v>
      </c>
      <c r="AP177" s="0" t="n">
        <f aca="false">W_PH(AP$2,$A177)</f>
        <v>646.788229818117</v>
      </c>
      <c r="AQ177" s="0" t="n">
        <f aca="false">W_PH(AQ$2,$A177)</f>
        <v>648.010468616067</v>
      </c>
      <c r="AR177" s="0" t="n">
        <f aca="false">W_PH(AR$2,$A177)</f>
        <v>648.998235133408</v>
      </c>
      <c r="AS177" s="0" t="n">
        <f aca="false">W_PH(AS$2,$A177)</f>
        <v>649.524550988823</v>
      </c>
    </row>
    <row r="178" customFormat="false" ht="13.8" hidden="false" customHeight="false" outlineLevel="0" collapsed="false">
      <c r="A178" s="0" t="n">
        <v>3380</v>
      </c>
      <c r="B178" s="0" t="n">
        <f aca="false">W_PH(B$2,$A178)</f>
        <v>653.35329902926</v>
      </c>
      <c r="C178" s="0" t="n">
        <f aca="false">W_PH(C$2,$A178)</f>
        <v>653.353229481673</v>
      </c>
      <c r="D178" s="0" t="n">
        <f aca="false">W_PH(D$2,$A178)</f>
        <v>653.353159934649</v>
      </c>
      <c r="E178" s="0" t="n">
        <f aca="false">W_PH(E$2,$A178)</f>
        <v>653.353090388187</v>
      </c>
      <c r="F178" s="0" t="n">
        <f aca="false">W_PH(F$2,$A178)</f>
        <v>653.353020842287</v>
      </c>
      <c r="G178" s="0" t="n">
        <f aca="false">W_PH(G$2,$A178)</f>
        <v>653.35232541423</v>
      </c>
      <c r="H178" s="0" t="n">
        <f aca="false">W_PH(H$2,$A178)</f>
        <v>653.351630042419</v>
      </c>
      <c r="I178" s="0" t="n">
        <f aca="false">W_PH(I$2,$A178)</f>
        <v>653.350934726849</v>
      </c>
      <c r="J178" s="0" t="n">
        <f aca="false">W_PH(J$2,$A178)</f>
        <v>653.350239467514</v>
      </c>
      <c r="K178" s="0" t="n">
        <f aca="false">W_PH(K$2,$A178)</f>
        <v>653.349544264409</v>
      </c>
      <c r="L178" s="0" t="n">
        <f aca="false">W_PH(L$2,$A178)</f>
        <v>653.348849117528</v>
      </c>
      <c r="M178" s="0" t="n">
        <f aca="false">W_PH(M$2,$A178)</f>
        <v>653.348154026865</v>
      </c>
      <c r="N178" s="0" t="n">
        <f aca="false">W_PH(N$2,$A178)</f>
        <v>653.347458992414</v>
      </c>
      <c r="O178" s="0" t="n">
        <f aca="false">W_PH(O$2,$A178)</f>
        <v>653.346764014171</v>
      </c>
      <c r="P178" s="0" t="n">
        <f aca="false">W_PH(P$2,$A178)</f>
        <v>653.339817321896</v>
      </c>
      <c r="Q178" s="0" t="n">
        <f aca="false">W_PH(Q$2,$A178)</f>
        <v>653.332876244167</v>
      </c>
      <c r="R178" s="0" t="n">
        <f aca="false">W_PH(R$2,$A178)</f>
        <v>653.325940775397</v>
      </c>
      <c r="S178" s="0" t="n">
        <f aca="false">W_PH(S$2,$A178)</f>
        <v>653.319010910017</v>
      </c>
      <c r="T178" s="0" t="n">
        <f aca="false">W_PH(T$2,$A178)</f>
        <v>653.312086642478</v>
      </c>
      <c r="U178" s="0" t="n">
        <f aca="false">W_PH(U$2,$A178)</f>
        <v>653.305167967247</v>
      </c>
      <c r="V178" s="0" t="n">
        <f aca="false">W_PH(V$2,$A178)</f>
        <v>653.29825487881</v>
      </c>
      <c r="W178" s="0" t="n">
        <f aca="false">W_PH(W$2,$A178)</f>
        <v>653.291347371671</v>
      </c>
      <c r="X178" s="0" t="n">
        <f aca="false">W_PH(X$2,$A178)</f>
        <v>653.28444544035</v>
      </c>
      <c r="Y178" s="0" t="n">
        <f aca="false">W_PH(Y$2,$A178)</f>
        <v>653.215731604608</v>
      </c>
      <c r="Z178" s="0" t="n">
        <f aca="false">W_PH(Z$2,$A178)</f>
        <v>653.147569455044</v>
      </c>
      <c r="AA178" s="0" t="n">
        <f aca="false">W_PH(AA$2,$A178)</f>
        <v>653.07995379943</v>
      </c>
      <c r="AB178" s="0" t="n">
        <f aca="false">W_PH(AB$2,$A178)</f>
        <v>653.012879612305</v>
      </c>
      <c r="AC178" s="0" t="n">
        <f aca="false">W_PH(AC$2,$A178)</f>
        <v>652.946342029838</v>
      </c>
      <c r="AD178" s="0" t="n">
        <f aca="false">W_PH(AD$2,$A178)</f>
        <v>652.880336344889</v>
      </c>
      <c r="AE178" s="0" t="n">
        <f aca="false">W_PH(AE$2,$A178)</f>
        <v>652.814858002249</v>
      </c>
      <c r="AF178" s="0" t="n">
        <f aca="false">W_PH(AF$2,$A178)</f>
        <v>652.749902594061</v>
      </c>
      <c r="AG178" s="0" t="n">
        <f aca="false">W_PH(AG$2,$A178)</f>
        <v>652.685465855414</v>
      </c>
      <c r="AH178" s="0" t="n">
        <f aca="false">W_PH(AH$2,$A178)</f>
        <v>652.068781193946</v>
      </c>
      <c r="AI178" s="0" t="n">
        <f aca="false">W_PH(AI$2,$A178)</f>
        <v>651.500189107571</v>
      </c>
      <c r="AJ178" s="0" t="n">
        <f aca="false">W_PH(AJ$2,$A178)</f>
        <v>650.980503226499</v>
      </c>
      <c r="AK178" s="0" t="n">
        <f aca="false">W_PH(AK$2,$A178)</f>
        <v>650.5081638716</v>
      </c>
      <c r="AL178" s="0" t="n">
        <f aca="false">W_PH(AL$2,$A178)</f>
        <v>650.088234310812</v>
      </c>
      <c r="AM178" s="0" t="n">
        <f aca="false">W_PH(AM$2,$A178)</f>
        <v>649.7219208367</v>
      </c>
      <c r="AN178" s="0" t="n">
        <f aca="false">W_PH(AN$2,$A178)</f>
        <v>649.410446779388</v>
      </c>
      <c r="AO178" s="0" t="n">
        <f aca="false">W_PH(AO$2,$A178)</f>
        <v>649.154972078412</v>
      </c>
      <c r="AP178" s="0" t="n">
        <f aca="false">W_PH(AP$2,$A178)</f>
        <v>648.956537461236</v>
      </c>
      <c r="AQ178" s="0" t="n">
        <f aca="false">W_PH(AQ$2,$A178)</f>
        <v>650.210412212703</v>
      </c>
      <c r="AR178" s="0" t="n">
        <f aca="false">W_PH(AR$2,$A178)</f>
        <v>651.192143966762</v>
      </c>
      <c r="AS178" s="0" t="n">
        <f aca="false">W_PH(AS$2,$A178)</f>
        <v>651.714440479166</v>
      </c>
    </row>
    <row r="179" customFormat="false" ht="13.8" hidden="false" customHeight="false" outlineLevel="0" collapsed="false">
      <c r="A179" s="0" t="n">
        <v>3390</v>
      </c>
      <c r="B179" s="0" t="n">
        <f aca="false">W_PH(B$2,$A179)</f>
        <v>655.367693675227</v>
      </c>
      <c r="C179" s="0" t="n">
        <f aca="false">W_PH(C$2,$A179)</f>
        <v>655.367626199732</v>
      </c>
      <c r="D179" s="0" t="n">
        <f aca="false">W_PH(D$2,$A179)</f>
        <v>655.36755872478</v>
      </c>
      <c r="E179" s="0" t="n">
        <f aca="false">W_PH(E$2,$A179)</f>
        <v>655.367491250371</v>
      </c>
      <c r="F179" s="0" t="n">
        <f aca="false">W_PH(F$2,$A179)</f>
        <v>655.367423776505</v>
      </c>
      <c r="G179" s="0" t="n">
        <f aca="false">W_PH(G$2,$A179)</f>
        <v>655.366749067695</v>
      </c>
      <c r="H179" s="0" t="n">
        <f aca="false">W_PH(H$2,$A179)</f>
        <v>655.366074413157</v>
      </c>
      <c r="I179" s="0" t="n">
        <f aca="false">W_PH(I$2,$A179)</f>
        <v>655.365399812887</v>
      </c>
      <c r="J179" s="0" t="n">
        <f aca="false">W_PH(J$2,$A179)</f>
        <v>655.36472526688</v>
      </c>
      <c r="K179" s="0" t="n">
        <f aca="false">W_PH(K$2,$A179)</f>
        <v>655.36405077513</v>
      </c>
      <c r="L179" s="0" t="n">
        <f aca="false">W_PH(L$2,$A179)</f>
        <v>655.363376337633</v>
      </c>
      <c r="M179" s="0" t="n">
        <f aca="false">W_PH(M$2,$A179)</f>
        <v>655.362701954382</v>
      </c>
      <c r="N179" s="0" t="n">
        <f aca="false">W_PH(N$2,$A179)</f>
        <v>655.362027625373</v>
      </c>
      <c r="O179" s="0" t="n">
        <f aca="false">W_PH(O$2,$A179)</f>
        <v>655.361353350601</v>
      </c>
      <c r="P179" s="0" t="n">
        <f aca="false">W_PH(P$2,$A179)</f>
        <v>655.354613584782</v>
      </c>
      <c r="Q179" s="0" t="n">
        <f aca="false">W_PH(Q$2,$A179)</f>
        <v>655.347879237014</v>
      </c>
      <c r="R179" s="0" t="n">
        <f aca="false">W_PH(R$2,$A179)</f>
        <v>655.341150302193</v>
      </c>
      <c r="S179" s="0" t="n">
        <f aca="false">W_PH(S$2,$A179)</f>
        <v>655.334426775229</v>
      </c>
      <c r="T179" s="0" t="n">
        <f aca="false">W_PH(T$2,$A179)</f>
        <v>655.327708651052</v>
      </c>
      <c r="U179" s="0" t="n">
        <f aca="false">W_PH(U$2,$A179)</f>
        <v>655.320995924605</v>
      </c>
      <c r="V179" s="0" t="n">
        <f aca="false">W_PH(V$2,$A179)</f>
        <v>655.314288590851</v>
      </c>
      <c r="W179" s="0" t="n">
        <f aca="false">W_PH(W$2,$A179)</f>
        <v>655.307586644767</v>
      </c>
      <c r="X179" s="0" t="n">
        <f aca="false">W_PH(X$2,$A179)</f>
        <v>655.300890081346</v>
      </c>
      <c r="Y179" s="0" t="n">
        <f aca="false">W_PH(Y$2,$A179)</f>
        <v>655.234219403902</v>
      </c>
      <c r="Z179" s="0" t="n">
        <f aca="false">W_PH(Z$2,$A179)</f>
        <v>655.168081605631</v>
      </c>
      <c r="AA179" s="0" t="n">
        <f aca="false">W_PH(AA$2,$A179)</f>
        <v>655.102471942336</v>
      </c>
      <c r="AB179" s="0" t="n">
        <f aca="false">W_PH(AB$2,$A179)</f>
        <v>655.037385822342</v>
      </c>
      <c r="AC179" s="0" t="n">
        <f aca="false">W_PH(AC$2,$A179)</f>
        <v>654.97281880175</v>
      </c>
      <c r="AD179" s="0" t="n">
        <f aca="false">W_PH(AD$2,$A179)</f>
        <v>654.908766579874</v>
      </c>
      <c r="AE179" s="0" t="n">
        <f aca="false">W_PH(AE$2,$A179)</f>
        <v>654.84522499483</v>
      </c>
      <c r="AF179" s="0" t="n">
        <f aca="false">W_PH(AF$2,$A179)</f>
        <v>654.782190019291</v>
      </c>
      <c r="AG179" s="0" t="n">
        <f aca="false">W_PH(AG$2,$A179)</f>
        <v>654.719657756397</v>
      </c>
      <c r="AH179" s="0" t="n">
        <f aca="false">W_PH(AH$2,$A179)</f>
        <v>654.121212819366</v>
      </c>
      <c r="AI179" s="0" t="n">
        <f aca="false">W_PH(AI$2,$A179)</f>
        <v>653.569586514926</v>
      </c>
      <c r="AJ179" s="0" t="n">
        <f aca="false">W_PH(AJ$2,$A179)</f>
        <v>653.065793998457</v>
      </c>
      <c r="AK179" s="0" t="n">
        <f aca="false">W_PH(AK$2,$A179)</f>
        <v>652.607718089043</v>
      </c>
      <c r="AL179" s="0" t="n">
        <f aca="false">W_PH(AL$2,$A179)</f>
        <v>652.201010556734</v>
      </c>
      <c r="AM179" s="0" t="n">
        <f aca="false">W_PH(AM$2,$A179)</f>
        <v>651.846881899099</v>
      </c>
      <c r="AN179" s="0" t="n">
        <f aca="false">W_PH(AN$2,$A179)</f>
        <v>651.546552448691</v>
      </c>
      <c r="AO179" s="0" t="n">
        <f aca="false">W_PH(AO$2,$A179)</f>
        <v>651.301175992455</v>
      </c>
      <c r="AP179" s="0" t="n">
        <f aca="false">W_PH(AP$2,$A179)</f>
        <v>651.111786618523</v>
      </c>
      <c r="AQ179" s="0" t="n">
        <f aca="false">W_PH(AQ$2,$A179)</f>
        <v>652.39845718913</v>
      </c>
      <c r="AR179" s="0" t="n">
        <f aca="false">W_PH(AR$2,$A179)</f>
        <v>653.374547975283</v>
      </c>
      <c r="AS179" s="0" t="n">
        <f aca="false">W_PH(AS$2,$A179)</f>
        <v>653.893012419017</v>
      </c>
    </row>
    <row r="180" customFormat="false" ht="13.8" hidden="false" customHeight="false" outlineLevel="0" collapsed="false">
      <c r="A180" s="0" t="n">
        <v>3400</v>
      </c>
      <c r="B180" s="0" t="n">
        <f aca="false">W_PH(B$2,$A180)</f>
        <v>657.371232285174</v>
      </c>
      <c r="C180" s="0" t="n">
        <f aca="false">W_PH(C$2,$A180)</f>
        <v>657.371166831745</v>
      </c>
      <c r="D180" s="0" t="n">
        <f aca="false">W_PH(D$2,$A180)</f>
        <v>657.371101378841</v>
      </c>
      <c r="E180" s="0" t="n">
        <f aca="false">W_PH(E$2,$A180)</f>
        <v>657.37103592646</v>
      </c>
      <c r="F180" s="0" t="n">
        <f aca="false">W_PH(F$2,$A180)</f>
        <v>657.370970474603</v>
      </c>
      <c r="G180" s="0" t="n">
        <f aca="false">W_PH(G$2,$A180)</f>
        <v>657.370315984854</v>
      </c>
      <c r="H180" s="0" t="n">
        <f aca="false">W_PH(H$2,$A180)</f>
        <v>657.369661547496</v>
      </c>
      <c r="I180" s="0" t="n">
        <f aca="false">W_PH(I$2,$A180)</f>
        <v>657.369007162526</v>
      </c>
      <c r="J180" s="0" t="n">
        <f aca="false">W_PH(J$2,$A180)</f>
        <v>657.368352829937</v>
      </c>
      <c r="K180" s="0" t="n">
        <f aca="false">W_PH(K$2,$A180)</f>
        <v>657.367698549726</v>
      </c>
      <c r="L180" s="0" t="n">
        <f aca="false">W_PH(L$2,$A180)</f>
        <v>657.367044321888</v>
      </c>
      <c r="M180" s="0" t="n">
        <f aca="false">W_PH(M$2,$A180)</f>
        <v>657.366390146418</v>
      </c>
      <c r="N180" s="0" t="n">
        <f aca="false">W_PH(N$2,$A180)</f>
        <v>657.365736023312</v>
      </c>
      <c r="O180" s="0" t="n">
        <f aca="false">W_PH(O$2,$A180)</f>
        <v>657.365081952564</v>
      </c>
      <c r="P180" s="0" t="n">
        <f aca="false">W_PH(P$2,$A180)</f>
        <v>657.358544123795</v>
      </c>
      <c r="Q180" s="0" t="n">
        <f aca="false">W_PH(Q$2,$A180)</f>
        <v>657.352011525777</v>
      </c>
      <c r="R180" s="0" t="n">
        <f aca="false">W_PH(R$2,$A180)</f>
        <v>657.345484153859</v>
      </c>
      <c r="S180" s="0" t="n">
        <f aca="false">W_PH(S$2,$A180)</f>
        <v>657.338962003406</v>
      </c>
      <c r="T180" s="0" t="n">
        <f aca="false">W_PH(T$2,$A180)</f>
        <v>657.3324450698</v>
      </c>
      <c r="U180" s="0" t="n">
        <f aca="false">W_PH(U$2,$A180)</f>
        <v>657.325933348434</v>
      </c>
      <c r="V180" s="0" t="n">
        <f aca="false">W_PH(V$2,$A180)</f>
        <v>657.31942683472</v>
      </c>
      <c r="W180" s="0" t="n">
        <f aca="false">W_PH(W$2,$A180)</f>
        <v>657.312925524083</v>
      </c>
      <c r="X180" s="0" t="n">
        <f aca="false">W_PH(X$2,$A180)</f>
        <v>657.306429411963</v>
      </c>
      <c r="Y180" s="0" t="n">
        <f aca="false">W_PH(Y$2,$A180)</f>
        <v>657.24175321668</v>
      </c>
      <c r="Z180" s="0" t="n">
        <f aca="false">W_PH(Z$2,$A180)</f>
        <v>657.177591966663</v>
      </c>
      <c r="AA180" s="0" t="n">
        <f aca="false">W_PH(AA$2,$A180)</f>
        <v>657.113941341543</v>
      </c>
      <c r="AB180" s="0" t="n">
        <f aca="false">W_PH(AB$2,$A180)</f>
        <v>657.050797160286</v>
      </c>
      <c r="AC180" s="0" t="n">
        <f aca="false">W_PH(AC$2,$A180)</f>
        <v>656.988155376815</v>
      </c>
      <c r="AD180" s="0" t="n">
        <f aca="false">W_PH(AD$2,$A180)</f>
        <v>656.926012075787</v>
      </c>
      <c r="AE180" s="0" t="n">
        <f aca="false">W_PH(AE$2,$A180)</f>
        <v>656.86436346852</v>
      </c>
      <c r="AF180" s="0" t="n">
        <f aca="false">W_PH(AF$2,$A180)</f>
        <v>656.803205889052</v>
      </c>
      <c r="AG180" s="0" t="n">
        <f aca="false">W_PH(AG$2,$A180)</f>
        <v>656.742535790347</v>
      </c>
      <c r="AH180" s="0" t="n">
        <f aca="false">W_PH(AH$2,$A180)</f>
        <v>656.161943969636</v>
      </c>
      <c r="AI180" s="0" t="n">
        <f aca="false">W_PH(AI$2,$A180)</f>
        <v>655.626955787812</v>
      </c>
      <c r="AJ180" s="0" t="n">
        <f aca="false">W_PH(AJ$2,$A180)</f>
        <v>655.13877638751</v>
      </c>
      <c r="AK180" s="0" t="n">
        <f aca="false">W_PH(AK$2,$A180)</f>
        <v>654.69477275575</v>
      </c>
      <c r="AL180" s="0" t="n">
        <f aca="false">W_PH(AL$2,$A180)</f>
        <v>654.301135978733</v>
      </c>
      <c r="AM180" s="0" t="n">
        <f aca="false">W_PH(AM$2,$A180)</f>
        <v>653.959078896589</v>
      </c>
      <c r="AN180" s="0" t="n">
        <f aca="false">W_PH(AN$2,$A180)</f>
        <v>653.669816807315</v>
      </c>
      <c r="AO180" s="0" t="n">
        <f aca="false">W_PH(AO$2,$A180)</f>
        <v>653.434495132623</v>
      </c>
      <c r="AP180" s="0" t="n">
        <f aca="false">W_PH(AP$2,$A180)</f>
        <v>653.254138967317</v>
      </c>
      <c r="AQ180" s="0" t="n">
        <f aca="false">W_PH(AQ$2,$A180)</f>
        <v>654.574682967857</v>
      </c>
      <c r="AR180" s="0" t="n">
        <f aca="false">W_PH(AR$2,$A180)</f>
        <v>655.545514739927</v>
      </c>
      <c r="AS180" s="0" t="n">
        <f aca="false">W_PH(AS$2,$A180)</f>
        <v>656.060329974586</v>
      </c>
    </row>
    <row r="181" customFormat="false" ht="13.8" hidden="false" customHeight="false" outlineLevel="0" collapsed="false">
      <c r="A181" s="0" t="n">
        <v>3410</v>
      </c>
      <c r="B181" s="0" t="n">
        <f aca="false">W_PH(B$2,$A181)</f>
        <v>659.364039725976</v>
      </c>
      <c r="C181" s="0" t="n">
        <f aca="false">W_PH(C$2,$A181)</f>
        <v>659.363976246454</v>
      </c>
      <c r="D181" s="0" t="n">
        <f aca="false">W_PH(D$2,$A181)</f>
        <v>659.363912767437</v>
      </c>
      <c r="E181" s="0" t="n">
        <f aca="false">W_PH(E$2,$A181)</f>
        <v>659.363849288927</v>
      </c>
      <c r="F181" s="0" t="n">
        <f aca="false">W_PH(F$2,$A181)</f>
        <v>659.363785810923</v>
      </c>
      <c r="G181" s="0" t="n">
        <f aca="false">W_PH(G$2,$A181)</f>
        <v>659.363151058713</v>
      </c>
      <c r="H181" s="0" t="n">
        <f aca="false">W_PH(H$2,$A181)</f>
        <v>659.362516357101</v>
      </c>
      <c r="I181" s="0" t="n">
        <f aca="false">W_PH(I$2,$A181)</f>
        <v>659.361881706084</v>
      </c>
      <c r="J181" s="0" t="n">
        <f aca="false">W_PH(J$2,$A181)</f>
        <v>659.361247105657</v>
      </c>
      <c r="K181" s="0" t="n">
        <f aca="false">W_PH(K$2,$A181)</f>
        <v>659.360612555815</v>
      </c>
      <c r="L181" s="0" t="n">
        <f aca="false">W_PH(L$2,$A181)</f>
        <v>659.359978056555</v>
      </c>
      <c r="M181" s="0" t="n">
        <f aca="false">W_PH(M$2,$A181)</f>
        <v>659.359343607873</v>
      </c>
      <c r="N181" s="0" t="n">
        <f aca="false">W_PH(N$2,$A181)</f>
        <v>659.358709209763</v>
      </c>
      <c r="O181" s="0" t="n">
        <f aca="false">W_PH(O$2,$A181)</f>
        <v>659.358074862223</v>
      </c>
      <c r="P181" s="0" t="n">
        <f aca="false">W_PH(P$2,$A181)</f>
        <v>659.351734167166</v>
      </c>
      <c r="Q181" s="0" t="n">
        <f aca="false">W_PH(Q$2,$A181)</f>
        <v>659.345398524332</v>
      </c>
      <c r="R181" s="0" t="n">
        <f aca="false">W_PH(R$2,$A181)</f>
        <v>659.339067929499</v>
      </c>
      <c r="S181" s="0" t="n">
        <f aca="false">W_PH(S$2,$A181)</f>
        <v>659.33274237846</v>
      </c>
      <c r="T181" s="0" t="n">
        <f aca="false">W_PH(T$2,$A181)</f>
        <v>659.326421867023</v>
      </c>
      <c r="U181" s="0" t="n">
        <f aca="false">W_PH(U$2,$A181)</f>
        <v>659.320106391008</v>
      </c>
      <c r="V181" s="0" t="n">
        <f aca="false">W_PH(V$2,$A181)</f>
        <v>659.313795946249</v>
      </c>
      <c r="W181" s="0" t="n">
        <f aca="false">W_PH(W$2,$A181)</f>
        <v>659.307490528594</v>
      </c>
      <c r="X181" s="0" t="n">
        <f aca="false">W_PH(X$2,$A181)</f>
        <v>659.301190133905</v>
      </c>
      <c r="Y181" s="0" t="n">
        <f aca="false">W_PH(Y$2,$A181)</f>
        <v>659.238461549382</v>
      </c>
      <c r="Z181" s="0" t="n">
        <f aca="false">W_PH(Z$2,$A181)</f>
        <v>659.176230808974</v>
      </c>
      <c r="AA181" s="0" t="n">
        <f aca="false">W_PH(AA$2,$A181)</f>
        <v>659.114493992797</v>
      </c>
      <c r="AB181" s="0" t="n">
        <f aca="false">W_PH(AB$2,$A181)</f>
        <v>659.053247308103</v>
      </c>
      <c r="AC181" s="0" t="n">
        <f aca="false">W_PH(AC$2,$A181)</f>
        <v>658.992487085242</v>
      </c>
      <c r="AD181" s="0" t="n">
        <f aca="false">W_PH(AD$2,$A181)</f>
        <v>658.932209773754</v>
      </c>
      <c r="AE181" s="0" t="n">
        <f aca="false">W_PH(AE$2,$A181)</f>
        <v>658.872411938604</v>
      </c>
      <c r="AF181" s="0" t="n">
        <f aca="false">W_PH(AF$2,$A181)</f>
        <v>658.813090256532</v>
      </c>
      <c r="AG181" s="0" t="n">
        <f aca="false">W_PH(AG$2,$A181)</f>
        <v>658.754241512536</v>
      </c>
      <c r="AH181" s="0" t="n">
        <f aca="false">W_PH(AH$2,$A181)</f>
        <v>658.191129298017</v>
      </c>
      <c r="AI181" s="0" t="n">
        <f aca="false">W_PH(AI$2,$A181)</f>
        <v>657.672461065366</v>
      </c>
      <c r="AJ181" s="0" t="n">
        <f aca="false">W_PH(AJ$2,$A181)</f>
        <v>657.199619760551</v>
      </c>
      <c r="AK181" s="0" t="n">
        <f aca="false">W_PH(AK$2,$A181)</f>
        <v>656.769500923373</v>
      </c>
      <c r="AL181" s="0" t="n">
        <f aca="false">W_PH(AL$2,$A181)</f>
        <v>656.388784978372</v>
      </c>
      <c r="AM181" s="0" t="n">
        <f aca="false">W_PH(AM$2,$A181)</f>
        <v>656.058685415287</v>
      </c>
      <c r="AN181" s="0" t="n">
        <f aca="false">W_PH(AN$2,$A181)</f>
        <v>655.780410695022</v>
      </c>
      <c r="AO181" s="0" t="n">
        <f aca="false">W_PH(AO$2,$A181)</f>
        <v>655.555095932771</v>
      </c>
      <c r="AP181" s="0" t="n">
        <f aca="false">W_PH(AP$2,$A181)</f>
        <v>655.383755163416</v>
      </c>
      <c r="AQ181" s="0" t="n">
        <f aca="false">W_PH(AQ$2,$A181)</f>
        <v>656.739172752641</v>
      </c>
      <c r="AR181" s="0" t="n">
        <f aca="false">W_PH(AR$2,$A181)</f>
        <v>657.70511635752</v>
      </c>
      <c r="AS181" s="0" t="n">
        <f aca="false">W_PH(AS$2,$A181)</f>
        <v>658.216461166125</v>
      </c>
    </row>
    <row r="182" customFormat="false" ht="13.8" hidden="false" customHeight="false" outlineLevel="0" collapsed="false">
      <c r="A182" s="0" t="n">
        <v>3420</v>
      </c>
      <c r="B182" s="0" t="n">
        <f aca="false">W_PH(B$2,$A182)</f>
        <v>661.346239025612</v>
      </c>
      <c r="C182" s="0" t="n">
        <f aca="false">W_PH(C$2,$A182)</f>
        <v>661.346177473605</v>
      </c>
      <c r="D182" s="0" t="n">
        <f aca="false">W_PH(D$2,$A182)</f>
        <v>661.346115922086</v>
      </c>
      <c r="E182" s="0" t="n">
        <f aca="false">W_PH(E$2,$A182)</f>
        <v>661.346054371057</v>
      </c>
      <c r="F182" s="0" t="n">
        <f aca="false">W_PH(F$2,$A182)</f>
        <v>661.345992820516</v>
      </c>
      <c r="G182" s="0" t="n">
        <f aca="false">W_PH(G$2,$A182)</f>
        <v>661.345377342001</v>
      </c>
      <c r="H182" s="0" t="n">
        <f aca="false">W_PH(H$2,$A182)</f>
        <v>661.344761912375</v>
      </c>
      <c r="I182" s="0" t="n">
        <f aca="false">W_PH(I$2,$A182)</f>
        <v>661.344146531635</v>
      </c>
      <c r="J182" s="0" t="n">
        <f aca="false">W_PH(J$2,$A182)</f>
        <v>661.343531199778</v>
      </c>
      <c r="K182" s="0" t="n">
        <f aca="false">W_PH(K$2,$A182)</f>
        <v>661.342915916798</v>
      </c>
      <c r="L182" s="0" t="n">
        <f aca="false">W_PH(L$2,$A182)</f>
        <v>661.342300682694</v>
      </c>
      <c r="M182" s="0" t="n">
        <f aca="false">W_PH(M$2,$A182)</f>
        <v>661.341685497459</v>
      </c>
      <c r="N182" s="0" t="n">
        <f aca="false">W_PH(N$2,$A182)</f>
        <v>661.341070361092</v>
      </c>
      <c r="O182" s="0" t="n">
        <f aca="false">W_PH(O$2,$A182)</f>
        <v>661.340455273587</v>
      </c>
      <c r="P182" s="0" t="n">
        <f aca="false">W_PH(P$2,$A182)</f>
        <v>661.334307085155</v>
      </c>
      <c r="Q182" s="0" t="n">
        <f aca="false">W_PH(Q$2,$A182)</f>
        <v>661.3281637788</v>
      </c>
      <c r="R182" s="0" t="n">
        <f aca="false">W_PH(R$2,$A182)</f>
        <v>661.322025350706</v>
      </c>
      <c r="S182" s="0" t="n">
        <f aca="false">W_PH(S$2,$A182)</f>
        <v>661.31589179707</v>
      </c>
      <c r="T182" s="0" t="n">
        <f aca="false">W_PH(T$2,$A182)</f>
        <v>661.3097631141</v>
      </c>
      <c r="U182" s="0" t="n">
        <f aca="false">W_PH(U$2,$A182)</f>
        <v>661.303639298019</v>
      </c>
      <c r="V182" s="0" t="n">
        <f aca="false">W_PH(V$2,$A182)</f>
        <v>661.297520345058</v>
      </c>
      <c r="W182" s="0" t="n">
        <f aca="false">W_PH(W$2,$A182)</f>
        <v>661.291406251467</v>
      </c>
      <c r="X182" s="0" t="n">
        <f aca="false">W_PH(X$2,$A182)</f>
        <v>661.285297013503</v>
      </c>
      <c r="Y182" s="0" t="n">
        <f aca="false">W_PH(Y$2,$A182)</f>
        <v>661.224470879172</v>
      </c>
      <c r="Z182" s="0" t="n">
        <f aca="false">W_PH(Z$2,$A182)</f>
        <v>661.164126283356</v>
      </c>
      <c r="AA182" s="0" t="n">
        <f aca="false">W_PH(AA$2,$A182)</f>
        <v>661.104259684181</v>
      </c>
      <c r="AB182" s="0" t="n">
        <f aca="false">W_PH(AB$2,$A182)</f>
        <v>661.044867655619</v>
      </c>
      <c r="AC182" s="0" t="n">
        <f aca="false">W_PH(AC$2,$A182)</f>
        <v>660.985946883767</v>
      </c>
      <c r="AD182" s="0" t="n">
        <f aca="false">W_PH(AD$2,$A182)</f>
        <v>660.927494163238</v>
      </c>
      <c r="AE182" s="0" t="n">
        <f aca="false">W_PH(AE$2,$A182)</f>
        <v>660.869506393674</v>
      </c>
      <c r="AF182" s="0" t="n">
        <f aca="false">W_PH(AF$2,$A182)</f>
        <v>660.811980576374</v>
      </c>
      <c r="AG182" s="0" t="n">
        <f aca="false">W_PH(AG$2,$A182)</f>
        <v>660.754913811032</v>
      </c>
      <c r="AH182" s="0" t="n">
        <f aca="false">W_PH(AH$2,$A182)</f>
        <v>660.20892028671</v>
      </c>
      <c r="AI182" s="0" t="n">
        <f aca="false">W_PH(AI$2,$A182)</f>
        <v>659.706263186628</v>
      </c>
      <c r="AJ182" s="0" t="n">
        <f aca="false">W_PH(AJ$2,$A182)</f>
        <v>659.248490588642</v>
      </c>
      <c r="AK182" s="0" t="n">
        <f aca="false">W_PH(AK$2,$A182)</f>
        <v>658.832072711667</v>
      </c>
      <c r="AL182" s="0" t="n">
        <f aca="false">W_PH(AL$2,$A182)</f>
        <v>658.464129159231</v>
      </c>
      <c r="AM182" s="0" t="n">
        <f aca="false">W_PH(AM$2,$A182)</f>
        <v>658.145872518189</v>
      </c>
      <c r="AN182" s="0" t="n">
        <f aca="false">W_PH(AN$2,$A182)</f>
        <v>657.878502811977</v>
      </c>
      <c r="AO182" s="0" t="n">
        <f aca="false">W_PH(AO$2,$A182)</f>
        <v>657.663143148109</v>
      </c>
      <c r="AP182" s="0" t="n">
        <f aca="false">W_PH(AP$2,$A182)</f>
        <v>657.500794694419</v>
      </c>
      <c r="AQ182" s="0" t="n">
        <f aca="false">W_PH(AQ$2,$A182)</f>
        <v>658.892013137198</v>
      </c>
      <c r="AR182" s="0" t="n">
        <f aca="false">W_PH(AR$2,$A182)</f>
        <v>659.853428930072</v>
      </c>
      <c r="AS182" s="0" t="n">
        <f aca="false">W_PH(AS$2,$A182)</f>
        <v>660.36147828895</v>
      </c>
    </row>
    <row r="183" customFormat="false" ht="13.8" hidden="false" customHeight="false" outlineLevel="0" collapsed="false">
      <c r="A183" s="0" t="n">
        <v>3430</v>
      </c>
      <c r="B183" s="0" t="n">
        <f aca="false">W_PH(B$2,$A183)</f>
        <v>663.317951414043</v>
      </c>
      <c r="C183" s="0" t="n">
        <f aca="false">W_PH(C$2,$A183)</f>
        <v>663.317891744835</v>
      </c>
      <c r="D183" s="0" t="n">
        <f aca="false">W_PH(D$2,$A183)</f>
        <v>663.3178320761</v>
      </c>
      <c r="E183" s="0" t="n">
        <f aca="false">W_PH(E$2,$A183)</f>
        <v>663.317772407837</v>
      </c>
      <c r="F183" s="0" t="n">
        <f aca="false">W_PH(F$2,$A183)</f>
        <v>663.317712740047</v>
      </c>
      <c r="G183" s="0" t="n">
        <f aca="false">W_PH(G$2,$A183)</f>
        <v>663.317116088144</v>
      </c>
      <c r="H183" s="0" t="n">
        <f aca="false">W_PH(H$2,$A183)</f>
        <v>663.316519483502</v>
      </c>
      <c r="I183" s="0" t="n">
        <f aca="false">W_PH(I$2,$A183)</f>
        <v>663.315922926118</v>
      </c>
      <c r="J183" s="0" t="n">
        <f aca="false">W_PH(J$2,$A183)</f>
        <v>663.315326415989</v>
      </c>
      <c r="K183" s="0" t="n">
        <f aca="false">W_PH(K$2,$A183)</f>
        <v>663.314729953112</v>
      </c>
      <c r="L183" s="0" t="n">
        <f aca="false">W_PH(L$2,$A183)</f>
        <v>663.314133537482</v>
      </c>
      <c r="M183" s="0" t="n">
        <f aca="false">W_PH(M$2,$A183)</f>
        <v>663.313537169097</v>
      </c>
      <c r="N183" s="0" t="n">
        <f aca="false">W_PH(N$2,$A183)</f>
        <v>663.312940847952</v>
      </c>
      <c r="O183" s="0" t="n">
        <f aca="false">W_PH(O$2,$A183)</f>
        <v>663.312344574045</v>
      </c>
      <c r="P183" s="0" t="n">
        <f aca="false">W_PH(P$2,$A183)</f>
        <v>663.306384432274</v>
      </c>
      <c r="Q183" s="0" t="n">
        <f aca="false">W_PH(Q$2,$A183)</f>
        <v>663.300429010459</v>
      </c>
      <c r="R183" s="0" t="n">
        <f aca="false">W_PH(R$2,$A183)</f>
        <v>663.294478305161</v>
      </c>
      <c r="S183" s="0" t="n">
        <f aca="false">W_PH(S$2,$A183)</f>
        <v>663.288532312959</v>
      </c>
      <c r="T183" s="0" t="n">
        <f aca="false">W_PH(T$2,$A183)</f>
        <v>663.282591030439</v>
      </c>
      <c r="U183" s="0" t="n">
        <f aca="false">W_PH(U$2,$A183)</f>
        <v>663.276654454202</v>
      </c>
      <c r="V183" s="0" t="n">
        <f aca="false">W_PH(V$2,$A183)</f>
        <v>663.270722580857</v>
      </c>
      <c r="W183" s="0" t="n">
        <f aca="false">W_PH(W$2,$A183)</f>
        <v>663.264795407026</v>
      </c>
      <c r="X183" s="0" t="n">
        <f aca="false">W_PH(X$2,$A183)</f>
        <v>663.258872929342</v>
      </c>
      <c r="Y183" s="0" t="n">
        <f aca="false">W_PH(Y$2,$A183)</f>
        <v>663.199905707959</v>
      </c>
      <c r="Z183" s="0" t="n">
        <f aca="false">W_PH(Z$2,$A183)</f>
        <v>663.141404480613</v>
      </c>
      <c r="AA183" s="0" t="n">
        <f aca="false">W_PH(AA$2,$A183)</f>
        <v>663.08336606181</v>
      </c>
      <c r="AB183" s="0" t="n">
        <f aca="false">W_PH(AB$2,$A183)</f>
        <v>663.025787371465</v>
      </c>
      <c r="AC183" s="0" t="n">
        <f aca="false">W_PH(AC$2,$A183)</f>
        <v>662.968665431463</v>
      </c>
      <c r="AD183" s="0" t="n">
        <f aca="false">W_PH(AD$2,$A183)</f>
        <v>662.911997362331</v>
      </c>
      <c r="AE183" s="0" t="n">
        <f aca="false">W_PH(AE$2,$A183)</f>
        <v>662.855780380016</v>
      </c>
      <c r="AF183" s="0" t="n">
        <f aca="false">W_PH(AF$2,$A183)</f>
        <v>662.800011792761</v>
      </c>
      <c r="AG183" s="0" t="n">
        <f aca="false">W_PH(AG$2,$A183)</f>
        <v>662.744688998089</v>
      </c>
      <c r="AH183" s="0" t="n">
        <f aca="false">W_PH(AH$2,$A183)</f>
        <v>662.215465349606</v>
      </c>
      <c r="AI183" s="0" t="n">
        <f aca="false">W_PH(AI$2,$A183)</f>
        <v>661.72851976373</v>
      </c>
      <c r="AJ183" s="0" t="n">
        <f aca="false">W_PH(AJ$2,$A183)</f>
        <v>661.285552465551</v>
      </c>
      <c r="AK183" s="0" t="n">
        <f aca="false">W_PH(AK$2,$A183)</f>
        <v>660.882655317649</v>
      </c>
      <c r="AL183" s="0" t="n">
        <f aca="false">W_PH(AL$2,$A183)</f>
        <v>660.527337314417</v>
      </c>
      <c r="AM183" s="0" t="n">
        <f aca="false">W_PH(AM$2,$A183)</f>
        <v>660.220808703882</v>
      </c>
      <c r="AN183" s="0" t="n">
        <f aca="false">W_PH(AN$2,$A183)</f>
        <v>659.964259645853</v>
      </c>
      <c r="AO183" s="0" t="n">
        <f aca="false">W_PH(AO$2,$A183)</f>
        <v>659.758799751019</v>
      </c>
      <c r="AP183" s="0" t="n">
        <f aca="false">W_PH(AP$2,$A183)</f>
        <v>659.605415746574</v>
      </c>
      <c r="AQ183" s="0" t="n">
        <f aca="false">W_PH(AQ$2,$A183)</f>
        <v>661.033293725849</v>
      </c>
      <c r="AR183" s="0" t="n">
        <f aca="false">W_PH(AR$2,$A183)</f>
        <v>661.990532078167</v>
      </c>
      <c r="AS183" s="0" t="n">
        <f aca="false">W_PH(AS$2,$A183)</f>
        <v>662.495457365139</v>
      </c>
    </row>
    <row r="184" customFormat="false" ht="13.8" hidden="false" customHeight="false" outlineLevel="0" collapsed="false">
      <c r="A184" s="0" t="n">
        <v>3440</v>
      </c>
      <c r="B184" s="0" t="n">
        <f aca="false">W_PH(B$2,$A184)</f>
        <v>665.279296362042</v>
      </c>
      <c r="C184" s="0" t="n">
        <f aca="false">W_PH(C$2,$A184)</f>
        <v>665.27923853251</v>
      </c>
      <c r="D184" s="0" t="n">
        <f aca="false">W_PH(D$2,$A184)</f>
        <v>665.279180703435</v>
      </c>
      <c r="E184" s="0" t="n">
        <f aca="false">W_PH(E$2,$A184)</f>
        <v>665.279122874817</v>
      </c>
      <c r="F184" s="0" t="n">
        <f aca="false">W_PH(F$2,$A184)</f>
        <v>665.279065046657</v>
      </c>
      <c r="G184" s="0" t="n">
        <f aca="false">W_PH(G$2,$A184)</f>
        <v>665.278486790193</v>
      </c>
      <c r="H184" s="0" t="n">
        <f aca="false">W_PH(H$2,$A184)</f>
        <v>665.277908579439</v>
      </c>
      <c r="I184" s="0" t="n">
        <f aca="false">W_PH(I$2,$A184)</f>
        <v>665.277330414394</v>
      </c>
      <c r="J184" s="0" t="n">
        <f aca="false">W_PH(J$2,$A184)</f>
        <v>665.276752295052</v>
      </c>
      <c r="K184" s="0" t="n">
        <f aca="false">W_PH(K$2,$A184)</f>
        <v>665.276174221413</v>
      </c>
      <c r="L184" s="0" t="n">
        <f aca="false">W_PH(L$2,$A184)</f>
        <v>665.275596193472</v>
      </c>
      <c r="M184" s="0" t="n">
        <f aca="false">W_PH(M$2,$A184)</f>
        <v>665.275018211226</v>
      </c>
      <c r="N184" s="0" t="n">
        <f aca="false">W_PH(N$2,$A184)</f>
        <v>665.274440274672</v>
      </c>
      <c r="O184" s="0" t="n">
        <f aca="false">W_PH(O$2,$A184)</f>
        <v>665.273862383808</v>
      </c>
      <c r="P184" s="0" t="n">
        <f aca="false">W_PH(P$2,$A184)</f>
        <v>665.268085987384</v>
      </c>
      <c r="Q184" s="0" t="n">
        <f aca="false">W_PH(Q$2,$A184)</f>
        <v>665.262314156477</v>
      </c>
      <c r="R184" s="0" t="n">
        <f aca="false">W_PH(R$2,$A184)</f>
        <v>665.256546888009</v>
      </c>
      <c r="S184" s="0" t="n">
        <f aca="false">W_PH(S$2,$A184)</f>
        <v>665.250784178914</v>
      </c>
      <c r="T184" s="0" t="n">
        <f aca="false">W_PH(T$2,$A184)</f>
        <v>665.245026026135</v>
      </c>
      <c r="U184" s="0" t="n">
        <f aca="false">W_PH(U$2,$A184)</f>
        <v>665.239272426626</v>
      </c>
      <c r="V184" s="0" t="n">
        <f aca="false">W_PH(V$2,$A184)</f>
        <v>665.233523377354</v>
      </c>
      <c r="W184" s="0" t="n">
        <f aca="false">W_PH(W$2,$A184)</f>
        <v>665.227778875292</v>
      </c>
      <c r="X184" s="0" t="n">
        <f aca="false">W_PH(X$2,$A184)</f>
        <v>665.222038917425</v>
      </c>
      <c r="Y184" s="0" t="n">
        <f aca="false">W_PH(Y$2,$A184)</f>
        <v>665.164888613612</v>
      </c>
      <c r="Z184" s="0" t="n">
        <f aca="false">W_PH(Z$2,$A184)</f>
        <v>665.108189488476</v>
      </c>
      <c r="AA184" s="0" t="n">
        <f aca="false">W_PH(AA$2,$A184)</f>
        <v>665.051938692121</v>
      </c>
      <c r="AB184" s="0" t="n">
        <f aca="false">W_PH(AB$2,$A184)</f>
        <v>664.996133470402</v>
      </c>
      <c r="AC184" s="0" t="n">
        <f aca="false">W_PH(AC$2,$A184)</f>
        <v>664.940771161754</v>
      </c>
      <c r="AD184" s="0" t="n">
        <f aca="false">W_PH(AD$2,$A184)</f>
        <v>664.885849194121</v>
      </c>
      <c r="AE184" s="0" t="n">
        <f aca="false">W_PH(AE$2,$A184)</f>
        <v>664.83136508198</v>
      </c>
      <c r="AF184" s="0" t="n">
        <f aca="false">W_PH(AF$2,$A184)</f>
        <v>664.77731642345</v>
      </c>
      <c r="AG184" s="0" t="n">
        <f aca="false">W_PH(AG$2,$A184)</f>
        <v>664.723700897499</v>
      </c>
      <c r="AH184" s="0" t="n">
        <f aca="false">W_PH(AH$2,$A184)</f>
        <v>664.210909933202</v>
      </c>
      <c r="AI184" s="0" t="n">
        <f aca="false">W_PH(AI$2,$A184)</f>
        <v>663.73938525843</v>
      </c>
      <c r="AJ184" s="0" t="n">
        <f aca="false">W_PH(AJ$2,$A184)</f>
        <v>663.310966130612</v>
      </c>
      <c r="AK184" s="0" t="n">
        <f aca="false">W_PH(AK$2,$A184)</f>
        <v>662.921413031168</v>
      </c>
      <c r="AL184" s="0" t="n">
        <f aca="false">W_PH(AL$2,$A184)</f>
        <v>662.578575423046</v>
      </c>
      <c r="AM184" s="0" t="n">
        <f aca="false">W_PH(AM$2,$A184)</f>
        <v>662.283659876506</v>
      </c>
      <c r="AN184" s="0" t="n">
        <f aca="false">W_PH(AN$2,$A184)</f>
        <v>662.037845411686</v>
      </c>
      <c r="AO184" s="0" t="n">
        <f aca="false">W_PH(AO$2,$A184)</f>
        <v>661.842226840197</v>
      </c>
      <c r="AP184" s="0" t="n">
        <f aca="false">W_PH(AP$2,$A184)</f>
        <v>661.697775084537</v>
      </c>
      <c r="AQ184" s="0" t="n">
        <f aca="false">W_PH(AQ$2,$A184)</f>
        <v>663.163106768961</v>
      </c>
      <c r="AR184" s="0" t="n">
        <f aca="false">W_PH(AR$2,$A184)</f>
        <v>664.116508481383</v>
      </c>
      <c r="AS184" s="0" t="n">
        <f aca="false">W_PH(AS$2,$A184)</f>
        <v>664.618477629126</v>
      </c>
    </row>
    <row r="185" customFormat="false" ht="13.8" hidden="false" customHeight="false" outlineLevel="0" collapsed="false">
      <c r="A185" s="0" t="n">
        <v>3450</v>
      </c>
      <c r="B185" s="0" t="n">
        <f aca="false">W_PH(B$2,$A185)</f>
        <v>667.230391618095</v>
      </c>
      <c r="C185" s="0" t="n">
        <f aca="false">W_PH(C$2,$A185)</f>
        <v>667.230335586627</v>
      </c>
      <c r="D185" s="0" t="n">
        <f aca="false">W_PH(D$2,$A185)</f>
        <v>667.230279555602</v>
      </c>
      <c r="E185" s="0" t="n">
        <f aca="false">W_PH(E$2,$A185)</f>
        <v>667.230223525019</v>
      </c>
      <c r="F185" s="0" t="n">
        <f aca="false">W_PH(F$2,$A185)</f>
        <v>667.230167494878</v>
      </c>
      <c r="G185" s="0" t="n">
        <f aca="false">W_PH(G$2,$A185)</f>
        <v>667.229607217802</v>
      </c>
      <c r="H185" s="0" t="n">
        <f aca="false">W_PH(H$2,$A185)</f>
        <v>667.229046984959</v>
      </c>
      <c r="I185" s="0" t="n">
        <f aca="false">W_PH(I$2,$A185)</f>
        <v>667.228486796348</v>
      </c>
      <c r="J185" s="0" t="n">
        <f aca="false">W_PH(J$2,$A185)</f>
        <v>667.227926651965</v>
      </c>
      <c r="K185" s="0" t="n">
        <f aca="false">W_PH(K$2,$A185)</f>
        <v>667.227366551808</v>
      </c>
      <c r="L185" s="0" t="n">
        <f aca="false">W_PH(L$2,$A185)</f>
        <v>667.226806495873</v>
      </c>
      <c r="M185" s="0" t="n">
        <f aca="false">W_PH(M$2,$A185)</f>
        <v>667.22624648416</v>
      </c>
      <c r="N185" s="0" t="n">
        <f aca="false">W_PH(N$2,$A185)</f>
        <v>667.225686516663</v>
      </c>
      <c r="O185" s="0" t="n">
        <f aca="false">W_PH(O$2,$A185)</f>
        <v>667.225126593382</v>
      </c>
      <c r="P185" s="0" t="n">
        <f aca="false">W_PH(P$2,$A185)</f>
        <v>667.219529791769</v>
      </c>
      <c r="Q185" s="0" t="n">
        <f aca="false">W_PH(Q$2,$A185)</f>
        <v>667.213937408605</v>
      </c>
      <c r="R185" s="0" t="n">
        <f aca="false">W_PH(R$2,$A185)</f>
        <v>667.208349441149</v>
      </c>
      <c r="S185" s="0" t="n">
        <f aca="false">W_PH(S$2,$A185)</f>
        <v>667.202765886669</v>
      </c>
      <c r="T185" s="0" t="n">
        <f aca="false">W_PH(T$2,$A185)</f>
        <v>667.197186742445</v>
      </c>
      <c r="U185" s="0" t="n">
        <f aca="false">W_PH(U$2,$A185)</f>
        <v>667.191612005764</v>
      </c>
      <c r="V185" s="0" t="n">
        <f aca="false">W_PH(V$2,$A185)</f>
        <v>667.186041673924</v>
      </c>
      <c r="W185" s="0" t="n">
        <f aca="false">W_PH(W$2,$A185)</f>
        <v>667.180475744233</v>
      </c>
      <c r="X185" s="0" t="n">
        <f aca="false">W_PH(X$2,$A185)</f>
        <v>667.174914214005</v>
      </c>
      <c r="Y185" s="0" t="n">
        <f aca="false">W_PH(Y$2,$A185)</f>
        <v>667.119540298471</v>
      </c>
      <c r="Z185" s="0" t="n">
        <f aca="false">W_PH(Z$2,$A185)</f>
        <v>667.064603445508</v>
      </c>
      <c r="AA185" s="0" t="n">
        <f aca="false">W_PH(AA$2,$A185)</f>
        <v>667.010101120866</v>
      </c>
      <c r="AB185" s="0" t="n">
        <f aca="false">W_PH(AB$2,$A185)</f>
        <v>666.956030877113</v>
      </c>
      <c r="AC185" s="0" t="n">
        <f aca="false">W_PH(AC$2,$A185)</f>
        <v>666.902390350713</v>
      </c>
      <c r="AD185" s="0" t="n">
        <f aca="false">W_PH(AD$2,$A185)</f>
        <v>666.84917725919</v>
      </c>
      <c r="AE185" s="0" t="n">
        <f aca="false">W_PH(AE$2,$A185)</f>
        <v>666.79638939838</v>
      </c>
      <c r="AF185" s="0" t="n">
        <f aca="false">W_PH(AF$2,$A185)</f>
        <v>666.74402463976</v>
      </c>
      <c r="AG185" s="0" t="n">
        <f aca="false">W_PH(AG$2,$A185)</f>
        <v>666.692080927864</v>
      </c>
      <c r="AH185" s="0" t="n">
        <f aca="false">W_PH(AH$2,$A185)</f>
        <v>666.195396615148</v>
      </c>
      <c r="AI185" s="0" t="n">
        <f aca="false">W_PH(AI$2,$A185)</f>
        <v>665.739011061001</v>
      </c>
      <c r="AJ185" s="0" t="n">
        <f aca="false">W_PH(AJ$2,$A185)</f>
        <v>665.324889495181</v>
      </c>
      <c r="AK185" s="0" t="n">
        <f aca="false">W_PH(AK$2,$A185)</f>
        <v>664.948507255778</v>
      </c>
      <c r="AL185" s="0" t="n">
        <f aca="false">W_PH(AL$2,$A185)</f>
        <v>664.618006654306</v>
      </c>
      <c r="AM185" s="0" t="n">
        <f aca="false">W_PH(AM$2,$A185)</f>
        <v>664.334589325456</v>
      </c>
      <c r="AN185" s="0" t="n">
        <f aca="false">W_PH(AN$2,$A185)</f>
        <v>664.099422003095</v>
      </c>
      <c r="AO185" s="0" t="n">
        <f aca="false">W_PH(AO$2,$A185)</f>
        <v>663.913583562013</v>
      </c>
      <c r="AP185" s="0" t="n">
        <f aca="false">W_PH(AP$2,$A185)</f>
        <v>663.778027943424</v>
      </c>
      <c r="AQ185" s="0" t="n">
        <f aca="false">W_PH(AQ$2,$A185)</f>
        <v>665.281546815368</v>
      </c>
      <c r="AR185" s="0" t="n">
        <f aca="false">W_PH(AR$2,$A185)</f>
        <v>666.231443447777</v>
      </c>
      <c r="AS185" s="0" t="n">
        <f aca="false">W_PH(AS$2,$A185)</f>
        <v>666.730621049274</v>
      </c>
    </row>
    <row r="186" customFormat="false" ht="13.8" hidden="false" customHeight="false" outlineLevel="0" collapsed="false">
      <c r="A186" s="0" t="n">
        <v>3460</v>
      </c>
      <c r="B186" s="0" t="n">
        <f aca="false">W_PH(B$2,$A186)</f>
        <v>669.171353243462</v>
      </c>
      <c r="C186" s="0" t="n">
        <f aca="false">W_PH(C$2,$A186)</f>
        <v>669.171298969886</v>
      </c>
      <c r="D186" s="0" t="n">
        <f aca="false">W_PH(D$2,$A186)</f>
        <v>669.171244696738</v>
      </c>
      <c r="E186" s="0" t="n">
        <f aca="false">W_PH(E$2,$A186)</f>
        <v>669.171190424019</v>
      </c>
      <c r="F186" s="0" t="n">
        <f aca="false">W_PH(F$2,$A186)</f>
        <v>669.171136151728</v>
      </c>
      <c r="G186" s="0" t="n">
        <f aca="false">W_PH(G$2,$A186)</f>
        <v>669.170593452374</v>
      </c>
      <c r="H186" s="0" t="n">
        <f aca="false">W_PH(H$2,$A186)</f>
        <v>669.17005079585</v>
      </c>
      <c r="I186" s="0" t="n">
        <f aca="false">W_PH(I$2,$A186)</f>
        <v>669.169508182151</v>
      </c>
      <c r="J186" s="0" t="n">
        <f aca="false">W_PH(J$2,$A186)</f>
        <v>669.168965611275</v>
      </c>
      <c r="K186" s="0" t="n">
        <f aca="false">W_PH(K$2,$A186)</f>
        <v>669.168423083221</v>
      </c>
      <c r="L186" s="0" t="n">
        <f aca="false">W_PH(L$2,$A186)</f>
        <v>669.167880597985</v>
      </c>
      <c r="M186" s="0" t="n">
        <f aca="false">W_PH(M$2,$A186)</f>
        <v>669.167338155565</v>
      </c>
      <c r="N186" s="0" t="n">
        <f aca="false">W_PH(N$2,$A186)</f>
        <v>669.16679575596</v>
      </c>
      <c r="O186" s="0" t="n">
        <f aca="false">W_PH(O$2,$A186)</f>
        <v>669.166253399165</v>
      </c>
      <c r="P186" s="0" t="n">
        <f aca="false">W_PH(P$2,$A186)</f>
        <v>669.160832185305</v>
      </c>
      <c r="Q186" s="0" t="n">
        <f aca="false">W_PH(Q$2,$A186)</f>
        <v>669.155415249899</v>
      </c>
      <c r="R186" s="0" t="n">
        <f aca="false">W_PH(R$2,$A186)</f>
        <v>669.150002590522</v>
      </c>
      <c r="S186" s="0" t="n">
        <f aca="false">W_PH(S$2,$A186)</f>
        <v>669.144594204759</v>
      </c>
      <c r="T186" s="0" t="n">
        <f aca="false">W_PH(T$2,$A186)</f>
        <v>669.139190090203</v>
      </c>
      <c r="U186" s="0" t="n">
        <f aca="false">W_PH(U$2,$A186)</f>
        <v>669.133790244454</v>
      </c>
      <c r="V186" s="0" t="n">
        <f aca="false">W_PH(V$2,$A186)</f>
        <v>669.128394665124</v>
      </c>
      <c r="W186" s="0" t="n">
        <f aca="false">W_PH(W$2,$A186)</f>
        <v>669.12300334983</v>
      </c>
      <c r="X186" s="0" t="n">
        <f aca="false">W_PH(X$2,$A186)</f>
        <v>669.117616296199</v>
      </c>
      <c r="Y186" s="0" t="n">
        <f aca="false">W_PH(Y$2,$A186)</f>
        <v>669.063979635289</v>
      </c>
      <c r="Z186" s="0" t="n">
        <f aca="false">W_PH(Z$2,$A186)</f>
        <v>669.010766592117</v>
      </c>
      <c r="AA186" s="0" t="n">
        <f aca="false">W_PH(AA$2,$A186)</f>
        <v>668.957974928948</v>
      </c>
      <c r="AB186" s="0" t="n">
        <f aca="false">W_PH(AB$2,$A186)</f>
        <v>668.9056024866</v>
      </c>
      <c r="AC186" s="0" t="n">
        <f aca="false">W_PH(AC$2,$A186)</f>
        <v>668.853647181754</v>
      </c>
      <c r="AD186" s="0" t="n">
        <f aca="false">W_PH(AD$2,$A186)</f>
        <v>668.802107004334</v>
      </c>
      <c r="AE186" s="0" t="n">
        <f aca="false">W_PH(AE$2,$A186)</f>
        <v>668.750980014974</v>
      </c>
      <c r="AF186" s="0" t="n">
        <f aca="false">W_PH(AF$2,$A186)</f>
        <v>668.70026434255</v>
      </c>
      <c r="AG186" s="0" t="n">
        <f aca="false">W_PH(AG$2,$A186)</f>
        <v>668.649958181794</v>
      </c>
      <c r="AH186" s="0" t="n">
        <f aca="false">W_PH(AH$2,$A186)</f>
        <v>668.169065199965</v>
      </c>
      <c r="AI186" s="0" t="n">
        <f aca="false">W_PH(AI$2,$A186)</f>
        <v>667.727545570575</v>
      </c>
      <c r="AJ186" s="0" t="n">
        <f aca="false">W_PH(AJ$2,$A186)</f>
        <v>667.327477672052</v>
      </c>
      <c r="AK186" s="0" t="n">
        <f aca="false">W_PH(AK$2,$A186)</f>
        <v>666.964096533961</v>
      </c>
      <c r="AL186" s="0" t="n">
        <f aca="false">W_PH(AL$2,$A186)</f>
        <v>666.645791377864</v>
      </c>
      <c r="AM186" s="0" t="n">
        <f aca="false">W_PH(AM$2,$A186)</f>
        <v>666.373757713495</v>
      </c>
      <c r="AN186" s="0" t="n">
        <f aca="false">W_PH(AN$2,$A186)</f>
        <v>666.149148953591</v>
      </c>
      <c r="AO186" s="0" t="n">
        <f aca="false">W_PH(AO$2,$A186)</f>
        <v>665.973027043021</v>
      </c>
      <c r="AP186" s="0" t="n">
        <f aca="false">W_PH(AP$2,$A186)</f>
        <v>665.846327932459</v>
      </c>
      <c r="AQ186" s="0" t="n">
        <f aca="false">W_PH(AQ$2,$A186)</f>
        <v>667.388710383377</v>
      </c>
      <c r="AR186" s="0" t="n">
        <f aca="false">W_PH(AR$2,$A186)</f>
        <v>668.335424513601</v>
      </c>
      <c r="AS186" s="0" t="n">
        <f aca="false">W_PH(AS$2,$A186)</f>
        <v>668.831971886485</v>
      </c>
    </row>
    <row r="187" customFormat="false" ht="13.8" hidden="false" customHeight="false" outlineLevel="0" collapsed="false">
      <c r="A187" s="0" t="n">
        <v>3470</v>
      </c>
      <c r="B187" s="0" t="n">
        <f aca="false">W_PH(B$2,$A187)</f>
        <v>671.102295645507</v>
      </c>
      <c r="C187" s="0" t="n">
        <f aca="false">W_PH(C$2,$A187)</f>
        <v>671.102243091021</v>
      </c>
      <c r="D187" s="0" t="n">
        <f aca="false">W_PH(D$2,$A187)</f>
        <v>671.102190536951</v>
      </c>
      <c r="E187" s="0" t="n">
        <f aca="false">W_PH(E$2,$A187)</f>
        <v>671.102137983295</v>
      </c>
      <c r="F187" s="0" t="n">
        <f aca="false">W_PH(F$2,$A187)</f>
        <v>671.102085430055</v>
      </c>
      <c r="G187" s="0" t="n">
        <f aca="false">W_PH(G$2,$A187)</f>
        <v>671.101559920469</v>
      </c>
      <c r="H187" s="0" t="n">
        <f aca="false">W_PH(H$2,$A187)</f>
        <v>671.101034452374</v>
      </c>
      <c r="I187" s="0" t="n">
        <f aca="false">W_PH(I$2,$A187)</f>
        <v>671.100509025768</v>
      </c>
      <c r="J187" s="0" t="n">
        <f aca="false">W_PH(J$2,$A187)</f>
        <v>671.099983640649</v>
      </c>
      <c r="K187" s="0" t="n">
        <f aca="false">W_PH(K$2,$A187)</f>
        <v>671.099458297014</v>
      </c>
      <c r="L187" s="0" t="n">
        <f aca="false">W_PH(L$2,$A187)</f>
        <v>671.098932994862</v>
      </c>
      <c r="M187" s="0" t="n">
        <f aca="false">W_PH(M$2,$A187)</f>
        <v>671.09840773419</v>
      </c>
      <c r="N187" s="0" t="n">
        <f aca="false">W_PH(N$2,$A187)</f>
        <v>671.097882514997</v>
      </c>
      <c r="O187" s="0" t="n">
        <f aca="false">W_PH(O$2,$A187)</f>
        <v>671.097357337279</v>
      </c>
      <c r="P187" s="0" t="n">
        <f aca="false">W_PH(P$2,$A187)</f>
        <v>671.092107840815</v>
      </c>
      <c r="Q187" s="0" t="n">
        <f aca="false">W_PH(Q$2,$A187)</f>
        <v>671.086862489606</v>
      </c>
      <c r="R187" s="0" t="n">
        <f aca="false">W_PH(R$2,$A187)</f>
        <v>671.081621281524</v>
      </c>
      <c r="S187" s="0" t="n">
        <f aca="false">W_PH(S$2,$A187)</f>
        <v>671.076384214449</v>
      </c>
      <c r="T187" s="0" t="n">
        <f aca="false">W_PH(T$2,$A187)</f>
        <v>671.071151286266</v>
      </c>
      <c r="U187" s="0" t="n">
        <f aca="false">W_PH(U$2,$A187)</f>
        <v>671.065922494873</v>
      </c>
      <c r="V187" s="0" t="n">
        <f aca="false">W_PH(V$2,$A187)</f>
        <v>671.060697838171</v>
      </c>
      <c r="W187" s="0" t="n">
        <f aca="false">W_PH(W$2,$A187)</f>
        <v>671.055477314071</v>
      </c>
      <c r="X187" s="0" t="n">
        <f aca="false">W_PH(X$2,$A187)</f>
        <v>671.050260920491</v>
      </c>
      <c r="Y187" s="0" t="n">
        <f aca="false">W_PH(Y$2,$A187)</f>
        <v>670.998323710724</v>
      </c>
      <c r="Z187" s="0" t="n">
        <f aca="false">W_PH(Z$2,$A187)</f>
        <v>670.946797318817</v>
      </c>
      <c r="AA187" s="0" t="n">
        <f aca="false">W_PH(AA$2,$A187)</f>
        <v>670.895679785219</v>
      </c>
      <c r="AB187" s="0" t="n">
        <f aca="false">W_PH(AB$2,$A187)</f>
        <v>670.84496922129</v>
      </c>
      <c r="AC187" s="0" t="n">
        <f aca="false">W_PH(AC$2,$A187)</f>
        <v>670.794663806815</v>
      </c>
      <c r="AD187" s="0" t="n">
        <f aca="false">W_PH(AD$2,$A187)</f>
        <v>670.744761787598</v>
      </c>
      <c r="AE187" s="0" t="n">
        <f aca="false">W_PH(AE$2,$A187)</f>
        <v>670.695261473117</v>
      </c>
      <c r="AF187" s="0" t="n">
        <f aca="false">W_PH(AF$2,$A187)</f>
        <v>670.646161234254</v>
      </c>
      <c r="AG187" s="0" t="n">
        <f aca="false">W_PH(AG$2,$A187)</f>
        <v>670.597459501079</v>
      </c>
      <c r="AH187" s="0" t="n">
        <f aca="false">W_PH(AH$2,$A187)</f>
        <v>670.132052811614</v>
      </c>
      <c r="AI187" s="0" t="n">
        <f aca="false">W_PH(AI$2,$A187)</f>
        <v>669.705134276137</v>
      </c>
      <c r="AJ187" s="0" t="n">
        <f aca="false">W_PH(AJ$2,$A187)</f>
        <v>669.318883007321</v>
      </c>
      <c r="AK187" s="0" t="n">
        <f aca="false">W_PH(AK$2,$A187)</f>
        <v>668.96833657589</v>
      </c>
      <c r="AL187" s="0" t="n">
        <f aca="false">W_PH(AL$2,$A187)</f>
        <v>668.662087179591</v>
      </c>
      <c r="AM187" s="0" t="n">
        <f aca="false">W_PH(AM$2,$A187)</f>
        <v>668.401323072073</v>
      </c>
      <c r="AN187" s="0" t="n">
        <f aca="false">W_PH(AN$2,$A187)</f>
        <v>668.187183406788</v>
      </c>
      <c r="AO187" s="0" t="n">
        <f aca="false">W_PH(AO$2,$A187)</f>
        <v>668.020712332647</v>
      </c>
      <c r="AP187" s="0" t="n">
        <f aca="false">W_PH(AP$2,$A187)</f>
        <v>667.902826949502</v>
      </c>
      <c r="AQ187" s="0" t="n">
        <f aca="false">W_PH(AQ$2,$A187)</f>
        <v>669.484695651401</v>
      </c>
      <c r="AR187" s="0" t="n">
        <f aca="false">W_PH(AR$2,$A187)</f>
        <v>670.428541073737</v>
      </c>
      <c r="AS187" s="0" t="n">
        <f aca="false">W_PH(AS$2,$A187)</f>
        <v>670.922616290093</v>
      </c>
    </row>
    <row r="188" customFormat="false" ht="13.8" hidden="false" customHeight="false" outlineLevel="0" collapsed="false">
      <c r="A188" s="0" t="n">
        <v>3480</v>
      </c>
      <c r="B188" s="0" t="n">
        <f aca="false">W_PH(B$2,$A188)</f>
        <v>673.023331609388</v>
      </c>
      <c r="C188" s="0" t="n">
        <f aca="false">W_PH(C$2,$A188)</f>
        <v>673.0232807365</v>
      </c>
      <c r="D188" s="0" t="n">
        <f aca="false">W_PH(D$2,$A188)</f>
        <v>673.023229864014</v>
      </c>
      <c r="E188" s="0" t="n">
        <f aca="false">W_PH(E$2,$A188)</f>
        <v>673.02317899193</v>
      </c>
      <c r="F188" s="0" t="n">
        <f aca="false">W_PH(F$2,$A188)</f>
        <v>673.023128120248</v>
      </c>
      <c r="G188" s="0" t="n">
        <f aca="false">W_PH(G$2,$A188)</f>
        <v>673.022619425551</v>
      </c>
      <c r="H188" s="0" t="n">
        <f aca="false">W_PH(H$2,$A188)</f>
        <v>673.022110771074</v>
      </c>
      <c r="I188" s="0" t="n">
        <f aca="false">W_PH(I$2,$A188)</f>
        <v>673.021602156814</v>
      </c>
      <c r="J188" s="0" t="n">
        <f aca="false">W_PH(J$2,$A188)</f>
        <v>673.02109358277</v>
      </c>
      <c r="K188" s="0" t="n">
        <f aca="false">W_PH(K$2,$A188)</f>
        <v>673.02058504894</v>
      </c>
      <c r="L188" s="0" t="n">
        <f aca="false">W_PH(L$2,$A188)</f>
        <v>673.020076555321</v>
      </c>
      <c r="M188" s="0" t="n">
        <f aca="false">W_PH(M$2,$A188)</f>
        <v>673.019568101913</v>
      </c>
      <c r="N188" s="0" t="n">
        <f aca="false">W_PH(N$2,$A188)</f>
        <v>673.019059688713</v>
      </c>
      <c r="O188" s="0" t="n">
        <f aca="false">W_PH(O$2,$A188)</f>
        <v>673.018551315719</v>
      </c>
      <c r="P188" s="0" t="n">
        <f aca="false">W_PH(P$2,$A188)</f>
        <v>673.013469796717</v>
      </c>
      <c r="Q188" s="0" t="n">
        <f aca="false">W_PH(Q$2,$A188)</f>
        <v>673.008392296302</v>
      </c>
      <c r="R188" s="0" t="n">
        <f aca="false">W_PH(R$2,$A188)</f>
        <v>673.003318812623</v>
      </c>
      <c r="S188" s="0" t="n">
        <f aca="false">W_PH(S$2,$A188)</f>
        <v>672.998249343837</v>
      </c>
      <c r="T188" s="0" t="n">
        <f aca="false">W_PH(T$2,$A188)</f>
        <v>672.993183888106</v>
      </c>
      <c r="U188" s="0" t="n">
        <f aca="false">W_PH(U$2,$A188)</f>
        <v>672.988122443601</v>
      </c>
      <c r="V188" s="0" t="n">
        <f aca="false">W_PH(V$2,$A188)</f>
        <v>672.983065008498</v>
      </c>
      <c r="W188" s="0" t="n">
        <f aca="false">W_PH(W$2,$A188)</f>
        <v>672.978011580982</v>
      </c>
      <c r="X188" s="0" t="n">
        <f aca="false">W_PH(X$2,$A188)</f>
        <v>672.972962159243</v>
      </c>
      <c r="Y188" s="0" t="n">
        <f aca="false">W_PH(Y$2,$A188)</f>
        <v>672.922687866502</v>
      </c>
      <c r="Z188" s="0" t="n">
        <f aca="false">W_PH(Z$2,$A188)</f>
        <v>672.872812211845</v>
      </c>
      <c r="AA188" s="0" t="n">
        <f aca="false">W_PH(AA$2,$A188)</f>
        <v>672.823333496361</v>
      </c>
      <c r="AB188" s="0" t="n">
        <f aca="false">W_PH(AB$2,$A188)</f>
        <v>672.774250084977</v>
      </c>
      <c r="AC188" s="0" t="n">
        <f aca="false">W_PH(AC$2,$A188)</f>
        <v>672.725560404171</v>
      </c>
      <c r="AD188" s="0" t="n">
        <f aca="false">W_PH(AD$2,$A188)</f>
        <v>672.677262939748</v>
      </c>
      <c r="AE188" s="0" t="n">
        <f aca="false">W_PH(AE$2,$A188)</f>
        <v>672.629356234688</v>
      </c>
      <c r="AF188" s="0" t="n">
        <f aca="false">W_PH(AF$2,$A188)</f>
        <v>672.581838887039</v>
      </c>
      <c r="AG188" s="0" t="n">
        <f aca="false">W_PH(AG$2,$A188)</f>
        <v>672.534709547888</v>
      </c>
      <c r="AH188" s="0" t="n">
        <f aca="false">W_PH(AH$2,$A188)</f>
        <v>672.08449398263</v>
      </c>
      <c r="AI188" s="0" t="n">
        <f aca="false">W_PH(AI$2,$A188)</f>
        <v>671.671919837472</v>
      </c>
      <c r="AJ188" s="0" t="n">
        <f aca="false">W_PH(AJ$2,$A188)</f>
        <v>671.299255114225</v>
      </c>
      <c r="AK188" s="0" t="n">
        <f aca="false">W_PH(AK$2,$A188)</f>
        <v>670.961380291035</v>
      </c>
      <c r="AL188" s="0" t="n">
        <f aca="false">W_PH(AL$2,$A188)</f>
        <v>670.667048881663</v>
      </c>
      <c r="AM188" s="0" t="n">
        <f aca="false">W_PH(AM$2,$A188)</f>
        <v>670.417440802839</v>
      </c>
      <c r="AN188" s="0" t="n">
        <f aca="false">W_PH(AN$2,$A188)</f>
        <v>670.213680094482</v>
      </c>
      <c r="AO188" s="0" t="n">
        <f aca="false">W_PH(AO$2,$A188)</f>
        <v>670.056792355092</v>
      </c>
      <c r="AP188" s="0" t="n">
        <f aca="false">W_PH(AP$2,$A188)</f>
        <v>669.947675105752</v>
      </c>
      <c r="AQ188" s="0" t="n">
        <f aca="false">W_PH(AQ$2,$A188)</f>
        <v>671.569602168832</v>
      </c>
      <c r="AR188" s="0" t="n">
        <f aca="false">W_PH(AR$2,$A188)</f>
        <v>672.510884042749</v>
      </c>
      <c r="AS188" s="0" t="n">
        <f aca="false">W_PH(AS$2,$A188)</f>
        <v>673.002641930574</v>
      </c>
    </row>
    <row r="189" customFormat="false" ht="13.8" hidden="false" customHeight="false" outlineLevel="0" collapsed="false">
      <c r="A189" s="0" t="n">
        <v>3490</v>
      </c>
      <c r="B189" s="0" t="n">
        <f aca="false">W_PH(B$2,$A189)</f>
        <v>674.934572328193</v>
      </c>
      <c r="C189" s="0" t="n">
        <f aca="false">W_PH(C$2,$A189)</f>
        <v>674.934523100658</v>
      </c>
      <c r="D189" s="0" t="n">
        <f aca="false">W_PH(D$2,$A189)</f>
        <v>674.934473873513</v>
      </c>
      <c r="E189" s="0" t="n">
        <f aca="false">W_PH(E$2,$A189)</f>
        <v>674.934424646758</v>
      </c>
      <c r="F189" s="0" t="n">
        <f aca="false">W_PH(F$2,$A189)</f>
        <v>674.934375420393</v>
      </c>
      <c r="G189" s="0" t="n">
        <f aca="false">W_PH(G$2,$A189)</f>
        <v>674.933883178201</v>
      </c>
      <c r="H189" s="0" t="n">
        <f aca="false">W_PH(H$2,$A189)</f>
        <v>674.93339097502</v>
      </c>
      <c r="I189" s="0" t="n">
        <f aca="false">W_PH(I$2,$A189)</f>
        <v>674.932898810848</v>
      </c>
      <c r="J189" s="0" t="n">
        <f aca="false">W_PH(J$2,$A189)</f>
        <v>674.932406685684</v>
      </c>
      <c r="K189" s="0" t="n">
        <f aca="false">W_PH(K$2,$A189)</f>
        <v>674.931914599525</v>
      </c>
      <c r="L189" s="0" t="n">
        <f aca="false">W_PH(L$2,$A189)</f>
        <v>674.931422552372</v>
      </c>
      <c r="M189" s="0" t="n">
        <f aca="false">W_PH(M$2,$A189)</f>
        <v>674.93093054422</v>
      </c>
      <c r="N189" s="0" t="n">
        <f aca="false">W_PH(N$2,$A189)</f>
        <v>674.93043857507</v>
      </c>
      <c r="O189" s="0" t="n">
        <f aca="false">W_PH(O$2,$A189)</f>
        <v>674.92994664492</v>
      </c>
      <c r="P189" s="0" t="n">
        <f aca="false">W_PH(P$2,$A189)</f>
        <v>674.92502948804</v>
      </c>
      <c r="Q189" s="0" t="n">
        <f aca="false">W_PH(Q$2,$A189)</f>
        <v>674.920116229361</v>
      </c>
      <c r="R189" s="0" t="n">
        <f aca="false">W_PH(R$2,$A189)</f>
        <v>674.91520686729</v>
      </c>
      <c r="S189" s="0" t="n">
        <f aca="false">W_PH(S$2,$A189)</f>
        <v>674.910301400243</v>
      </c>
      <c r="T189" s="0" t="n">
        <f aca="false">W_PH(T$2,$A189)</f>
        <v>674.905399826639</v>
      </c>
      <c r="U189" s="0" t="n">
        <f aca="false">W_PH(U$2,$A189)</f>
        <v>674.900502144907</v>
      </c>
      <c r="V189" s="0" t="n">
        <f aca="false">W_PH(V$2,$A189)</f>
        <v>674.89560835348</v>
      </c>
      <c r="W189" s="0" t="n">
        <f aca="false">W_PH(W$2,$A189)</f>
        <v>674.890718450797</v>
      </c>
      <c r="X189" s="0" t="n">
        <f aca="false">W_PH(X$2,$A189)</f>
        <v>674.885832435304</v>
      </c>
      <c r="Y189" s="0" t="n">
        <f aca="false">W_PH(Y$2,$A189)</f>
        <v>674.837185738364</v>
      </c>
      <c r="Z189" s="0" t="n">
        <f aca="false">W_PH(Z$2,$A189)</f>
        <v>674.788926096274</v>
      </c>
      <c r="AA189" s="0" t="n">
        <f aca="false">W_PH(AA$2,$A189)</f>
        <v>674.741052053986</v>
      </c>
      <c r="AB189" s="0" t="n">
        <f aca="false">W_PH(AB$2,$A189)</f>
        <v>674.693562213747</v>
      </c>
      <c r="AC189" s="0" t="n">
        <f aca="false">W_PH(AC$2,$A189)</f>
        <v>674.64645523299</v>
      </c>
      <c r="AD189" s="0" t="n">
        <f aca="false">W_PH(AD$2,$A189)</f>
        <v>674.599729822294</v>
      </c>
      <c r="AE189" s="0" t="n">
        <f aca="false">W_PH(AE$2,$A189)</f>
        <v>674.55338474339</v>
      </c>
      <c r="AF189" s="0" t="n">
        <f aca="false">W_PH(AF$2,$A189)</f>
        <v>674.507418807226</v>
      </c>
      <c r="AG189" s="0" t="n">
        <f aca="false">W_PH(AG$2,$A189)</f>
        <v>674.461830872094</v>
      </c>
      <c r="AH189" s="0" t="n">
        <f aca="false">W_PH(AH$2,$A189)</f>
        <v>674.026520739636</v>
      </c>
      <c r="AI189" s="0" t="n">
        <f aca="false">W_PH(AI$2,$A189)</f>
        <v>673.628042165438</v>
      </c>
      <c r="AJ189" s="0" t="n">
        <f aca="false">W_PH(AJ$2,$A189)</f>
        <v>673.268740908569</v>
      </c>
      <c r="AK189" s="0" t="n">
        <f aca="false">W_PH(AK$2,$A189)</f>
        <v>672.943377822053</v>
      </c>
      <c r="AL189" s="0" t="n">
        <f aca="false">W_PH(AL$2,$A189)</f>
        <v>672.660828566302</v>
      </c>
      <c r="AM189" s="0" t="n">
        <f aca="false">W_PH(AM$2,$A189)</f>
        <v>672.422263684417</v>
      </c>
      <c r="AN189" s="0" t="n">
        <f aca="false">W_PH(AN$2,$A189)</f>
        <v>672.228791321647</v>
      </c>
      <c r="AO189" s="0" t="n">
        <f aca="false">W_PH(AO$2,$A189)</f>
        <v>672.081417869575</v>
      </c>
      <c r="AP189" s="0" t="n">
        <f aca="false">W_PH(AP$2,$A189)</f>
        <v>671.981020659884</v>
      </c>
      <c r="AQ189" s="0" t="n">
        <f aca="false">W_PH(AQ$2,$A189)</f>
        <v>673.643530587327</v>
      </c>
      <c r="AR189" s="0" t="n">
        <f aca="false">W_PH(AR$2,$A189)</f>
        <v>674.582545545944</v>
      </c>
      <c r="AS189" s="0" t="n">
        <f aca="false">W_PH(AS$2,$A189)</f>
        <v>675.072137668077</v>
      </c>
    </row>
    <row r="190" customFormat="false" ht="13.8" hidden="false" customHeight="false" outlineLevel="0" collapsed="false">
      <c r="A190" s="0" t="n">
        <v>3500</v>
      </c>
      <c r="B190" s="0" t="n">
        <f aca="false">W_PH(B$2,$A190)</f>
        <v>676.836127431606</v>
      </c>
      <c r="C190" s="0" t="n">
        <f aca="false">W_PH(C$2,$A190)</f>
        <v>676.836079814376</v>
      </c>
      <c r="D190" s="0" t="n">
        <f aca="false">W_PH(D$2,$A190)</f>
        <v>676.836032197524</v>
      </c>
      <c r="E190" s="0" t="n">
        <f aca="false">W_PH(E$2,$A190)</f>
        <v>676.835984581051</v>
      </c>
      <c r="F190" s="0" t="n">
        <f aca="false">W_PH(F$2,$A190)</f>
        <v>676.835936964957</v>
      </c>
      <c r="G190" s="0" t="n">
        <f aca="false">W_PH(G$2,$A190)</f>
        <v>676.835460824836</v>
      </c>
      <c r="H190" s="0" t="n">
        <f aca="false">W_PH(H$2,$A190)</f>
        <v>676.834984722579</v>
      </c>
      <c r="I190" s="0" t="n">
        <f aca="false">W_PH(I$2,$A190)</f>
        <v>676.834508658183</v>
      </c>
      <c r="J190" s="0" t="n">
        <f aca="false">W_PH(J$2,$A190)</f>
        <v>676.834032631648</v>
      </c>
      <c r="K190" s="0" t="n">
        <f aca="false">W_PH(K$2,$A190)</f>
        <v>676.833556642971</v>
      </c>
      <c r="L190" s="0" t="n">
        <f aca="false">W_PH(L$2,$A190)</f>
        <v>676.833080692152</v>
      </c>
      <c r="M190" s="0" t="n">
        <f aca="false">W_PH(M$2,$A190)</f>
        <v>676.832604779189</v>
      </c>
      <c r="N190" s="0" t="n">
        <f aca="false">W_PH(N$2,$A190)</f>
        <v>676.832128904081</v>
      </c>
      <c r="O190" s="0" t="n">
        <f aca="false">W_PH(O$2,$A190)</f>
        <v>676.831653066826</v>
      </c>
      <c r="P190" s="0" t="n">
        <f aca="false">W_PH(P$2,$A190)</f>
        <v>676.826896775922</v>
      </c>
      <c r="Q190" s="0" t="n">
        <f aca="false">W_PH(Q$2,$A190)</f>
        <v>676.822144268873</v>
      </c>
      <c r="R190" s="0" t="n">
        <f aca="false">W_PH(R$2,$A190)</f>
        <v>676.817395544331</v>
      </c>
      <c r="S190" s="0" t="n">
        <f aca="false">W_PH(S$2,$A190)</f>
        <v>676.81265060095</v>
      </c>
      <c r="T190" s="0" t="n">
        <f aca="false">W_PH(T$2,$A190)</f>
        <v>676.807909437392</v>
      </c>
      <c r="U190" s="0" t="n">
        <f aca="false">W_PH(U$2,$A190)</f>
        <v>676.803172052325</v>
      </c>
      <c r="V190" s="0" t="n">
        <f aca="false">W_PH(V$2,$A190)</f>
        <v>676.798438444423</v>
      </c>
      <c r="W190" s="0" t="n">
        <f aca="false">W_PH(W$2,$A190)</f>
        <v>676.793708612362</v>
      </c>
      <c r="X190" s="0" t="n">
        <f aca="false">W_PH(X$2,$A190)</f>
        <v>676.788982554829</v>
      </c>
      <c r="Y190" s="0" t="n">
        <f aca="false">W_PH(Y$2,$A190)</f>
        <v>676.741929292906</v>
      </c>
      <c r="Z190" s="0" t="n">
        <f aca="false">W_PH(Z$2,$A190)</f>
        <v>676.695252076729</v>
      </c>
      <c r="AA190" s="0" t="n">
        <f aca="false">W_PH(AA$2,$A190)</f>
        <v>676.648949679083</v>
      </c>
      <c r="AB190" s="0" t="n">
        <f aca="false">W_PH(AB$2,$A190)</f>
        <v>676.603020923993</v>
      </c>
      <c r="AC190" s="0" t="n">
        <f aca="false">W_PH(AC$2,$A190)</f>
        <v>676.557464684782</v>
      </c>
      <c r="AD190" s="0" t="n">
        <f aca="false">W_PH(AD$2,$A190)</f>
        <v>676.512279882199</v>
      </c>
      <c r="AE190" s="0" t="n">
        <f aca="false">W_PH(AE$2,$A190)</f>
        <v>676.467465482574</v>
      </c>
      <c r="AF190" s="0" t="n">
        <f aca="false">W_PH(AF$2,$A190)</f>
        <v>676.423020496048</v>
      </c>
      <c r="AG190" s="0" t="n">
        <f aca="false">W_PH(AG$2,$A190)</f>
        <v>676.378943974831</v>
      </c>
      <c r="AH190" s="0" t="n">
        <f aca="false">W_PH(AH$2,$A190)</f>
        <v>675.958262685112</v>
      </c>
      <c r="AI190" s="0" t="n">
        <f aca="false">W_PH(AI$2,$A190)</f>
        <v>675.573638501039</v>
      </c>
      <c r="AJ190" s="0" t="n">
        <f aca="false">W_PH(AJ$2,$A190)</f>
        <v>675.227484645407</v>
      </c>
      <c r="AK190" s="0" t="n">
        <f aca="false">W_PH(AK$2,$A190)</f>
        <v>674.914476580427</v>
      </c>
      <c r="AL190" s="0" t="n">
        <f aca="false">W_PH(AL$2,$A190)</f>
        <v>674.643575602462</v>
      </c>
      <c r="AM190" s="0" t="n">
        <f aca="false">W_PH(AM$2,$A190)</f>
        <v>674.415941883668</v>
      </c>
      <c r="AN190" s="0" t="n">
        <f aca="false">W_PH(AN$2,$A190)</f>
        <v>674.23266695749</v>
      </c>
      <c r="AO190" s="0" t="n">
        <f aca="false">W_PH(AO$2,$A190)</f>
        <v>674.0947374381</v>
      </c>
      <c r="AP190" s="0" t="n">
        <f aca="false">W_PH(AP$2,$A190)</f>
        <v>674.003009960933</v>
      </c>
      <c r="AQ190" s="0" t="n">
        <f aca="false">W_PH(AQ$2,$A190)</f>
        <v>675.706582412383</v>
      </c>
      <c r="AR190" s="0" t="n">
        <f aca="false">W_PH(AR$2,$A190)</f>
        <v>676.643618639474</v>
      </c>
      <c r="AS190" s="0" t="n">
        <f aca="false">W_PH(AS$2,$A190)</f>
        <v>677.131193255299</v>
      </c>
    </row>
    <row r="191" customFormat="false" ht="13.8" hidden="false" customHeight="false" outlineLevel="0" collapsed="false">
      <c r="A191" s="0" t="n">
        <v>3510</v>
      </c>
      <c r="B191" s="0" t="n">
        <f aca="false">W_PH(B$2,$A191)</f>
        <v>678.728105013195</v>
      </c>
      <c r="C191" s="0" t="n">
        <f aca="false">W_PH(C$2,$A191)</f>
        <v>678.728058972366</v>
      </c>
      <c r="D191" s="0" t="n">
        <f aca="false">W_PH(D$2,$A191)</f>
        <v>678.728012931904</v>
      </c>
      <c r="E191" s="0" t="n">
        <f aca="false">W_PH(E$2,$A191)</f>
        <v>678.727966891811</v>
      </c>
      <c r="F191" s="0" t="n">
        <f aca="false">W_PH(F$2,$A191)</f>
        <v>678.727920852085</v>
      </c>
      <c r="G191" s="0" t="n">
        <f aca="false">W_PH(G$2,$A191)</f>
        <v>678.727460475052</v>
      </c>
      <c r="H191" s="0" t="n">
        <f aca="false">W_PH(H$2,$A191)</f>
        <v>678.727000134792</v>
      </c>
      <c r="I191" s="0" t="n">
        <f aca="false">W_PH(I$2,$A191)</f>
        <v>678.726539831305</v>
      </c>
      <c r="J191" s="0" t="n">
        <f aca="false">W_PH(J$2,$A191)</f>
        <v>678.72607956459</v>
      </c>
      <c r="K191" s="0" t="n">
        <f aca="false">W_PH(K$2,$A191)</f>
        <v>678.725619334644</v>
      </c>
      <c r="L191" s="0" t="n">
        <f aca="false">W_PH(L$2,$A191)</f>
        <v>678.725159141468</v>
      </c>
      <c r="M191" s="0" t="n">
        <f aca="false">W_PH(M$2,$A191)</f>
        <v>678.72469898506</v>
      </c>
      <c r="N191" s="0" t="n">
        <f aca="false">W_PH(N$2,$A191)</f>
        <v>678.724238865418</v>
      </c>
      <c r="O191" s="0" t="n">
        <f aca="false">W_PH(O$2,$A191)</f>
        <v>678.723778782542</v>
      </c>
      <c r="P191" s="0" t="n">
        <f aca="false">W_PH(P$2,$A191)</f>
        <v>678.719179975645</v>
      </c>
      <c r="Q191" s="0" t="n">
        <f aca="false">W_PH(Q$2,$A191)</f>
        <v>678.714584844073</v>
      </c>
      <c r="R191" s="0" t="n">
        <f aca="false">W_PH(R$2,$A191)</f>
        <v>678.709993386702</v>
      </c>
      <c r="S191" s="0" t="n">
        <f aca="false">W_PH(S$2,$A191)</f>
        <v>678.705405602414</v>
      </c>
      <c r="T191" s="0" t="n">
        <f aca="false">W_PH(T$2,$A191)</f>
        <v>678.700821490093</v>
      </c>
      <c r="U191" s="0" t="n">
        <f aca="false">W_PH(U$2,$A191)</f>
        <v>678.696241048633</v>
      </c>
      <c r="V191" s="0" t="n">
        <f aca="false">W_PH(V$2,$A191)</f>
        <v>678.691664276928</v>
      </c>
      <c r="W191" s="0" t="n">
        <f aca="false">W_PH(W$2,$A191)</f>
        <v>678.68709117388</v>
      </c>
      <c r="X191" s="0" t="n">
        <f aca="false">W_PH(X$2,$A191)</f>
        <v>678.682521738396</v>
      </c>
      <c r="Y191" s="0" t="n">
        <f aca="false">W_PH(Y$2,$A191)</f>
        <v>678.63702886243</v>
      </c>
      <c r="Z191" s="0" t="n">
        <f aca="false">W_PH(Z$2,$A191)</f>
        <v>678.591901575841</v>
      </c>
      <c r="AA191" s="0" t="n">
        <f aca="false">W_PH(AA$2,$A191)</f>
        <v>678.54713886394</v>
      </c>
      <c r="AB191" s="0" t="n">
        <f aca="false">W_PH(AB$2,$A191)</f>
        <v>678.502739757676</v>
      </c>
      <c r="AC191" s="0" t="n">
        <f aca="false">W_PH(AC$2,$A191)</f>
        <v>678.458703331854</v>
      </c>
      <c r="AD191" s="0" t="n">
        <f aca="false">W_PH(AD$2,$A191)</f>
        <v>678.415028703404</v>
      </c>
      <c r="AE191" s="0" t="n">
        <f aca="false">W_PH(AE$2,$A191)</f>
        <v>678.371715029697</v>
      </c>
      <c r="AF191" s="0" t="n">
        <f aca="false">W_PH(AF$2,$A191)</f>
        <v>678.3287615069</v>
      </c>
      <c r="AG191" s="0" t="n">
        <f aca="false">W_PH(AG$2,$A191)</f>
        <v>678.286167368386</v>
      </c>
      <c r="AH191" s="0" t="n">
        <f aca="false">W_PH(AH$2,$A191)</f>
        <v>677.879847075317</v>
      </c>
      <c r="AI191" s="0" t="n">
        <f aca="false">W_PH(AI$2,$A191)</f>
        <v>677.508843492826</v>
      </c>
      <c r="AJ191" s="0" t="n">
        <f aca="false">W_PH(AJ$2,$A191)</f>
        <v>677.175627956686</v>
      </c>
      <c r="AK191" s="0" t="n">
        <f aca="false">W_PH(AK$2,$A191)</f>
        <v>676.87482128349</v>
      </c>
      <c r="AL191" s="0" t="n">
        <f aca="false">W_PH(AL$2,$A191)</f>
        <v>676.615436674912</v>
      </c>
      <c r="AM191" s="0" t="n">
        <f aca="false">W_PH(AM$2,$A191)</f>
        <v>676.398622970735</v>
      </c>
      <c r="AN191" s="0" t="n">
        <f aca="false">W_PH(AN$2,$A191)</f>
        <v>676.22545443182</v>
      </c>
      <c r="AO191" s="0" t="n">
        <f aca="false">W_PH(AO$2,$A191)</f>
        <v>676.096897400001</v>
      </c>
      <c r="AP191" s="0" t="n">
        <f aca="false">W_PH(AP$2,$A191)</f>
        <v>676.013787399242</v>
      </c>
      <c r="AQ191" s="0" t="n">
        <f aca="false">W_PH(AQ$2,$A191)</f>
        <v>677.758859774765</v>
      </c>
      <c r="AR191" s="0" t="n">
        <f aca="false">W_PH(AR$2,$A191)</f>
        <v>678.694197058169</v>
      </c>
      <c r="AS191" s="0" t="n">
        <f aca="false">W_PH(AS$2,$A191)</f>
        <v>679.179899072939</v>
      </c>
    </row>
    <row r="192" customFormat="false" ht="13.8" hidden="false" customHeight="false" outlineLevel="0" collapsed="false">
      <c r="A192" s="0" t="n">
        <v>3520</v>
      </c>
      <c r="B192" s="0" t="n">
        <f aca="false">W_PH(B$2,$A192)</f>
        <v>680.610611656378</v>
      </c>
      <c r="C192" s="0" t="n">
        <f aca="false">W_PH(C$2,$A192)</f>
        <v>680.610567159145</v>
      </c>
      <c r="D192" s="0" t="n">
        <f aca="false">W_PH(D$2,$A192)</f>
        <v>680.61052266227</v>
      </c>
      <c r="E192" s="0" t="n">
        <f aca="false">W_PH(E$2,$A192)</f>
        <v>680.610478165752</v>
      </c>
      <c r="F192" s="0" t="n">
        <f aca="false">W_PH(F$2,$A192)</f>
        <v>680.610433669591</v>
      </c>
      <c r="G192" s="0" t="n">
        <f aca="false">W_PH(G$2,$A192)</f>
        <v>680.609988727644</v>
      </c>
      <c r="H192" s="0" t="n">
        <f aca="false">W_PH(H$2,$A192)</f>
        <v>680.609543821436</v>
      </c>
      <c r="I192" s="0" t="n">
        <f aca="false">W_PH(I$2,$A192)</f>
        <v>680.609098950969</v>
      </c>
      <c r="J192" s="0" t="n">
        <f aca="false">W_PH(J$2,$A192)</f>
        <v>680.60865411624</v>
      </c>
      <c r="K192" s="0" t="n">
        <f aca="false">W_PH(K$2,$A192)</f>
        <v>680.608209317248</v>
      </c>
      <c r="L192" s="0" t="n">
        <f aca="false">W_PH(L$2,$A192)</f>
        <v>680.607764553993</v>
      </c>
      <c r="M192" s="0" t="n">
        <f aca="false">W_PH(M$2,$A192)</f>
        <v>680.607319826475</v>
      </c>
      <c r="N192" s="0" t="n">
        <f aca="false">W_PH(N$2,$A192)</f>
        <v>680.606875134691</v>
      </c>
      <c r="O192" s="0" t="n">
        <f aca="false">W_PH(O$2,$A192)</f>
        <v>680.606430478641</v>
      </c>
      <c r="P192" s="0" t="n">
        <f aca="false">W_PH(P$2,$A192)</f>
        <v>680.60198588331</v>
      </c>
      <c r="Q192" s="0" t="n">
        <f aca="false">W_PH(Q$2,$A192)</f>
        <v>680.59754486037</v>
      </c>
      <c r="R192" s="0" t="n">
        <f aca="false">W_PH(R$2,$A192)</f>
        <v>680.593107408905</v>
      </c>
      <c r="S192" s="0" t="n">
        <f aca="false">W_PH(S$2,$A192)</f>
        <v>680.588673528008</v>
      </c>
      <c r="T192" s="0" t="n">
        <f aca="false">W_PH(T$2,$A192)</f>
        <v>680.584243216774</v>
      </c>
      <c r="U192" s="0" t="n">
        <f aca="false">W_PH(U$2,$A192)</f>
        <v>680.579816474301</v>
      </c>
      <c r="V192" s="0" t="n">
        <f aca="false">W_PH(V$2,$A192)</f>
        <v>680.575393299695</v>
      </c>
      <c r="W192" s="0" t="n">
        <f aca="false">W_PH(W$2,$A192)</f>
        <v>680.570973692064</v>
      </c>
      <c r="X192" s="0" t="n">
        <f aca="false">W_PH(X$2,$A192)</f>
        <v>680.56655765052</v>
      </c>
      <c r="Y192" s="0" t="n">
        <f aca="false">W_PH(Y$2,$A192)</f>
        <v>680.522593177906</v>
      </c>
      <c r="Z192" s="0" t="n">
        <f aca="false">W_PH(Z$2,$A192)</f>
        <v>680.47898437054</v>
      </c>
      <c r="AA192" s="0" t="n">
        <f aca="false">W_PH(AA$2,$A192)</f>
        <v>680.435730411657</v>
      </c>
      <c r="AB192" s="0" t="n">
        <f aca="false">W_PH(AB$2,$A192)</f>
        <v>680.392830524947</v>
      </c>
      <c r="AC192" s="0" t="n">
        <f aca="false">W_PH(AC$2,$A192)</f>
        <v>680.350283972922</v>
      </c>
      <c r="AD192" s="0" t="n">
        <f aca="false">W_PH(AD$2,$A192)</f>
        <v>680.308090055318</v>
      </c>
      <c r="AE192" s="0" t="n">
        <f aca="false">W_PH(AE$2,$A192)</f>
        <v>680.266248107554</v>
      </c>
      <c r="AF192" s="0" t="n">
        <f aca="false">W_PH(AF$2,$A192)</f>
        <v>680.224757499214</v>
      </c>
      <c r="AG192" s="0" t="n">
        <f aca="false">W_PH(AG$2,$A192)</f>
        <v>680.183617632583</v>
      </c>
      <c r="AH192" s="0" t="n">
        <f aca="false">W_PH(AH$2,$A192)</f>
        <v>679.791398894342</v>
      </c>
      <c r="AI192" s="0" t="n">
        <f aca="false">W_PH(AI$2,$A192)</f>
        <v>679.433789272262</v>
      </c>
      <c r="AJ192" s="0" t="n">
        <f aca="false">W_PH(AJ$2,$A192)</f>
        <v>679.113309889609</v>
      </c>
      <c r="AK192" s="0" t="n">
        <f aca="false">W_PH(AK$2,$A192)</f>
        <v>678.824553992443</v>
      </c>
      <c r="AL192" s="0" t="n">
        <f aca="false">W_PH(AL$2,$A192)</f>
        <v>678.576555815241</v>
      </c>
      <c r="AM192" s="0" t="n">
        <f aca="false">W_PH(AM$2,$A192)</f>
        <v>678.370451937295</v>
      </c>
      <c r="AN192" s="0" t="n">
        <f aca="false">W_PH(AN$2,$A192)</f>
        <v>678.207298736064</v>
      </c>
      <c r="AO192" s="0" t="n">
        <f aca="false">W_PH(AO$2,$A192)</f>
        <v>678.088041852558</v>
      </c>
      <c r="AP192" s="0" t="n">
        <f aca="false">W_PH(AP$2,$A192)</f>
        <v>678.013495364813</v>
      </c>
      <c r="AQ192" s="0" t="n">
        <f aca="false">W_PH(AQ$2,$A192)</f>
        <v>679.800465221155</v>
      </c>
      <c r="AR192" s="0" t="n">
        <f aca="false">W_PH(AR$2,$A192)</f>
        <v>680.734374989605</v>
      </c>
      <c r="AS192" s="0" t="n">
        <f aca="false">W_PH(AS$2,$A192)</f>
        <v>681.218345895669</v>
      </c>
    </row>
    <row r="193" customFormat="false" ht="13.8" hidden="false" customHeight="false" outlineLevel="0" collapsed="false">
      <c r="A193" s="0" t="n">
        <v>3530</v>
      </c>
      <c r="B193" s="0" t="n">
        <f aca="false">W_PH(B$2,$A193)</f>
        <v>682.483752459164</v>
      </c>
      <c r="C193" s="0" t="n">
        <f aca="false">W_PH(C$2,$A193)</f>
        <v>682.483709473777</v>
      </c>
      <c r="D193" s="0" t="n">
        <f aca="false">W_PH(D$2,$A193)</f>
        <v>682.483666488739</v>
      </c>
      <c r="E193" s="0" t="n">
        <f aca="false">W_PH(E$2,$A193)</f>
        <v>682.483623504048</v>
      </c>
      <c r="F193" s="0" t="n">
        <f aca="false">W_PH(F$2,$A193)</f>
        <v>682.483580519704</v>
      </c>
      <c r="G193" s="0" t="n">
        <f aca="false">W_PH(G$2,$A193)</f>
        <v>682.483150695389</v>
      </c>
      <c r="H193" s="0" t="n">
        <f aca="false">W_PH(H$2,$A193)</f>
        <v>682.482720905835</v>
      </c>
      <c r="I193" s="0" t="n">
        <f aca="false">W_PH(I$2,$A193)</f>
        <v>682.482291151042</v>
      </c>
      <c r="J193" s="0" t="n">
        <f aca="false">W_PH(J$2,$A193)</f>
        <v>682.481861431008</v>
      </c>
      <c r="K193" s="0" t="n">
        <f aca="false">W_PH(K$2,$A193)</f>
        <v>682.481431745735</v>
      </c>
      <c r="L193" s="0" t="n">
        <f aca="false">W_PH(L$2,$A193)</f>
        <v>682.481002095219</v>
      </c>
      <c r="M193" s="0" t="n">
        <f aca="false">W_PH(M$2,$A193)</f>
        <v>682.480572479462</v>
      </c>
      <c r="N193" s="0" t="n">
        <f aca="false">W_PH(N$2,$A193)</f>
        <v>682.480142898461</v>
      </c>
      <c r="O193" s="0" t="n">
        <f aca="false">W_PH(O$2,$A193)</f>
        <v>682.479713352217</v>
      </c>
      <c r="P193" s="0" t="n">
        <f aca="false">W_PH(P$2,$A193)</f>
        <v>682.475419801216</v>
      </c>
      <c r="Q193" s="0" t="n">
        <f aca="false">W_PH(Q$2,$A193)</f>
        <v>682.471129725056</v>
      </c>
      <c r="R193" s="0" t="n">
        <f aca="false">W_PH(R$2,$A193)</f>
        <v>682.466843123019</v>
      </c>
      <c r="S193" s="0" t="n">
        <f aca="false">W_PH(S$2,$A193)</f>
        <v>682.462559994391</v>
      </c>
      <c r="T193" s="0" t="n">
        <f aca="false">W_PH(T$2,$A193)</f>
        <v>682.458280338461</v>
      </c>
      <c r="U193" s="0" t="n">
        <f aca="false">W_PH(U$2,$A193)</f>
        <v>682.454004154522</v>
      </c>
      <c r="V193" s="0" t="n">
        <f aca="false">W_PH(V$2,$A193)</f>
        <v>682.449731441872</v>
      </c>
      <c r="W193" s="0" t="n">
        <f aca="false">W_PH(W$2,$A193)</f>
        <v>682.445462199812</v>
      </c>
      <c r="X193" s="0" t="n">
        <f aca="false">W_PH(X$2,$A193)</f>
        <v>682.441196427647</v>
      </c>
      <c r="Y193" s="0" t="n">
        <f aca="false">W_PH(Y$2,$A193)</f>
        <v>682.398729400145</v>
      </c>
      <c r="Z193" s="0" t="n">
        <f aca="false">W_PH(Z$2,$A193)</f>
        <v>682.356608626311</v>
      </c>
      <c r="AA193" s="0" t="n">
        <f aca="false">W_PH(AA$2,$A193)</f>
        <v>682.314833473384</v>
      </c>
      <c r="AB193" s="0" t="n">
        <f aca="false">W_PH(AB$2,$A193)</f>
        <v>682.273403344263</v>
      </c>
      <c r="AC193" s="0" t="n">
        <f aca="false">W_PH(AC$2,$A193)</f>
        <v>682.232317676013</v>
      </c>
      <c r="AD193" s="0" t="n">
        <f aca="false">W_PH(AD$2,$A193)</f>
        <v>682.191575938392</v>
      </c>
      <c r="AE193" s="0" t="n">
        <f aca="false">W_PH(AE$2,$A193)</f>
        <v>682.151177632438</v>
      </c>
      <c r="AF193" s="0" t="n">
        <f aca="false">W_PH(AF$2,$A193)</f>
        <v>682.111122289075</v>
      </c>
      <c r="AG193" s="0" t="n">
        <f aca="false">W_PH(AG$2,$A193)</f>
        <v>682.071409467763</v>
      </c>
      <c r="AH193" s="0" t="n">
        <f aca="false">W_PH(AH$2,$A193)</f>
        <v>681.693040924286</v>
      </c>
      <c r="AI193" s="0" t="n">
        <f aca="false">W_PH(AI$2,$A193)</f>
        <v>681.348605526704</v>
      </c>
      <c r="AJ193" s="0" t="n">
        <f aca="false">W_PH(AJ$2,$A193)</f>
        <v>681.040666945502</v>
      </c>
      <c r="AK193" s="0" t="n">
        <f aca="false">W_PH(AK$2,$A193)</f>
        <v>680.763814151115</v>
      </c>
      <c r="AL193" s="0" t="n">
        <f aca="false">W_PH(AL$2,$A193)</f>
        <v>680.527074434374</v>
      </c>
      <c r="AM193" s="0" t="n">
        <f aca="false">W_PH(AM$2,$A193)</f>
        <v>680.331571217488</v>
      </c>
      <c r="AN193" s="0" t="n">
        <f aca="false">W_PH(AN$2,$A193)</f>
        <v>680.178342428326</v>
      </c>
      <c r="AO193" s="0" t="n">
        <f aca="false">W_PH(AO$2,$A193)</f>
        <v>680.068312637086</v>
      </c>
      <c r="AP193" s="0" t="n">
        <f aca="false">W_PH(AP$2,$A193)</f>
        <v>680.002274212454</v>
      </c>
      <c r="AQ193" s="0" t="n">
        <f aca="false">W_PH(AQ$2,$A193)</f>
        <v>681.831501523184</v>
      </c>
      <c r="AR193" s="0" t="n">
        <f aca="false">W_PH(AR$2,$A193)</f>
        <v>682.764246872688</v>
      </c>
      <c r="AS193" s="0" t="n">
        <f aca="false">W_PH(AS$2,$A193)</f>
        <v>683.24662468645</v>
      </c>
    </row>
    <row r="194" customFormat="false" ht="13.8" hidden="false" customHeight="false" outlineLevel="0" collapsed="false">
      <c r="A194" s="0" t="n">
        <v>3540</v>
      </c>
      <c r="B194" s="0" t="n">
        <f aca="false">W_PH(B$2,$A194)</f>
        <v>684.347631057717</v>
      </c>
      <c r="C194" s="0" t="n">
        <f aca="false">W_PH(C$2,$A194)</f>
        <v>684.347589553442</v>
      </c>
      <c r="D194" s="0" t="n">
        <f aca="false">W_PH(D$2,$A194)</f>
        <v>684.347548049505</v>
      </c>
      <c r="E194" s="0" t="n">
        <f aca="false">W_PH(E$2,$A194)</f>
        <v>684.347506545907</v>
      </c>
      <c r="F194" s="0" t="n">
        <f aca="false">W_PH(F$2,$A194)</f>
        <v>684.347465042647</v>
      </c>
      <c r="G194" s="0" t="n">
        <f aca="false">W_PH(G$2,$A194)</f>
        <v>684.347050028657</v>
      </c>
      <c r="H194" s="0" t="n">
        <f aca="false">W_PH(H$2,$A194)</f>
        <v>684.346635048502</v>
      </c>
      <c r="I194" s="0" t="n">
        <f aca="false">W_PH(I$2,$A194)</f>
        <v>684.34622010218</v>
      </c>
      <c r="J194" s="0" t="n">
        <f aca="false">W_PH(J$2,$A194)</f>
        <v>684.345805189692</v>
      </c>
      <c r="K194" s="0" t="n">
        <f aca="false">W_PH(K$2,$A194)</f>
        <v>684.345390311037</v>
      </c>
      <c r="L194" s="0" t="n">
        <f aca="false">W_PH(L$2,$A194)</f>
        <v>684.344975466215</v>
      </c>
      <c r="M194" s="0" t="n">
        <f aca="false">W_PH(M$2,$A194)</f>
        <v>684.344560655224</v>
      </c>
      <c r="N194" s="0" t="n">
        <f aca="false">W_PH(N$2,$A194)</f>
        <v>684.344145878064</v>
      </c>
      <c r="O194" s="0" t="n">
        <f aca="false">W_PH(O$2,$A194)</f>
        <v>684.343731134735</v>
      </c>
      <c r="P194" s="0" t="n">
        <f aca="false">W_PH(P$2,$A194)</f>
        <v>684.339585562015</v>
      </c>
      <c r="Q194" s="0" t="n">
        <f aca="false">W_PH(Q$2,$A194)</f>
        <v>684.335443371772</v>
      </c>
      <c r="R194" s="0" t="n">
        <f aca="false">W_PH(R$2,$A194)</f>
        <v>684.331304563468</v>
      </c>
      <c r="S194" s="0" t="n">
        <f aca="false">W_PH(S$2,$A194)</f>
        <v>684.327169136568</v>
      </c>
      <c r="T194" s="0" t="n">
        <f aca="false">W_PH(T$2,$A194)</f>
        <v>684.323037090544</v>
      </c>
      <c r="U194" s="0" t="n">
        <f aca="false">W_PH(U$2,$A194)</f>
        <v>684.318908424868</v>
      </c>
      <c r="V194" s="0" t="n">
        <f aca="false">W_PH(V$2,$A194)</f>
        <v>684.314783139016</v>
      </c>
      <c r="W194" s="0" t="n">
        <f aca="false">W_PH(W$2,$A194)</f>
        <v>684.310661232469</v>
      </c>
      <c r="X194" s="0" t="n">
        <f aca="false">W_PH(X$2,$A194)</f>
        <v>684.30654270471</v>
      </c>
      <c r="Y194" s="0" t="n">
        <f aca="false">W_PH(Y$2,$A194)</f>
        <v>684.26554314928</v>
      </c>
      <c r="Z194" s="0" t="n">
        <f aca="false">W_PH(Z$2,$A194)</f>
        <v>684.224880929517</v>
      </c>
      <c r="AA194" s="0" t="n">
        <f aca="false">W_PH(AA$2,$A194)</f>
        <v>684.184555583399</v>
      </c>
      <c r="AB194" s="0" t="n">
        <f aca="false">W_PH(AB$2,$A194)</f>
        <v>684.144566680135</v>
      </c>
      <c r="AC194" s="0" t="n">
        <f aca="false">W_PH(AC$2,$A194)</f>
        <v>684.104913818788</v>
      </c>
      <c r="AD194" s="0" t="n">
        <f aca="false">W_PH(AD$2,$A194)</f>
        <v>684.065596626934</v>
      </c>
      <c r="AE194" s="0" t="n">
        <f aca="false">W_PH(AE$2,$A194)</f>
        <v>684.02661475935</v>
      </c>
      <c r="AF194" s="0" t="n">
        <f aca="false">W_PH(AF$2,$A194)</f>
        <v>683.987967896748</v>
      </c>
      <c r="AG194" s="0" t="n">
        <f aca="false">W_PH(AG$2,$A194)</f>
        <v>683.949655744529</v>
      </c>
      <c r="AH194" s="0" t="n">
        <f aca="false">W_PH(AH$2,$A194)</f>
        <v>683.584893811582</v>
      </c>
      <c r="AI194" s="0" t="n">
        <f aca="false">W_PH(AI$2,$A194)</f>
        <v>683.253419569771</v>
      </c>
      <c r="AJ194" s="0" t="n">
        <f aca="false">W_PH(AJ$2,$A194)</f>
        <v>682.957833119005</v>
      </c>
      <c r="AK194" s="0" t="n">
        <f aca="false">W_PH(AK$2,$A194)</f>
        <v>682.692738625193</v>
      </c>
      <c r="AL194" s="0" t="n">
        <f aca="false">W_PH(AL$2,$A194)</f>
        <v>682.46713135627</v>
      </c>
      <c r="AM194" s="0" t="n">
        <f aca="false">W_PH(AM$2,$A194)</f>
        <v>682.282120711104</v>
      </c>
      <c r="AN194" s="0" t="n">
        <f aca="false">W_PH(AN$2,$A194)</f>
        <v>682.13872564198</v>
      </c>
      <c r="AO194" s="0" t="n">
        <f aca="false">W_PH(AO$2,$A194)</f>
        <v>682.037849329884</v>
      </c>
      <c r="AP194" s="0" t="n">
        <f aca="false">W_PH(AP$2,$A194)</f>
        <v>681.980262233137</v>
      </c>
      <c r="AQ194" s="0" t="n">
        <f aca="false">W_PH(AQ$2,$A194)</f>
        <v>683.852071503909</v>
      </c>
      <c r="AR194" s="0" t="n">
        <f aca="false">W_PH(AR$2,$A194)</f>
        <v>684.783907218996</v>
      </c>
      <c r="AS194" s="0" t="n">
        <f aca="false">W_PH(AS$2,$A194)</f>
        <v>685.264826416872</v>
      </c>
    </row>
    <row r="195" customFormat="false" ht="13.8" hidden="false" customHeight="false" outlineLevel="0" collapsed="false">
      <c r="A195" s="0" t="n">
        <v>3550</v>
      </c>
      <c r="B195" s="0" t="n">
        <f aca="false">W_PH(B$2,$A195)</f>
        <v>686.202349648822</v>
      </c>
      <c r="C195" s="0" t="n">
        <f aca="false">W_PH(C$2,$A195)</f>
        <v>686.202309595901</v>
      </c>
      <c r="D195" s="0" t="n">
        <f aca="false">W_PH(D$2,$A195)</f>
        <v>686.202269543309</v>
      </c>
      <c r="E195" s="0" t="n">
        <f aca="false">W_PH(E$2,$A195)</f>
        <v>686.202229491047</v>
      </c>
      <c r="F195" s="0" t="n">
        <f aca="false">W_PH(F$2,$A195)</f>
        <v>686.202189439114</v>
      </c>
      <c r="G195" s="0" t="n">
        <f aca="false">W_PH(G$2,$A195)</f>
        <v>686.201788937914</v>
      </c>
      <c r="H195" s="0" t="n">
        <f aca="false">W_PH(H$2,$A195)</f>
        <v>686.201388469672</v>
      </c>
      <c r="I195" s="0" t="n">
        <f aca="false">W_PH(I$2,$A195)</f>
        <v>686.200988034388</v>
      </c>
      <c r="J195" s="0" t="n">
        <f aca="false">W_PH(J$2,$A195)</f>
        <v>686.20058763206</v>
      </c>
      <c r="K195" s="0" t="n">
        <f aca="false">W_PH(K$2,$A195)</f>
        <v>686.200187262689</v>
      </c>
      <c r="L195" s="0" t="n">
        <f aca="false">W_PH(L$2,$A195)</f>
        <v>686.199786926274</v>
      </c>
      <c r="M195" s="0" t="n">
        <f aca="false">W_PH(M$2,$A195)</f>
        <v>686.199386622814</v>
      </c>
      <c r="N195" s="0" t="n">
        <f aca="false">W_PH(N$2,$A195)</f>
        <v>686.198986352311</v>
      </c>
      <c r="O195" s="0" t="n">
        <f aca="false">W_PH(O$2,$A195)</f>
        <v>686.198586114762</v>
      </c>
      <c r="P195" s="0" t="n">
        <f aca="false">W_PH(P$2,$A195)</f>
        <v>686.194585551725</v>
      </c>
      <c r="Q195" s="0" t="n">
        <f aca="false">W_PH(Q$2,$A195)</f>
        <v>686.190588283787</v>
      </c>
      <c r="R195" s="0" t="n">
        <f aca="false">W_PH(R$2,$A195)</f>
        <v>686.186594310578</v>
      </c>
      <c r="S195" s="0" t="n">
        <f aca="false">W_PH(S$2,$A195)</f>
        <v>686.182603631733</v>
      </c>
      <c r="T195" s="0" t="n">
        <f aca="false">W_PH(T$2,$A195)</f>
        <v>686.178616246888</v>
      </c>
      <c r="U195" s="0" t="n">
        <f aca="false">W_PH(U$2,$A195)</f>
        <v>686.174632155682</v>
      </c>
      <c r="V195" s="0" t="n">
        <f aca="false">W_PH(V$2,$A195)</f>
        <v>686.170651357759</v>
      </c>
      <c r="W195" s="0" t="n">
        <f aca="false">W_PH(W$2,$A195)</f>
        <v>686.166673852763</v>
      </c>
      <c r="X195" s="0" t="n">
        <f aca="false">W_PH(X$2,$A195)</f>
        <v>686.162699640343</v>
      </c>
      <c r="Y195" s="0" t="n">
        <f aca="false">W_PH(Y$2,$A195)</f>
        <v>686.123138532665</v>
      </c>
      <c r="Z195" s="0" t="n">
        <f aca="false">W_PH(Z$2,$A195)</f>
        <v>686.083906317901</v>
      </c>
      <c r="AA195" s="0" t="n">
        <f aca="false">W_PH(AA$2,$A195)</f>
        <v>686.045002692143</v>
      </c>
      <c r="AB195" s="0" t="n">
        <f aca="false">W_PH(AB$2,$A195)</f>
        <v>686.006427378616</v>
      </c>
      <c r="AC195" s="0" t="n">
        <f aca="false">W_PH(AC$2,$A195)</f>
        <v>685.968180126418</v>
      </c>
      <c r="AD195" s="0" t="n">
        <f aca="false">W_PH(AD$2,$A195)</f>
        <v>685.930260709289</v>
      </c>
      <c r="AE195" s="0" t="n">
        <f aca="false">W_PH(AE$2,$A195)</f>
        <v>685.892668924412</v>
      </c>
      <c r="AF195" s="0" t="n">
        <f aca="false">W_PH(AF$2,$A195)</f>
        <v>685.855404591245</v>
      </c>
      <c r="AG195" s="0" t="n">
        <f aca="false">W_PH(AG$2,$A195)</f>
        <v>685.818467550382</v>
      </c>
      <c r="AH195" s="0" t="n">
        <f aca="false">W_PH(AH$2,$A195)</f>
        <v>685.467076129546</v>
      </c>
      <c r="AI195" s="0" t="n">
        <f aca="false">W_PH(AI$2,$A195)</f>
        <v>685.148356408882</v>
      </c>
      <c r="AJ195" s="0" t="n">
        <f aca="false">W_PH(AJ$2,$A195)</f>
        <v>684.864939937434</v>
      </c>
      <c r="AK195" s="0" t="n">
        <f aca="false">W_PH(AK$2,$A195)</f>
        <v>684.611461741741</v>
      </c>
      <c r="AL195" s="0" t="n">
        <f aca="false">W_PH(AL$2,$A195)</f>
        <v>684.396862852512</v>
      </c>
      <c r="AM195" s="0" t="n">
        <f aca="false">W_PH(AM$2,$A195)</f>
        <v>684.222237808629</v>
      </c>
      <c r="AN195" s="0" t="n">
        <f aca="false">W_PH(AN$2,$A195)</f>
        <v>684.088586097322</v>
      </c>
      <c r="AO195" s="0" t="n">
        <f aca="false">W_PH(AO$2,$A195)</f>
        <v>683.996789237571</v>
      </c>
      <c r="AP195" s="0" t="n">
        <f aca="false">W_PH(AP$2,$A195)</f>
        <v>683.947595631017</v>
      </c>
      <c r="AQ195" s="0" t="n">
        <f aca="false">W_PH(AQ$2,$A195)</f>
        <v>685.862277880674</v>
      </c>
      <c r="AR195" s="0" t="n">
        <f aca="false">W_PH(AR$2,$A195)</f>
        <v>686.793450455016</v>
      </c>
      <c r="AS195" s="0" t="n">
        <f aca="false">W_PH(AS$2,$A195)</f>
        <v>687.273041911213</v>
      </c>
    </row>
    <row r="196" customFormat="false" ht="13.8" hidden="false" customHeight="false" outlineLevel="0" collapsed="false">
      <c r="A196" s="0" t="n">
        <v>3560</v>
      </c>
      <c r="B196" s="0" t="n">
        <f aca="false">W_PH(B$2,$A196)</f>
        <v>688.048009011312</v>
      </c>
      <c r="C196" s="0" t="n">
        <f aca="false">W_PH(C$2,$A196)</f>
        <v>688.047970380929</v>
      </c>
      <c r="D196" s="0" t="n">
        <f aca="false">W_PH(D$2,$A196)</f>
        <v>688.047931750867</v>
      </c>
      <c r="E196" s="0" t="n">
        <f aca="false">W_PH(E$2,$A196)</f>
        <v>688.047893121126</v>
      </c>
      <c r="F196" s="0" t="n">
        <f aca="false">W_PH(F$2,$A196)</f>
        <v>688.047854491707</v>
      </c>
      <c r="G196" s="0" t="n">
        <f aca="false">W_PH(G$2,$A196)</f>
        <v>688.047468215184</v>
      </c>
      <c r="H196" s="0" t="n">
        <f aca="false">W_PH(H$2,$A196)</f>
        <v>688.04708197079</v>
      </c>
      <c r="I196" s="0" t="n">
        <f aca="false">W_PH(I$2,$A196)</f>
        <v>688.046695758525</v>
      </c>
      <c r="J196" s="0" t="n">
        <f aca="false">W_PH(J$2,$A196)</f>
        <v>688.046309578388</v>
      </c>
      <c r="K196" s="0" t="n">
        <f aca="false">W_PH(K$2,$A196)</f>
        <v>688.045923430381</v>
      </c>
      <c r="L196" s="0" t="n">
        <f aca="false">W_PH(L$2,$A196)</f>
        <v>688.045537314501</v>
      </c>
      <c r="M196" s="0" t="n">
        <f aca="false">W_PH(M$2,$A196)</f>
        <v>688.04515123075</v>
      </c>
      <c r="N196" s="0" t="n">
        <f aca="false">W_PH(N$2,$A196)</f>
        <v>688.044765179126</v>
      </c>
      <c r="O196" s="0" t="n">
        <f aca="false">W_PH(O$2,$A196)</f>
        <v>688.04437915963</v>
      </c>
      <c r="P196" s="0" t="n">
        <f aca="false">W_PH(P$2,$A196)</f>
        <v>688.04052073164</v>
      </c>
      <c r="Q196" s="0" t="n">
        <f aca="false">W_PH(Q$2,$A196)</f>
        <v>688.036665516171</v>
      </c>
      <c r="R196" s="0" t="n">
        <f aca="false">W_PH(R$2,$A196)</f>
        <v>688.032813513009</v>
      </c>
      <c r="S196" s="0" t="n">
        <f aca="false">W_PH(S$2,$A196)</f>
        <v>688.028964721942</v>
      </c>
      <c r="T196" s="0" t="n">
        <f aca="false">W_PH(T$2,$A196)</f>
        <v>688.025119142761</v>
      </c>
      <c r="U196" s="0" t="n">
        <f aca="false">W_PH(U$2,$A196)</f>
        <v>688.02127677526</v>
      </c>
      <c r="V196" s="0" t="n">
        <f aca="false">W_PH(V$2,$A196)</f>
        <v>688.017437619233</v>
      </c>
      <c r="W196" s="0" t="n">
        <f aca="false">W_PH(W$2,$A196)</f>
        <v>688.013601674481</v>
      </c>
      <c r="X196" s="0" t="n">
        <f aca="false">W_PH(X$2,$A196)</f>
        <v>688.009768940803</v>
      </c>
      <c r="Y196" s="0" t="n">
        <f aca="false">W_PH(Y$2,$A196)</f>
        <v>687.971618171251</v>
      </c>
      <c r="Z196" s="0" t="n">
        <f aca="false">W_PH(Z$2,$A196)</f>
        <v>687.933788309359</v>
      </c>
      <c r="AA196" s="0" t="n">
        <f aca="false">W_PH(AA$2,$A196)</f>
        <v>687.896279197319</v>
      </c>
      <c r="AB196" s="0" t="n">
        <f aca="false">W_PH(AB$2,$A196)</f>
        <v>687.859090700668</v>
      </c>
      <c r="AC196" s="0" t="n">
        <f aca="false">W_PH(AC$2,$A196)</f>
        <v>687.822222707141</v>
      </c>
      <c r="AD196" s="0" t="n">
        <f aca="false">W_PH(AD$2,$A196)</f>
        <v>687.785675125537</v>
      </c>
      <c r="AE196" s="0" t="n">
        <f aca="false">W_PH(AE$2,$A196)</f>
        <v>687.749447884624</v>
      </c>
      <c r="AF196" s="0" t="n">
        <f aca="false">W_PH(AF$2,$A196)</f>
        <v>687.71354093207</v>
      </c>
      <c r="AG196" s="0" t="n">
        <f aca="false">W_PH(AG$2,$A196)</f>
        <v>687.6779542334</v>
      </c>
      <c r="AH196" s="0" t="n">
        <f aca="false">W_PH(AH$2,$A196)</f>
        <v>687.3397044372</v>
      </c>
      <c r="AI196" s="0" t="n">
        <f aca="false">W_PH(AI$2,$A196)</f>
        <v>687.033538809816</v>
      </c>
      <c r="AJ196" s="0" t="n">
        <f aca="false">W_PH(AJ$2,$A196)</f>
        <v>686.762116500173</v>
      </c>
      <c r="AK196" s="0" t="n">
        <f aca="false">W_PH(AK$2,$A196)</f>
        <v>686.520115328835</v>
      </c>
      <c r="AL196" s="0" t="n">
        <f aca="false">W_PH(AL$2,$A196)</f>
        <v>686.316402677559</v>
      </c>
      <c r="AM196" s="0" t="n">
        <f aca="false">W_PH(AM$2,$A196)</f>
        <v>686.152057417847</v>
      </c>
      <c r="AN196" s="0" t="n">
        <f aca="false">W_PH(AN$2,$A196)</f>
        <v>686.028059115903</v>
      </c>
      <c r="AO196" s="0" t="n">
        <f aca="false">W_PH(AO$2,$A196)</f>
        <v>685.945267396314</v>
      </c>
      <c r="AP196" s="0" t="n">
        <f aca="false">W_PH(AP$2,$A196)</f>
        <v>685.904408505611</v>
      </c>
      <c r="AQ196" s="0" t="n">
        <f aca="false">W_PH(AQ$2,$A196)</f>
        <v>687.862223123259</v>
      </c>
      <c r="AR196" s="0" t="n">
        <f aca="false">W_PH(AR$2,$A196)</f>
        <v>688.792970783407</v>
      </c>
      <c r="AS196" s="0" t="n">
        <f aca="false">W_PH(AS$2,$A196)</f>
        <v>689.271361711853</v>
      </c>
    </row>
    <row r="197" customFormat="false" ht="13.8" hidden="false" customHeight="false" outlineLevel="0" collapsed="false">
      <c r="A197" s="0" t="n">
        <v>3570</v>
      </c>
      <c r="B197" s="0" t="n">
        <f aca="false">W_PH(B$2,$A197)</f>
        <v>689.884708526508</v>
      </c>
      <c r="C197" s="0" t="n">
        <f aca="false">W_PH(C$2,$A197)</f>
        <v>689.884671290757</v>
      </c>
      <c r="D197" s="0" t="n">
        <f aca="false">W_PH(D$2,$A197)</f>
        <v>689.88463405532</v>
      </c>
      <c r="E197" s="0" t="n">
        <f aca="false">W_PH(E$2,$A197)</f>
        <v>689.884596820196</v>
      </c>
      <c r="F197" s="0" t="n">
        <f aca="false">W_PH(F$2,$A197)</f>
        <v>689.884559585385</v>
      </c>
      <c r="G197" s="0" t="n">
        <f aca="false">W_PH(G$2,$A197)</f>
        <v>689.884187254522</v>
      </c>
      <c r="H197" s="0" t="n">
        <f aca="false">W_PH(H$2,$A197)</f>
        <v>689.883814955005</v>
      </c>
      <c r="I197" s="0" t="n">
        <f aca="false">W_PH(I$2,$A197)</f>
        <v>689.883442686835</v>
      </c>
      <c r="J197" s="0" t="n">
        <f aca="false">W_PH(J$2,$A197)</f>
        <v>689.883070450012</v>
      </c>
      <c r="K197" s="0" t="n">
        <f aca="false">W_PH(K$2,$A197)</f>
        <v>689.882698244536</v>
      </c>
      <c r="L197" s="0" t="n">
        <f aca="false">W_PH(L$2,$A197)</f>
        <v>689.882326070406</v>
      </c>
      <c r="M197" s="0" t="n">
        <f aca="false">W_PH(M$2,$A197)</f>
        <v>689.881953927623</v>
      </c>
      <c r="N197" s="0" t="n">
        <f aca="false">W_PH(N$2,$A197)</f>
        <v>689.881581816186</v>
      </c>
      <c r="O197" s="0" t="n">
        <f aca="false">W_PH(O$2,$A197)</f>
        <v>689.881209736096</v>
      </c>
      <c r="P197" s="0" t="n">
        <f aca="false">W_PH(P$2,$A197)</f>
        <v>689.87749065923</v>
      </c>
      <c r="Q197" s="0" t="n">
        <f aca="false">W_PH(Q$2,$A197)</f>
        <v>689.873774716922</v>
      </c>
      <c r="R197" s="0" t="n">
        <f aca="false">W_PH(R$2,$A197)</f>
        <v>689.870061909103</v>
      </c>
      <c r="S197" s="0" t="n">
        <f aca="false">W_PH(S$2,$A197)</f>
        <v>689.866352235702</v>
      </c>
      <c r="T197" s="0" t="n">
        <f aca="false">W_PH(T$2,$A197)</f>
        <v>689.862645696652</v>
      </c>
      <c r="U197" s="0" t="n">
        <f aca="false">W_PH(U$2,$A197)</f>
        <v>689.858942291889</v>
      </c>
      <c r="V197" s="0" t="n">
        <f aca="false">W_PH(V$2,$A197)</f>
        <v>689.855242021349</v>
      </c>
      <c r="W197" s="0" t="n">
        <f aca="false">W_PH(W$2,$A197)</f>
        <v>689.851544884972</v>
      </c>
      <c r="X197" s="0" t="n">
        <f aca="false">W_PH(X$2,$A197)</f>
        <v>689.847850882701</v>
      </c>
      <c r="Y197" s="0" t="n">
        <f aca="false">W_PH(Y$2,$A197)</f>
        <v>689.811083224558</v>
      </c>
      <c r="Z197" s="0" t="n">
        <f aca="false">W_PH(Z$2,$A197)</f>
        <v>689.774628929093</v>
      </c>
      <c r="AA197" s="0" t="n">
        <f aca="false">W_PH(AA$2,$A197)</f>
        <v>689.738487973172</v>
      </c>
      <c r="AB197" s="0" t="n">
        <f aca="false">W_PH(AB$2,$A197)</f>
        <v>689.702660353513</v>
      </c>
      <c r="AC197" s="0" t="n">
        <f aca="false">W_PH(AC$2,$A197)</f>
        <v>689.667146085633</v>
      </c>
      <c r="AD197" s="0" t="n">
        <f aca="false">W_PH(AD$2,$A197)</f>
        <v>689.631945202813</v>
      </c>
      <c r="AE197" s="0" t="n">
        <f aca="false">W_PH(AE$2,$A197)</f>
        <v>689.597057755096</v>
      </c>
      <c r="AF197" s="0" t="n">
        <f aca="false">W_PH(AF$2,$A197)</f>
        <v>689.562483808308</v>
      </c>
      <c r="AG197" s="0" t="n">
        <f aca="false">W_PH(AG$2,$A197)</f>
        <v>689.528223443105</v>
      </c>
      <c r="AH197" s="0" t="n">
        <f aca="false">W_PH(AH$2,$A197)</f>
        <v>689.202893334493</v>
      </c>
      <c r="AI197" s="0" t="n">
        <f aca="false">W_PH(AI$2,$A197)</f>
        <v>688.909087358197</v>
      </c>
      <c r="AJ197" s="0" t="n">
        <f aca="false">W_PH(AJ$2,$A197)</f>
        <v>688.649489517988</v>
      </c>
      <c r="AK197" s="0" t="n">
        <f aca="false">W_PH(AK$2,$A197)</f>
        <v>688.41882875518</v>
      </c>
      <c r="AL197" s="0" t="n">
        <f aca="false">W_PH(AL$2,$A197)</f>
        <v>688.22588210446</v>
      </c>
      <c r="AM197" s="0" t="n">
        <f aca="false">W_PH(AM$2,$A197)</f>
        <v>688.07171199172</v>
      </c>
      <c r="AN197" s="0" t="n">
        <f aca="false">W_PH(AN$2,$A197)</f>
        <v>687.957277637164</v>
      </c>
      <c r="AO197" s="0" t="n">
        <f aca="false">W_PH(AO$2,$A197)</f>
        <v>687.883416574532</v>
      </c>
      <c r="AP197" s="0" t="n">
        <f aca="false">W_PH(AP$2,$A197)</f>
        <v>687.850832838676</v>
      </c>
      <c r="AQ197" s="0" t="n">
        <f aca="false">W_PH(AQ$2,$A197)</f>
        <v>689.852009326174</v>
      </c>
      <c r="AR197" s="0" t="n">
        <f aca="false">W_PH(AR$2,$A197)</f>
        <v>690.78256206147</v>
      </c>
      <c r="AS197" s="0" t="n">
        <f aca="false">W_PH(AS$2,$A197)</f>
        <v>691.259875963818</v>
      </c>
    </row>
    <row r="198" customFormat="false" ht="13.8" hidden="false" customHeight="false" outlineLevel="0" collapsed="false">
      <c r="A198" s="0" t="n">
        <v>3580</v>
      </c>
      <c r="B198" s="0" t="n">
        <f aca="false">W_PH(B$2,$A198)</f>
        <v>691.712546197743</v>
      </c>
      <c r="C198" s="0" t="n">
        <f aca="false">W_PH(C$2,$A198)</f>
        <v>691.712510329598</v>
      </c>
      <c r="D198" s="0" t="n">
        <f aca="false">W_PH(D$2,$A198)</f>
        <v>691.712474461759</v>
      </c>
      <c r="E198" s="0" t="n">
        <f aca="false">W_PH(E$2,$A198)</f>
        <v>691.712438594226</v>
      </c>
      <c r="F198" s="0" t="n">
        <f aca="false">W_PH(F$2,$A198)</f>
        <v>691.712402727</v>
      </c>
      <c r="G198" s="0" t="n">
        <f aca="false">W_PH(G$2,$A198)</f>
        <v>691.712044071569</v>
      </c>
      <c r="H198" s="0" t="n">
        <f aca="false">W_PH(H$2,$A198)</f>
        <v>691.711685446748</v>
      </c>
      <c r="I198" s="0" t="n">
        <f aca="false">W_PH(I$2,$A198)</f>
        <v>691.711326852536</v>
      </c>
      <c r="J198" s="0" t="n">
        <f aca="false">W_PH(J$2,$A198)</f>
        <v>691.710968288934</v>
      </c>
      <c r="K198" s="0" t="n">
        <f aca="false">W_PH(K$2,$A198)</f>
        <v>691.710609755941</v>
      </c>
      <c r="L198" s="0" t="n">
        <f aca="false">W_PH(L$2,$A198)</f>
        <v>691.710251253558</v>
      </c>
      <c r="M198" s="0" t="n">
        <f aca="false">W_PH(M$2,$A198)</f>
        <v>691.709892781784</v>
      </c>
      <c r="N198" s="0" t="n">
        <f aca="false">W_PH(N$2,$A198)</f>
        <v>691.709534340619</v>
      </c>
      <c r="O198" s="0" t="n">
        <f aca="false">W_PH(O$2,$A198)</f>
        <v>691.709175930065</v>
      </c>
      <c r="P198" s="0" t="n">
        <f aca="false">W_PH(P$2,$A198)</f>
        <v>691.705593508068</v>
      </c>
      <c r="Q198" s="0" t="n">
        <f aca="false">W_PH(Q$2,$A198)</f>
        <v>691.702014147105</v>
      </c>
      <c r="R198" s="0" t="n">
        <f aca="false">W_PH(R$2,$A198)</f>
        <v>691.698437847237</v>
      </c>
      <c r="S198" s="0" t="n">
        <f aca="false">W_PH(S$2,$A198)</f>
        <v>691.694864608524</v>
      </c>
      <c r="T198" s="0" t="n">
        <f aca="false">W_PH(T$2,$A198)</f>
        <v>691.691294431031</v>
      </c>
      <c r="U198" s="0" t="n">
        <f aca="false">W_PH(U$2,$A198)</f>
        <v>691.687727314824</v>
      </c>
      <c r="V198" s="0" t="n">
        <f aca="false">W_PH(V$2,$A198)</f>
        <v>691.684163259969</v>
      </c>
      <c r="W198" s="0" t="n">
        <f aca="false">W_PH(W$2,$A198)</f>
        <v>691.680602266536</v>
      </c>
      <c r="X198" s="0" t="n">
        <f aca="false">W_PH(X$2,$A198)</f>
        <v>691.677044334596</v>
      </c>
      <c r="Y198" s="0" t="n">
        <f aca="false">W_PH(Y$2,$A198)</f>
        <v>691.641633414304</v>
      </c>
      <c r="Z198" s="0" t="n">
        <f aca="false">W_PH(Z$2,$A198)</f>
        <v>691.606528735229</v>
      </c>
      <c r="AA198" s="0" t="n">
        <f aca="false">W_PH(AA$2,$A198)</f>
        <v>691.571730398053</v>
      </c>
      <c r="AB198" s="0" t="n">
        <f aca="false">W_PH(AB$2,$A198)</f>
        <v>691.53723852009</v>
      </c>
      <c r="AC198" s="0" t="n">
        <f aca="false">W_PH(AC$2,$A198)</f>
        <v>691.503053234313</v>
      </c>
      <c r="AD198" s="0" t="n">
        <f aca="false">W_PH(AD$2,$A198)</f>
        <v>691.469174688416</v>
      </c>
      <c r="AE198" s="0" t="n">
        <f aca="false">W_PH(AE$2,$A198)</f>
        <v>691.4356030439</v>
      </c>
      <c r="AF198" s="0" t="n">
        <f aca="false">W_PH(AF$2,$A198)</f>
        <v>691.40233847517</v>
      </c>
      <c r="AG198" s="0" t="n">
        <f aca="false">W_PH(AG$2,$A198)</f>
        <v>691.36938116867</v>
      </c>
      <c r="AH198" s="0" t="n">
        <f aca="false">W_PH(AH$2,$A198)</f>
        <v>691.056755514023</v>
      </c>
      <c r="AI198" s="0" t="n">
        <f aca="false">W_PH(AI$2,$A198)</f>
        <v>690.775120517828</v>
      </c>
      <c r="AJ198" s="0" t="n">
        <f aca="false">W_PH(AJ$2,$A198)</f>
        <v>690.527183352157</v>
      </c>
      <c r="AK198" s="0" t="n">
        <f aca="false">W_PH(AK$2,$A198)</f>
        <v>690.307728969594</v>
      </c>
      <c r="AL198" s="0" t="n">
        <f aca="false">W_PH(AL$2,$A198)</f>
        <v>690.125429960868</v>
      </c>
      <c r="AM198" s="0" t="n">
        <f aca="false">W_PH(AM$2,$A198)</f>
        <v>689.981331557296</v>
      </c>
      <c r="AN198" s="0" t="n">
        <f aca="false">W_PH(AN$2,$A198)</f>
        <v>689.876372237082</v>
      </c>
      <c r="AO198" s="0" t="n">
        <f aca="false">W_PH(AO$2,$A198)</f>
        <v>689.811367278713</v>
      </c>
      <c r="AP198" s="0" t="n">
        <f aca="false">W_PH(AP$2,$A198)</f>
        <v>689.786998485328</v>
      </c>
      <c r="AQ198" s="0" t="n">
        <f aca="false">W_PH(AQ$2,$A198)</f>
        <v>691.831738093962</v>
      </c>
      <c r="AR198" s="0" t="n">
        <f aca="false">W_PH(AR$2,$A198)</f>
        <v>692.762317695015</v>
      </c>
      <c r="AS198" s="0" t="n">
        <f aca="false">W_PH(AS$2,$A198)</f>
        <v>693.23867431621</v>
      </c>
    </row>
    <row r="199" customFormat="false" ht="13.8" hidden="false" customHeight="false" outlineLevel="0" collapsed="false">
      <c r="A199" s="0" t="n">
        <v>3590</v>
      </c>
      <c r="B199" s="0" t="n">
        <f aca="false">W_PH(B$2,$A199)</f>
        <v>693.531618669005</v>
      </c>
      <c r="C199" s="0" t="n">
        <f aca="false">W_PH(C$2,$A199)</f>
        <v>693.53158414229</v>
      </c>
      <c r="D199" s="0" t="n">
        <f aca="false">W_PH(D$2,$A199)</f>
        <v>693.531549615875</v>
      </c>
      <c r="E199" s="0" t="n">
        <f aca="false">W_PH(E$2,$A199)</f>
        <v>693.531515089758</v>
      </c>
      <c r="F199" s="0" t="n">
        <f aca="false">W_PH(F$2,$A199)</f>
        <v>693.531480563941</v>
      </c>
      <c r="G199" s="0" t="n">
        <f aca="false">W_PH(G$2,$A199)</f>
        <v>693.531135322223</v>
      </c>
      <c r="H199" s="0" t="n">
        <f aca="false">W_PH(H$2,$A199)</f>
        <v>693.530790110419</v>
      </c>
      <c r="I199" s="0" t="n">
        <f aca="false">W_PH(I$2,$A199)</f>
        <v>693.530444928529</v>
      </c>
      <c r="J199" s="0" t="n">
        <f aca="false">W_PH(J$2,$A199)</f>
        <v>693.530099776555</v>
      </c>
      <c r="K199" s="0" t="n">
        <f aca="false">W_PH(K$2,$A199)</f>
        <v>693.529754654496</v>
      </c>
      <c r="L199" s="0" t="n">
        <f aca="false">W_PH(L$2,$A199)</f>
        <v>693.529409562352</v>
      </c>
      <c r="M199" s="0" t="n">
        <f aca="false">W_PH(M$2,$A199)</f>
        <v>693.529064500123</v>
      </c>
      <c r="N199" s="0" t="n">
        <f aca="false">W_PH(N$2,$A199)</f>
        <v>693.52871946781</v>
      </c>
      <c r="O199" s="0" t="n">
        <f aca="false">W_PH(O$2,$A199)</f>
        <v>693.528374465413</v>
      </c>
      <c r="P199" s="0" t="n">
        <f aca="false">W_PH(P$2,$A199)</f>
        <v>693.524926086846</v>
      </c>
      <c r="Q199" s="0" t="n">
        <f aca="false">W_PH(Q$2,$A199)</f>
        <v>693.521480700054</v>
      </c>
      <c r="R199" s="0" t="n">
        <f aca="false">W_PH(R$2,$A199)</f>
        <v>693.518038305216</v>
      </c>
      <c r="S199" s="0" t="n">
        <f aca="false">W_PH(S$2,$A199)</f>
        <v>693.514598902513</v>
      </c>
      <c r="T199" s="0" t="n">
        <f aca="false">W_PH(T$2,$A199)</f>
        <v>693.51116249213</v>
      </c>
      <c r="U199" s="0" t="n">
        <f aca="false">W_PH(U$2,$A199)</f>
        <v>693.507729074251</v>
      </c>
      <c r="V199" s="0" t="n">
        <f aca="false">W_PH(V$2,$A199)</f>
        <v>693.504298649063</v>
      </c>
      <c r="W199" s="0" t="n">
        <f aca="false">W_PH(W$2,$A199)</f>
        <v>693.500871216755</v>
      </c>
      <c r="X199" s="0" t="n">
        <f aca="false">W_PH(X$2,$A199)</f>
        <v>693.497446777516</v>
      </c>
      <c r="Y199" s="0" t="n">
        <f aca="false">W_PH(Y$2,$A199)</f>
        <v>693.463367046779</v>
      </c>
      <c r="Z199" s="0" t="n">
        <f aca="false">W_PH(Z$2,$A199)</f>
        <v>693.429586842998</v>
      </c>
      <c r="AA199" s="0" t="n">
        <f aca="false">W_PH(AA$2,$A199)</f>
        <v>693.396106380365</v>
      </c>
      <c r="AB199" s="0" t="n">
        <f aca="false">W_PH(AB$2,$A199)</f>
        <v>693.362925886723</v>
      </c>
      <c r="AC199" s="0" t="n">
        <f aca="false">W_PH(AC$2,$A199)</f>
        <v>693.330045602692</v>
      </c>
      <c r="AD199" s="0" t="n">
        <f aca="false">W_PH(AD$2,$A199)</f>
        <v>693.297465780803</v>
      </c>
      <c r="AE199" s="0" t="n">
        <f aca="false">W_PH(AE$2,$A199)</f>
        <v>693.265186684667</v>
      </c>
      <c r="AF199" s="0" t="n">
        <f aca="false">W_PH(AF$2,$A199)</f>
        <v>693.233208588152</v>
      </c>
      <c r="AG199" s="0" t="n">
        <f aca="false">W_PH(AG$2,$A199)</f>
        <v>693.201531774593</v>
      </c>
      <c r="AH199" s="0" t="n">
        <f aca="false">W_PH(AH$2,$A199)</f>
        <v>692.901401809371</v>
      </c>
      <c r="AI199" s="0" t="n">
        <f aca="false">W_PH(AI$2,$A199)</f>
        <v>692.631754685859</v>
      </c>
      <c r="AJ199" s="0" t="n">
        <f aca="false">W_PH(AJ$2,$A199)</f>
        <v>692.395320053342</v>
      </c>
      <c r="AK199" s="0" t="n">
        <f aca="false">W_PH(AK$2,$A199)</f>
        <v>692.186940540262</v>
      </c>
      <c r="AL199" s="0" t="n">
        <f aca="false">W_PH(AL$2,$A199)</f>
        <v>692.015172665213</v>
      </c>
      <c r="AM199" s="0" t="n">
        <f aca="false">W_PH(AM$2,$A199)</f>
        <v>691.881043745479</v>
      </c>
      <c r="AN199" s="0" t="n">
        <f aca="false">W_PH(AN$2,$A199)</f>
        <v>691.78547114855</v>
      </c>
      <c r="AO199" s="0" t="n">
        <f aca="false">W_PH(AO$2,$A199)</f>
        <v>691.72924776199</v>
      </c>
      <c r="AP199" s="0" t="n">
        <f aca="false">W_PH(AP$2,$A199)</f>
        <v>691.713033169039</v>
      </c>
      <c r="AQ199" s="0" t="n">
        <f aca="false">W_PH(AQ$2,$A199)</f>
        <v>693.801510438388</v>
      </c>
      <c r="AR199" s="0" t="n">
        <f aca="false">W_PH(AR$2,$A199)</f>
        <v>694.732330545912</v>
      </c>
      <c r="AS199" s="0" t="n">
        <f aca="false">W_PH(AS$2,$A199)</f>
        <v>695.207845838477</v>
      </c>
    </row>
    <row r="200" customFormat="false" ht="13.8" hidden="false" customHeight="false" outlineLevel="0" collapsed="false">
      <c r="A200" s="0" t="n">
        <v>3600</v>
      </c>
      <c r="B200" s="0" t="n">
        <f aca="false">W_PH(B$2,$A200)</f>
        <v>695.342021242769</v>
      </c>
      <c r="C200" s="0" t="n">
        <f aca="false">W_PH(C$2,$A200)</f>
        <v>695.341988032133</v>
      </c>
      <c r="D200" s="0" t="n">
        <f aca="false">W_PH(D$2,$A200)</f>
        <v>695.341954821789</v>
      </c>
      <c r="E200" s="0" t="n">
        <f aca="false">W_PH(E$2,$A200)</f>
        <v>695.341921611738</v>
      </c>
      <c r="F200" s="0" t="n">
        <f aca="false">W_PH(F$2,$A200)</f>
        <v>695.34188840198</v>
      </c>
      <c r="G200" s="0" t="n">
        <f aca="false">W_PH(G$2,$A200)</f>
        <v>695.341556320489</v>
      </c>
      <c r="H200" s="0" t="n">
        <f aca="false">W_PH(H$2,$A200)</f>
        <v>695.341224268259</v>
      </c>
      <c r="I200" s="0" t="n">
        <f aca="false">W_PH(I$2,$A200)</f>
        <v>695.340892245289</v>
      </c>
      <c r="J200" s="0" t="n">
        <f aca="false">W_PH(J$2,$A200)</f>
        <v>695.340560251582</v>
      </c>
      <c r="K200" s="0" t="n">
        <f aca="false">W_PH(K$2,$A200)</f>
        <v>695.340228287136</v>
      </c>
      <c r="L200" s="0" t="n">
        <f aca="false">W_PH(L$2,$A200)</f>
        <v>695.339896351952</v>
      </c>
      <c r="M200" s="0" t="n">
        <f aca="false">W_PH(M$2,$A200)</f>
        <v>695.339564446031</v>
      </c>
      <c r="N200" s="0" t="n">
        <f aca="false">W_PH(N$2,$A200)</f>
        <v>695.339232569372</v>
      </c>
      <c r="O200" s="0" t="n">
        <f aca="false">W_PH(O$2,$A200)</f>
        <v>695.338900721976</v>
      </c>
      <c r="P200" s="0" t="n">
        <f aca="false">W_PH(P$2,$A200)</f>
        <v>695.335583857539</v>
      </c>
      <c r="Q200" s="0" t="n">
        <f aca="false">W_PH(Q$2,$A200)</f>
        <v>695.33226991971</v>
      </c>
      <c r="R200" s="0" t="n">
        <f aca="false">W_PH(R$2,$A200)</f>
        <v>695.32895890878</v>
      </c>
      <c r="S200" s="0" t="n">
        <f aca="false">W_PH(S$2,$A200)</f>
        <v>695.325650825039</v>
      </c>
      <c r="T200" s="0" t="n">
        <f aca="false">W_PH(T$2,$A200)</f>
        <v>695.322345668781</v>
      </c>
      <c r="U200" s="0" t="n">
        <f aca="false">W_PH(U$2,$A200)</f>
        <v>695.3190434403</v>
      </c>
      <c r="V200" s="0" t="n">
        <f aca="false">W_PH(V$2,$A200)</f>
        <v>695.315744139893</v>
      </c>
      <c r="W200" s="0" t="n">
        <f aca="false">W_PH(W$2,$A200)</f>
        <v>695.312447767855</v>
      </c>
      <c r="X200" s="0" t="n">
        <f aca="false">W_PH(X$2,$A200)</f>
        <v>695.309154324486</v>
      </c>
      <c r="Y200" s="0" t="n">
        <f aca="false">W_PH(Y$2,$A200)</f>
        <v>695.27638103404</v>
      </c>
      <c r="Z200" s="0" t="n">
        <f aca="false">W_PH(Z$2,$A200)</f>
        <v>695.243900947567</v>
      </c>
      <c r="AA200" s="0" t="n">
        <f aca="false">W_PH(AA$2,$A200)</f>
        <v>695.211714382983</v>
      </c>
      <c r="AB200" s="0" t="n">
        <f aca="false">W_PH(AB$2,$A200)</f>
        <v>695.179821669113</v>
      </c>
      <c r="AC200" s="0" t="n">
        <f aca="false">W_PH(AC$2,$A200)</f>
        <v>695.148223144897</v>
      </c>
      <c r="AD200" s="0" t="n">
        <f aca="false">W_PH(AD$2,$A200)</f>
        <v>695.116919158604</v>
      </c>
      <c r="AE200" s="0" t="n">
        <f aca="false">W_PH(AE$2,$A200)</f>
        <v>695.085910067068</v>
      </c>
      <c r="AF200" s="0" t="n">
        <f aca="false">W_PH(AF$2,$A200)</f>
        <v>695.055196234947</v>
      </c>
      <c r="AG200" s="0" t="n">
        <f aca="false">W_PH(AG$2,$A200)</f>
        <v>695.024778033996</v>
      </c>
      <c r="AH200" s="0" t="n">
        <f aca="false">W_PH(AH$2,$A200)</f>
        <v>694.736941240205</v>
      </c>
      <c r="AI200" s="0" t="n">
        <f aca="false">W_PH(AI$2,$A200)</f>
        <v>694.479104244782</v>
      </c>
      <c r="AJ200" s="0" t="n">
        <f aca="false">W_PH(AJ$2,$A200)</f>
        <v>694.254019400111</v>
      </c>
      <c r="AK200" s="0" t="n">
        <f aca="false">W_PH(AK$2,$A200)</f>
        <v>694.056585693697</v>
      </c>
      <c r="AL200" s="0" t="n">
        <f aca="false">W_PH(AL$2,$A200)</f>
        <v>693.895234262936</v>
      </c>
      <c r="AM200" s="0" t="n">
        <f aca="false">W_PH(AM$2,$A200)</f>
        <v>693.770973821454</v>
      </c>
      <c r="AN200" s="0" t="n">
        <f aca="false">W_PH(AN$2,$A200)</f>
        <v>693.684700283259</v>
      </c>
      <c r="AO200" s="0" t="n">
        <f aca="false">W_PH(AO$2,$A200)</f>
        <v>693.637184035186</v>
      </c>
      <c r="AP200" s="0" t="n">
        <f aca="false">W_PH(AP$2,$A200)</f>
        <v>693.629062480116</v>
      </c>
      <c r="AQ200" s="0" t="n">
        <f aca="false">W_PH(AQ$2,$A200)</f>
        <v>695.761426686413</v>
      </c>
      <c r="AR200" s="0" t="n">
        <f aca="false">W_PH(AR$2,$A200)</f>
        <v>696.692692851709</v>
      </c>
      <c r="AS200" s="0" t="n">
        <f aca="false">W_PH(AS$2,$A200)</f>
        <v>697.167478949527</v>
      </c>
    </row>
    <row r="201" customFormat="false" ht="13.8" hidden="false" customHeight="false" outlineLevel="0" collapsed="false">
      <c r="A201" s="0" t="n">
        <v>3610</v>
      </c>
      <c r="B201" s="0" t="n">
        <f aca="false">W_PH(B$2,$A201)</f>
        <v>697.143847897047</v>
      </c>
      <c r="C201" s="0" t="n">
        <f aca="false">W_PH(C$2,$A201)</f>
        <v>697.143815977936</v>
      </c>
      <c r="D201" s="0" t="n">
        <f aca="false">W_PH(D$2,$A201)</f>
        <v>697.143784059111</v>
      </c>
      <c r="E201" s="0" t="n">
        <f aca="false">W_PH(E$2,$A201)</f>
        <v>697.143752140572</v>
      </c>
      <c r="F201" s="0" t="n">
        <f aca="false">W_PH(F$2,$A201)</f>
        <v>697.14372022232</v>
      </c>
      <c r="G201" s="0" t="n">
        <f aca="false">W_PH(G$2,$A201)</f>
        <v>697.143401055556</v>
      </c>
      <c r="H201" s="0" t="n">
        <f aca="false">W_PH(H$2,$A201)</f>
        <v>697.143081917437</v>
      </c>
      <c r="I201" s="0" t="n">
        <f aca="false">W_PH(I$2,$A201)</f>
        <v>697.142762807966</v>
      </c>
      <c r="J201" s="0" t="n">
        <f aca="false">W_PH(J$2,$A201)</f>
        <v>697.142443727143</v>
      </c>
      <c r="K201" s="0" t="n">
        <f aca="false">W_PH(K$2,$A201)</f>
        <v>697.142124674967</v>
      </c>
      <c r="L201" s="0" t="n">
        <f aca="false">W_PH(L$2,$A201)</f>
        <v>697.14180565144</v>
      </c>
      <c r="M201" s="0" t="n">
        <f aca="false">W_PH(M$2,$A201)</f>
        <v>697.141486656561</v>
      </c>
      <c r="N201" s="0" t="n">
        <f aca="false">W_PH(N$2,$A201)</f>
        <v>697.141167690331</v>
      </c>
      <c r="O201" s="0" t="n">
        <f aca="false">W_PH(O$2,$A201)</f>
        <v>697.140848752751</v>
      </c>
      <c r="P201" s="0" t="n">
        <f aca="false">W_PH(P$2,$A201)</f>
        <v>697.137660952753</v>
      </c>
      <c r="Q201" s="0" t="n">
        <f aca="false">W_PH(Q$2,$A201)</f>
        <v>697.134476018126</v>
      </c>
      <c r="R201" s="0" t="n">
        <f aca="false">W_PH(R$2,$A201)</f>
        <v>697.131293949262</v>
      </c>
      <c r="S201" s="0" t="n">
        <f aca="false">W_PH(S$2,$A201)</f>
        <v>697.128114746552</v>
      </c>
      <c r="T201" s="0" t="n">
        <f aca="false">W_PH(T$2,$A201)</f>
        <v>697.124938410389</v>
      </c>
      <c r="U201" s="0" t="n">
        <f aca="false">W_PH(U$2,$A201)</f>
        <v>697.121764941167</v>
      </c>
      <c r="V201" s="0" t="n">
        <f aca="false">W_PH(V$2,$A201)</f>
        <v>697.118594339282</v>
      </c>
      <c r="W201" s="0" t="n">
        <f aca="false">W_PH(W$2,$A201)</f>
        <v>697.115426605129</v>
      </c>
      <c r="X201" s="0" t="n">
        <f aca="false">W_PH(X$2,$A201)</f>
        <v>697.112261739104</v>
      </c>
      <c r="Y201" s="0" t="n">
        <f aca="false">W_PH(Y$2,$A201)</f>
        <v>697.080770913986</v>
      </c>
      <c r="Z201" s="0" t="n">
        <f aca="false">W_PH(Z$2,$A201)</f>
        <v>697.049567345587</v>
      </c>
      <c r="AA201" s="0" t="n">
        <f aca="false">W_PH(AA$2,$A201)</f>
        <v>697.018651446261</v>
      </c>
      <c r="AB201" s="0" t="n">
        <f aca="false">W_PH(AB$2,$A201)</f>
        <v>696.988023636752</v>
      </c>
      <c r="AC201" s="0" t="n">
        <f aca="false">W_PH(AC$2,$A201)</f>
        <v>696.957684345471</v>
      </c>
      <c r="AD201" s="0" t="n">
        <f aca="false">W_PH(AD$2,$A201)</f>
        <v>696.927634007778</v>
      </c>
      <c r="AE201" s="0" t="n">
        <f aca="false">W_PH(AE$2,$A201)</f>
        <v>696.897873065292</v>
      </c>
      <c r="AF201" s="0" t="n">
        <f aca="false">W_PH(AF$2,$A201)</f>
        <v>696.868401965215</v>
      </c>
      <c r="AG201" s="0" t="n">
        <f aca="false">W_PH(AG$2,$A201)</f>
        <v>696.839221159669</v>
      </c>
      <c r="AH201" s="0" t="n">
        <f aca="false">W_PH(AH$2,$A201)</f>
        <v>696.563481054269</v>
      </c>
      <c r="AI201" s="0" t="n">
        <f aca="false">W_PH(AI$2,$A201)</f>
        <v>696.317281611296</v>
      </c>
      <c r="AJ201" s="0" t="n">
        <f aca="false">W_PH(AJ$2,$A201)</f>
        <v>696.103398937074</v>
      </c>
      <c r="AK201" s="0" t="n">
        <f aca="false">W_PH(AK$2,$A201)</f>
        <v>695.91678435333</v>
      </c>
      <c r="AL201" s="0" t="n">
        <f aca="false">W_PH(AL$2,$A201)</f>
        <v>695.765736462671</v>
      </c>
      <c r="AM201" s="0" t="n">
        <f aca="false">W_PH(AM$2,$A201)</f>
        <v>695.651244715649</v>
      </c>
      <c r="AN201" s="0" t="n">
        <f aca="false">W_PH(AN$2,$A201)</f>
        <v>695.574183254868</v>
      </c>
      <c r="AO201" s="0" t="n">
        <f aca="false">W_PH(AO$2,$A201)</f>
        <v>695.535299880036</v>
      </c>
      <c r="AP201" s="0" t="n">
        <f aca="false">W_PH(AP$2,$A201)</f>
        <v>695.535209877345</v>
      </c>
      <c r="AQ201" s="0" t="n">
        <f aca="false">W_PH(AQ$2,$A201)</f>
        <v>697.711586397912</v>
      </c>
      <c r="AR201" s="0" t="n">
        <f aca="false">W_PH(AR$2,$A201)</f>
        <v>698.643496155761</v>
      </c>
      <c r="AS201" s="0" t="n">
        <f aca="false">W_PH(AS$2,$A201)</f>
        <v>699.117661357889</v>
      </c>
    </row>
    <row r="202" customFormat="false" ht="13.8" hidden="false" customHeight="false" outlineLevel="0" collapsed="false">
      <c r="A202" s="0" t="n">
        <v>3620</v>
      </c>
      <c r="B202" s="0" t="n">
        <f aca="false">W_PH(B$2,$A202)</f>
        <v>698.937191301712</v>
      </c>
      <c r="C202" s="0" t="n">
        <f aca="false">W_PH(C$2,$A202)</f>
        <v>698.937160650347</v>
      </c>
      <c r="D202" s="0" t="n">
        <f aca="false">W_PH(D$2,$A202)</f>
        <v>698.937129999262</v>
      </c>
      <c r="E202" s="0" t="n">
        <f aca="false">W_PH(E$2,$A202)</f>
        <v>698.937099348458</v>
      </c>
      <c r="F202" s="0" t="n">
        <f aca="false">W_PH(F$2,$A202)</f>
        <v>698.937068697935</v>
      </c>
      <c r="G202" s="0" t="n">
        <f aca="false">W_PH(G$2,$A202)</f>
        <v>698.936762208139</v>
      </c>
      <c r="H202" s="0" t="n">
        <f aca="false">W_PH(H$2,$A202)</f>
        <v>698.936455746414</v>
      </c>
      <c r="I202" s="0" t="n">
        <f aca="false">W_PH(I$2,$A202)</f>
        <v>698.93614931276</v>
      </c>
      <c r="J202" s="0" t="n">
        <f aca="false">W_PH(J$2,$A202)</f>
        <v>698.935842907177</v>
      </c>
      <c r="K202" s="0" t="n">
        <f aca="false">W_PH(K$2,$A202)</f>
        <v>698.935536529666</v>
      </c>
      <c r="L202" s="0" t="n">
        <f aca="false">W_PH(L$2,$A202)</f>
        <v>698.935230180227</v>
      </c>
      <c r="M202" s="0" t="n">
        <f aca="false">W_PH(M$2,$A202)</f>
        <v>698.934923858861</v>
      </c>
      <c r="N202" s="0" t="n">
        <f aca="false">W_PH(N$2,$A202)</f>
        <v>698.934617565568</v>
      </c>
      <c r="O202" s="0" t="n">
        <f aca="false">W_PH(O$2,$A202)</f>
        <v>698.934311300349</v>
      </c>
      <c r="P202" s="0" t="n">
        <f aca="false">W_PH(P$2,$A202)</f>
        <v>698.931250192321</v>
      </c>
      <c r="Q202" s="0" t="n">
        <f aca="false">W_PH(Q$2,$A202)</f>
        <v>698.928191892197</v>
      </c>
      <c r="R202" s="0" t="n">
        <f aca="false">W_PH(R$2,$A202)</f>
        <v>698.92513640046</v>
      </c>
      <c r="S202" s="0" t="n">
        <f aca="false">W_PH(S$2,$A202)</f>
        <v>698.922083717591</v>
      </c>
      <c r="T202" s="0" t="n">
        <f aca="false">W_PH(T$2,$A202)</f>
        <v>698.919033844074</v>
      </c>
      <c r="U202" s="0" t="n">
        <f aca="false">W_PH(U$2,$A202)</f>
        <v>698.915986780395</v>
      </c>
      <c r="V202" s="0" t="n">
        <f aca="false">W_PH(V$2,$A202)</f>
        <v>698.912942527037</v>
      </c>
      <c r="W202" s="0" t="n">
        <f aca="false">W_PH(W$2,$A202)</f>
        <v>698.909901084486</v>
      </c>
      <c r="X202" s="0" t="n">
        <f aca="false">W_PH(X$2,$A202)</f>
        <v>698.906862453229</v>
      </c>
      <c r="Y202" s="0" t="n">
        <f aca="false">W_PH(Y$2,$A202)</f>
        <v>698.876630869404</v>
      </c>
      <c r="Z202" s="0" t="n">
        <f aca="false">W_PH(Z$2,$A202)</f>
        <v>698.846680955559</v>
      </c>
      <c r="AA202" s="0" t="n">
        <f aca="false">W_PH(AA$2,$A202)</f>
        <v>698.817013209687</v>
      </c>
      <c r="AB202" s="0" t="n">
        <f aca="false">W_PH(AB$2,$A202)</f>
        <v>698.787628135857</v>
      </c>
      <c r="AC202" s="0" t="n">
        <f aca="false">W_PH(AC$2,$A202)</f>
        <v>698.758526243552</v>
      </c>
      <c r="AD202" s="0" t="n">
        <f aca="false">W_PH(AD$2,$A202)</f>
        <v>698.729708047023</v>
      </c>
      <c r="AE202" s="0" t="n">
        <f aca="false">W_PH(AE$2,$A202)</f>
        <v>698.70117406466</v>
      </c>
      <c r="AF202" s="0" t="n">
        <f aca="false">W_PH(AF$2,$A202)</f>
        <v>698.672924818379</v>
      </c>
      <c r="AG202" s="0" t="n">
        <f aca="false">W_PH(AG$2,$A202)</f>
        <v>698.64496083302</v>
      </c>
      <c r="AH202" s="0" t="n">
        <f aca="false">W_PH(AH$2,$A202)</f>
        <v>698.38112676642</v>
      </c>
      <c r="AI202" s="0" t="n">
        <f aca="false">W_PH(AI$2,$A202)</f>
        <v>698.146397282084</v>
      </c>
      <c r="AJ202" s="0" t="n">
        <f aca="false">W_PH(AJ$2,$A202)</f>
        <v>697.943574012554</v>
      </c>
      <c r="AK202" s="0" t="n">
        <f aca="false">W_PH(AK$2,$A202)</f>
        <v>697.767654177687</v>
      </c>
      <c r="AL202" s="0" t="n">
        <f aca="false">W_PH(AL$2,$A202)</f>
        <v>697.626798672313</v>
      </c>
      <c r="AM202" s="0" t="n">
        <f aca="false">W_PH(AM$2,$A202)</f>
        <v>697.521977055107</v>
      </c>
      <c r="AN202" s="0" t="n">
        <f aca="false">W_PH(AN$2,$A202)</f>
        <v>697.454041403294</v>
      </c>
      <c r="AO202" s="0" t="n">
        <f aca="false">W_PH(AO$2,$A202)</f>
        <v>697.423716864372</v>
      </c>
      <c r="AP202" s="0" t="n">
        <f aca="false">W_PH(AP$2,$A202)</f>
        <v>697.431596692492</v>
      </c>
      <c r="AQ202" s="0" t="n">
        <f aca="false">W_PH(AQ$2,$A202)</f>
        <v>699.652088292153</v>
      </c>
      <c r="AR202" s="0" t="n">
        <f aca="false">W_PH(AR$2,$A202)</f>
        <v>700.584831246499</v>
      </c>
      <c r="AS202" s="0" t="n">
        <f aca="false">W_PH(AS$2,$A202)</f>
        <v>701.058480011213</v>
      </c>
    </row>
    <row r="203" customFormat="false" ht="13.8" hidden="false" customHeight="false" outlineLevel="0" collapsed="false">
      <c r="A203" s="0" t="n">
        <v>3630</v>
      </c>
      <c r="B203" s="0" t="n">
        <f aca="false">W_PH(B$2,$A203)</f>
        <v>700.722142834137</v>
      </c>
      <c r="C203" s="0" t="n">
        <f aca="false">W_PH(C$2,$A203)</f>
        <v>700.722113427491</v>
      </c>
      <c r="D203" s="0" t="n">
        <f aca="false">W_PH(D$2,$A203)</f>
        <v>700.72208402112</v>
      </c>
      <c r="E203" s="0" t="n">
        <f aca="false">W_PH(E$2,$A203)</f>
        <v>700.722054615024</v>
      </c>
      <c r="F203" s="0" t="n">
        <f aca="false">W_PH(F$2,$A203)</f>
        <v>700.722025209203</v>
      </c>
      <c r="G203" s="0" t="n">
        <f aca="false">W_PH(G$2,$A203)</f>
        <v>700.721731166137</v>
      </c>
      <c r="H203" s="0" t="n">
        <f aca="false">W_PH(H$2,$A203)</f>
        <v>700.721437150601</v>
      </c>
      <c r="I203" s="0" t="n">
        <f aca="false">W_PH(I$2,$A203)</f>
        <v>700.721143162596</v>
      </c>
      <c r="J203" s="0" t="n">
        <f aca="false">W_PH(J$2,$A203)</f>
        <v>700.720849202123</v>
      </c>
      <c r="K203" s="0" t="n">
        <f aca="false">W_PH(K$2,$A203)</f>
        <v>700.720555269182</v>
      </c>
      <c r="L203" s="0" t="n">
        <f aca="false">W_PH(L$2,$A203)</f>
        <v>700.720261363773</v>
      </c>
      <c r="M203" s="0" t="n">
        <f aca="false">W_PH(M$2,$A203)</f>
        <v>700.719967485898</v>
      </c>
      <c r="N203" s="0" t="n">
        <f aca="false">W_PH(N$2,$A203)</f>
        <v>700.719673635556</v>
      </c>
      <c r="O203" s="0" t="n">
        <f aca="false">W_PH(O$2,$A203)</f>
        <v>700.719379812748</v>
      </c>
      <c r="P203" s="0" t="n">
        <f aca="false">W_PH(P$2,$A203)</f>
        <v>700.716443099182</v>
      </c>
      <c r="Q203" s="0" t="n">
        <f aca="false">W_PH(Q$2,$A203)</f>
        <v>700.713509139664</v>
      </c>
      <c r="R203" s="0" t="n">
        <f aca="false">W_PH(R$2,$A203)</f>
        <v>700.710577934758</v>
      </c>
      <c r="S203" s="0" t="n">
        <f aca="false">W_PH(S$2,$A203)</f>
        <v>700.707649485029</v>
      </c>
      <c r="T203" s="0" t="n">
        <f aca="false">W_PH(T$2,$A203)</f>
        <v>700.704723791042</v>
      </c>
      <c r="U203" s="0" t="n">
        <f aca="false">W_PH(U$2,$A203)</f>
        <v>700.701800853364</v>
      </c>
      <c r="V203" s="0" t="n">
        <f aca="false">W_PH(V$2,$A203)</f>
        <v>700.69888067256</v>
      </c>
      <c r="W203" s="0" t="n">
        <f aca="false">W_PH(W$2,$A203)</f>
        <v>700.695963249197</v>
      </c>
      <c r="X203" s="0" t="n">
        <f aca="false">W_PH(X$2,$A203)</f>
        <v>700.693048583844</v>
      </c>
      <c r="Y203" s="0" t="n">
        <f aca="false">W_PH(Y$2,$A203)</f>
        <v>700.664053746029</v>
      </c>
      <c r="Z203" s="0" t="n">
        <f aca="false">W_PH(Z$2,$A203)</f>
        <v>700.63533533708</v>
      </c>
      <c r="AA203" s="0" t="n">
        <f aca="false">W_PH(AA$2,$A203)</f>
        <v>700.606893932294</v>
      </c>
      <c r="AB203" s="0" t="n">
        <f aca="false">W_PH(AB$2,$A203)</f>
        <v>700.578730110916</v>
      </c>
      <c r="AC203" s="0" t="n">
        <f aca="false">W_PH(AC$2,$A203)</f>
        <v>700.550844455545</v>
      </c>
      <c r="AD203" s="0" t="n">
        <f aca="false">W_PH(AD$2,$A203)</f>
        <v>700.523237551545</v>
      </c>
      <c r="AE203" s="0" t="n">
        <f aca="false">W_PH(AE$2,$A203)</f>
        <v>700.495909986475</v>
      </c>
      <c r="AF203" s="0" t="n">
        <f aca="false">W_PH(AF$2,$A203)</f>
        <v>700.468862349534</v>
      </c>
      <c r="AG203" s="0" t="n">
        <f aca="false">W_PH(AG$2,$A203)</f>
        <v>700.442095231019</v>
      </c>
      <c r="AH203" s="0" t="n">
        <f aca="false">W_PH(AH$2,$A203)</f>
        <v>700.189982194849</v>
      </c>
      <c r="AI203" s="0" t="n">
        <f aca="false">W_PH(AI$2,$A203)</f>
        <v>699.966559876589</v>
      </c>
      <c r="AJ203" s="0" t="n">
        <f aca="false">W_PH(AJ$2,$A203)</f>
        <v>699.774657815767</v>
      </c>
      <c r="AK203" s="0" t="n">
        <f aca="false">W_PH(AK$2,$A203)</f>
        <v>699.609310598109</v>
      </c>
      <c r="AL203" s="0" t="n">
        <f aca="false">W_PH(AL$2,$A203)</f>
        <v>699.478538034905</v>
      </c>
      <c r="AM203" s="0" t="n">
        <f aca="false">W_PH(AM$2,$A203)</f>
        <v>699.383289195146</v>
      </c>
      <c r="AN203" s="0" t="n">
        <f aca="false">W_PH(AN$2,$A203)</f>
        <v>699.324393819944</v>
      </c>
      <c r="AO203" s="0" t="n">
        <f aca="false">W_PH(AO$2,$A203)</f>
        <v>699.302554359026</v>
      </c>
      <c r="AP203" s="0" t="n">
        <f aca="false">W_PH(AP$2,$A203)</f>
        <v>699.318342137382</v>
      </c>
      <c r="AQ203" s="0" t="n">
        <f aca="false">W_PH(AQ$2,$A203)</f>
        <v>701.583030182092</v>
      </c>
      <c r="AR203" s="0" t="n">
        <f aca="false">W_PH(AR$2,$A203)</f>
        <v>702.516788104497</v>
      </c>
      <c r="AS203" s="0" t="n">
        <f aca="false">W_PH(AS$2,$A203)</f>
        <v>702.990021053604</v>
      </c>
    </row>
    <row r="204" customFormat="false" ht="13.8" hidden="false" customHeight="false" outlineLevel="0" collapsed="false">
      <c r="A204" s="0" t="n">
        <v>3640</v>
      </c>
      <c r="B204" s="0" t="n">
        <f aca="false">W_PH(B$2,$A204)</f>
        <v>702.498792594189</v>
      </c>
      <c r="C204" s="0" t="n">
        <f aca="false">W_PH(C$2,$A204)</f>
        <v>702.498764409964</v>
      </c>
      <c r="D204" s="0" t="n">
        <f aca="false">W_PH(D$2,$A204)</f>
        <v>702.49873622601</v>
      </c>
      <c r="E204" s="0" t="n">
        <f aca="false">W_PH(E$2,$A204)</f>
        <v>702.498708042326</v>
      </c>
      <c r="F204" s="0" t="n">
        <f aca="false">W_PH(F$2,$A204)</f>
        <v>702.498679858912</v>
      </c>
      <c r="G204" s="0" t="n">
        <f aca="false">W_PH(G$2,$A204)</f>
        <v>702.498398039637</v>
      </c>
      <c r="H204" s="0" t="n">
        <f aca="false">W_PH(H$2,$A204)</f>
        <v>702.498116247388</v>
      </c>
      <c r="I204" s="0" t="n">
        <f aca="false">W_PH(I$2,$A204)</f>
        <v>702.497834482163</v>
      </c>
      <c r="J204" s="0" t="n">
        <f aca="false">W_PH(J$2,$A204)</f>
        <v>702.497552743965</v>
      </c>
      <c r="K204" s="0" t="n">
        <f aca="false">W_PH(K$2,$A204)</f>
        <v>702.497271032795</v>
      </c>
      <c r="L204" s="0" t="n">
        <f aca="false">W_PH(L$2,$A204)</f>
        <v>702.496989348651</v>
      </c>
      <c r="M204" s="0" t="n">
        <f aca="false">W_PH(M$2,$A204)</f>
        <v>702.496707691536</v>
      </c>
      <c r="N204" s="0" t="n">
        <f aca="false">W_PH(N$2,$A204)</f>
        <v>702.49642606145</v>
      </c>
      <c r="O204" s="0" t="n">
        <f aca="false">W_PH(O$2,$A204)</f>
        <v>702.496144458393</v>
      </c>
      <c r="P204" s="0" t="n">
        <f aca="false">W_PH(P$2,$A204)</f>
        <v>702.493329914585</v>
      </c>
      <c r="Q204" s="0" t="n">
        <f aca="false">W_PH(Q$2,$A204)</f>
        <v>702.490518074427</v>
      </c>
      <c r="R204" s="0" t="n">
        <f aca="false">W_PH(R$2,$A204)</f>
        <v>702.487708938555</v>
      </c>
      <c r="S204" s="0" t="n">
        <f aca="false">W_PH(S$2,$A204)</f>
        <v>702.484902507608</v>
      </c>
      <c r="T204" s="0" t="n">
        <f aca="false">W_PH(T$2,$A204)</f>
        <v>702.482098782226</v>
      </c>
      <c r="U204" s="0" t="n">
        <f aca="false">W_PH(U$2,$A204)</f>
        <v>702.479297763047</v>
      </c>
      <c r="V204" s="0" t="n">
        <f aca="false">W_PH(V$2,$A204)</f>
        <v>702.476499450711</v>
      </c>
      <c r="W204" s="0" t="n">
        <f aca="false">W_PH(W$2,$A204)</f>
        <v>702.473703845859</v>
      </c>
      <c r="X204" s="0" t="n">
        <f aca="false">W_PH(X$2,$A204)</f>
        <v>702.47091094913</v>
      </c>
      <c r="Y204" s="0" t="n">
        <f aca="false">W_PH(Y$2,$A204)</f>
        <v>702.443131069693</v>
      </c>
      <c r="Z204" s="0" t="n">
        <f aca="false">W_PH(Z$2,$A204)</f>
        <v>702.415622709045</v>
      </c>
      <c r="AA204" s="0" t="n">
        <f aca="false">W_PH(AA$2,$A204)</f>
        <v>702.388386511893</v>
      </c>
      <c r="AB204" s="0" t="n">
        <f aca="false">W_PH(AB$2,$A204)</f>
        <v>702.361423124947</v>
      </c>
      <c r="AC204" s="0" t="n">
        <f aca="false">W_PH(AC$2,$A204)</f>
        <v>702.334733196382</v>
      </c>
      <c r="AD204" s="0" t="n">
        <f aca="false">W_PH(AD$2,$A204)</f>
        <v>702.308317375303</v>
      </c>
      <c r="AE204" s="0" t="n">
        <f aca="false">W_PH(AE$2,$A204)</f>
        <v>702.282176311235</v>
      </c>
      <c r="AF204" s="0" t="n">
        <f aca="false">W_PH(AF$2,$A204)</f>
        <v>702.256310653616</v>
      </c>
      <c r="AG204" s="0" t="n">
        <f aca="false">W_PH(AG$2,$A204)</f>
        <v>702.230721051313</v>
      </c>
      <c r="AH204" s="0" t="n">
        <f aca="false">W_PH(AH$2,$A204)</f>
        <v>701.990149494642</v>
      </c>
      <c r="AI204" s="0" t="n">
        <f aca="false">W_PH(AI$2,$A204)</f>
        <v>701.777876176871</v>
      </c>
      <c r="AJ204" s="0" t="n">
        <f aca="false">W_PH(AJ$2,$A204)</f>
        <v>701.596761413456</v>
      </c>
      <c r="AK204" s="0" t="n">
        <f aca="false">W_PH(AK$2,$A204)</f>
        <v>701.441866855987</v>
      </c>
      <c r="AL204" s="0" t="n">
        <f aca="false">W_PH(AL$2,$A204)</f>
        <v>701.321069464289</v>
      </c>
      <c r="AM204" s="0" t="n">
        <f aca="false">W_PH(AM$2,$A204)</f>
        <v>701.235297251239</v>
      </c>
      <c r="AN204" s="0" t="n">
        <f aca="false">W_PH(AN$2,$A204)</f>
        <v>701.185357373766</v>
      </c>
      <c r="AO204" s="0" t="n">
        <f aca="false">W_PH(AO$2,$A204)</f>
        <v>701.171929556265</v>
      </c>
      <c r="AP204" s="0" t="n">
        <f aca="false">W_PH(AP$2,$A204)</f>
        <v>701.195563313294</v>
      </c>
      <c r="AQ204" s="0" t="n">
        <f aca="false">W_PH(AQ$2,$A204)</f>
        <v>703.504508915634</v>
      </c>
      <c r="AR204" s="0" t="n">
        <f aca="false">W_PH(AR$2,$A204)</f>
        <v>704.439455856199</v>
      </c>
      <c r="AS204" s="0" t="n">
        <f aca="false">W_PH(AS$2,$A204)</f>
        <v>704.9123697894</v>
      </c>
    </row>
    <row r="205" customFormat="false" ht="13.8" hidden="false" customHeight="false" outlineLevel="0" collapsed="false">
      <c r="A205" s="0" t="n">
        <v>3650</v>
      </c>
      <c r="B205" s="0" t="n">
        <f aca="false">W_PH(B$2,$A205)</f>
        <v>704.26722941861</v>
      </c>
      <c r="C205" s="0" t="n">
        <f aca="false">W_PH(C$2,$A205)</f>
        <v>704.267202435221</v>
      </c>
      <c r="D205" s="0" t="n">
        <f aca="false">W_PH(D$2,$A205)</f>
        <v>704.267175452097</v>
      </c>
      <c r="E205" s="0" t="n">
        <f aca="false">W_PH(E$2,$A205)</f>
        <v>704.267148469238</v>
      </c>
      <c r="F205" s="0" t="n">
        <f aca="false">W_PH(F$2,$A205)</f>
        <v>704.267121486645</v>
      </c>
      <c r="G205" s="0" t="n">
        <f aca="false">W_PH(G$2,$A205)</f>
        <v>704.266851675319</v>
      </c>
      <c r="H205" s="0" t="n">
        <f aca="false">W_PH(H$2,$A205)</f>
        <v>704.266581890545</v>
      </c>
      <c r="I205" s="0" t="n">
        <f aca="false">W_PH(I$2,$A205)</f>
        <v>704.266312132325</v>
      </c>
      <c r="J205" s="0" t="n">
        <f aca="false">W_PH(J$2,$A205)</f>
        <v>704.26604240066</v>
      </c>
      <c r="K205" s="0" t="n">
        <f aca="false">W_PH(K$2,$A205)</f>
        <v>704.265772695548</v>
      </c>
      <c r="L205" s="0" t="n">
        <f aca="false">W_PH(L$2,$A205)</f>
        <v>704.265503016993</v>
      </c>
      <c r="M205" s="0" t="n">
        <f aca="false">W_PH(M$2,$A205)</f>
        <v>704.265233364995</v>
      </c>
      <c r="N205" s="0" t="n">
        <f aca="false">W_PH(N$2,$A205)</f>
        <v>704.264963739553</v>
      </c>
      <c r="O205" s="0" t="n">
        <f aca="false">W_PH(O$2,$A205)</f>
        <v>704.264694140669</v>
      </c>
      <c r="P205" s="0" t="n">
        <f aca="false">W_PH(P$2,$A205)</f>
        <v>704.261999612665</v>
      </c>
      <c r="Q205" s="0" t="n">
        <f aca="false">W_PH(Q$2,$A205)</f>
        <v>704.259307741217</v>
      </c>
      <c r="R205" s="0" t="n">
        <f aca="false">W_PH(R$2,$A205)</f>
        <v>704.256618527028</v>
      </c>
      <c r="S205" s="0" t="n">
        <f aca="false">W_PH(S$2,$A205)</f>
        <v>704.253931970803</v>
      </c>
      <c r="T205" s="0" t="n">
        <f aca="false">W_PH(T$2,$A205)</f>
        <v>704.251248073246</v>
      </c>
      <c r="U205" s="0" t="n">
        <f aca="false">W_PH(U$2,$A205)</f>
        <v>704.248566835064</v>
      </c>
      <c r="V205" s="0" t="n">
        <f aca="false">W_PH(V$2,$A205)</f>
        <v>704.245888256959</v>
      </c>
      <c r="W205" s="0" t="n">
        <f aca="false">W_PH(W$2,$A205)</f>
        <v>704.243212339639</v>
      </c>
      <c r="X205" s="0" t="n">
        <f aca="false">W_PH(X$2,$A205)</f>
        <v>704.240539083807</v>
      </c>
      <c r="Y205" s="0" t="n">
        <f aca="false">W_PH(Y$2,$A205)</f>
        <v>704.213953062613</v>
      </c>
      <c r="Z205" s="0" t="n">
        <f aca="false">W_PH(Z$2,$A205)</f>
        <v>704.187633966866</v>
      </c>
      <c r="AA205" s="0" t="n">
        <f aca="false">W_PH(AA$2,$A205)</f>
        <v>704.161582503217</v>
      </c>
      <c r="AB205" s="0" t="n">
        <f aca="false">W_PH(AB$2,$A205)</f>
        <v>704.135799378541</v>
      </c>
      <c r="AC205" s="0" t="n">
        <f aca="false">W_PH(AC$2,$A205)</f>
        <v>704.110285299451</v>
      </c>
      <c r="AD205" s="0" t="n">
        <f aca="false">W_PH(AD$2,$A205)</f>
        <v>704.085040971818</v>
      </c>
      <c r="AE205" s="0" t="n">
        <f aca="false">W_PH(AE$2,$A205)</f>
        <v>704.060067100308</v>
      </c>
      <c r="AF205" s="0" t="n">
        <f aca="false">W_PH(AF$2,$A205)</f>
        <v>704.035364387927</v>
      </c>
      <c r="AG205" s="0" t="n">
        <f aca="false">W_PH(AG$2,$A205)</f>
        <v>704.010933535585</v>
      </c>
      <c r="AH205" s="0" t="n">
        <f aca="false">W_PH(AH$2,$A205)</f>
        <v>703.781729188833</v>
      </c>
      <c r="AI205" s="0" t="n">
        <f aca="false">W_PH(AI$2,$A205)</f>
        <v>703.580451164659</v>
      </c>
      <c r="AJ205" s="0" t="n">
        <f aca="false">W_PH(AJ$2,$A205)</f>
        <v>703.409993785966</v>
      </c>
      <c r="AK205" s="0" t="n">
        <f aca="false">W_PH(AK$2,$A205)</f>
        <v>703.265434039469</v>
      </c>
      <c r="AL205" s="0" t="n">
        <f aca="false">W_PH(AL$2,$A205)</f>
        <v>703.154505680468</v>
      </c>
      <c r="AM205" s="0" t="n">
        <f aca="false">W_PH(AM$2,$A205)</f>
        <v>703.07811513102</v>
      </c>
      <c r="AN205" s="0" t="n">
        <f aca="false">W_PH(AN$2,$A205)</f>
        <v>703.037046737988</v>
      </c>
      <c r="AO205" s="0" t="n">
        <f aca="false">W_PH(AO$2,$A205)</f>
        <v>703.031957489578</v>
      </c>
      <c r="AP205" s="0" t="n">
        <f aca="false">W_PH(AP$2,$A205)</f>
        <v>703.063375222451</v>
      </c>
      <c r="AQ205" s="0" t="n">
        <f aca="false">W_PH(AQ$2,$A205)</f>
        <v>705.416620323075</v>
      </c>
      <c r="AR205" s="0" t="n">
        <f aca="false">W_PH(AR$2,$A205)</f>
        <v>706.352922733216</v>
      </c>
      <c r="AS205" s="0" t="n">
        <f aca="false">W_PH(AS$2,$A205)</f>
        <v>706.825610652171</v>
      </c>
    </row>
    <row r="206" customFormat="false" ht="13.8" hidden="false" customHeight="false" outlineLevel="0" collapsed="false">
      <c r="A206" s="0" t="n">
        <v>3660</v>
      </c>
      <c r="B206" s="0" t="n">
        <f aca="false">W_PH(B$2,$A206)</f>
        <v>706.02754089484</v>
      </c>
      <c r="C206" s="0" t="n">
        <f aca="false">W_PH(C$2,$A206)</f>
        <v>706.027515091388</v>
      </c>
      <c r="D206" s="0" t="n">
        <f aca="false">W_PH(D$2,$A206)</f>
        <v>706.027489288197</v>
      </c>
      <c r="E206" s="0" t="n">
        <f aca="false">W_PH(E$2,$A206)</f>
        <v>706.027463485267</v>
      </c>
      <c r="F206" s="0" t="n">
        <f aca="false">W_PH(F$2,$A206)</f>
        <v>706.027437682599</v>
      </c>
      <c r="G206" s="0" t="n">
        <f aca="false">W_PH(G$2,$A206)</f>
        <v>706.027179670275</v>
      </c>
      <c r="H206" s="0" t="n">
        <f aca="false">W_PH(H$2,$A206)</f>
        <v>706.026921684064</v>
      </c>
      <c r="I206" s="0" t="n">
        <f aca="false">W_PH(I$2,$A206)</f>
        <v>706.026663723966</v>
      </c>
      <c r="J206" s="0" t="n">
        <f aca="false">W_PH(J$2,$A206)</f>
        <v>706.026405789982</v>
      </c>
      <c r="K206" s="0" t="n">
        <f aca="false">W_PH(K$2,$A206)</f>
        <v>706.026147882113</v>
      </c>
      <c r="L206" s="0" t="n">
        <f aca="false">W_PH(L$2,$A206)</f>
        <v>706.025890000359</v>
      </c>
      <c r="M206" s="0" t="n">
        <f aca="false">W_PH(M$2,$A206)</f>
        <v>706.025632144722</v>
      </c>
      <c r="N206" s="0" t="n">
        <f aca="false">W_PH(N$2,$A206)</f>
        <v>706.025374315201</v>
      </c>
      <c r="O206" s="0" t="n">
        <f aca="false">W_PH(O$2,$A206)</f>
        <v>706.025116511798</v>
      </c>
      <c r="P206" s="0" t="n">
        <f aca="false">W_PH(P$2,$A206)</f>
        <v>706.022539914419</v>
      </c>
      <c r="Q206" s="0" t="n">
        <f aca="false">W_PH(Q$2,$A206)</f>
        <v>706.019965929659</v>
      </c>
      <c r="R206" s="0" t="n">
        <f aca="false">W_PH(R$2,$A206)</f>
        <v>706.017394558283</v>
      </c>
      <c r="S206" s="0" t="n">
        <f aca="false">W_PH(S$2,$A206)</f>
        <v>706.014825801052</v>
      </c>
      <c r="T206" s="0" t="n">
        <f aca="false">W_PH(T$2,$A206)</f>
        <v>706.01225965873</v>
      </c>
      <c r="U206" s="0" t="n">
        <f aca="false">W_PH(U$2,$A206)</f>
        <v>706.009696132081</v>
      </c>
      <c r="V206" s="0" t="n">
        <f aca="false">W_PH(V$2,$A206)</f>
        <v>706.007135221866</v>
      </c>
      <c r="W206" s="0" t="n">
        <f aca="false">W_PH(W$2,$A206)</f>
        <v>706.004576928849</v>
      </c>
      <c r="X206" s="0" t="n">
        <f aca="false">W_PH(X$2,$A206)</f>
        <v>706.002021253793</v>
      </c>
      <c r="Y206" s="0" t="n">
        <f aca="false">W_PH(Y$2,$A206)</f>
        <v>705.976608658883</v>
      </c>
      <c r="Z206" s="0" t="n">
        <f aca="false">W_PH(Z$2,$A206)</f>
        <v>705.951458698786</v>
      </c>
      <c r="AA206" s="0" t="n">
        <f aca="false">W_PH(AA$2,$A206)</f>
        <v>705.926572135037</v>
      </c>
      <c r="AB206" s="0" t="n">
        <f aca="false">W_PH(AB$2,$A206)</f>
        <v>705.901949727775</v>
      </c>
      <c r="AC206" s="0" t="n">
        <f aca="false">W_PH(AC$2,$A206)</f>
        <v>705.877592235303</v>
      </c>
      <c r="AD206" s="0" t="n">
        <f aca="false">W_PH(AD$2,$A206)</f>
        <v>705.853500413655</v>
      </c>
      <c r="AE206" s="0" t="n">
        <f aca="false">W_PH(AE$2,$A206)</f>
        <v>705.829675016182</v>
      </c>
      <c r="AF206" s="0" t="n">
        <f aca="false">W_PH(AF$2,$A206)</f>
        <v>705.806116793144</v>
      </c>
      <c r="AG206" s="0" t="n">
        <f aca="false">W_PH(AG$2,$A206)</f>
        <v>705.782826491314</v>
      </c>
      <c r="AH206" s="0" t="n">
        <f aca="false">W_PH(AH$2,$A206)</f>
        <v>705.564820197094</v>
      </c>
      <c r="AI206" s="0" t="n">
        <f aca="false">W_PH(AI$2,$A206)</f>
        <v>705.374388055705</v>
      </c>
      <c r="AJ206" s="0" t="n">
        <f aca="false">W_PH(AJ$2,$A206)</f>
        <v>705.214461862715</v>
      </c>
      <c r="AK206" s="0" t="n">
        <f aca="false">W_PH(AK$2,$A206)</f>
        <v>705.080121119635</v>
      </c>
      <c r="AL206" s="0" t="n">
        <f aca="false">W_PH(AL$2,$A206)</f>
        <v>704.978957244667</v>
      </c>
      <c r="AM206" s="0" t="n">
        <f aca="false">W_PH(AM$2,$A206)</f>
        <v>704.911854566352</v>
      </c>
      <c r="AN206" s="0" t="n">
        <f aca="false">W_PH(AN$2,$A206)</f>
        <v>704.879574417427</v>
      </c>
      <c r="AO206" s="0" t="n">
        <f aca="false">W_PH(AO$2,$A206)</f>
        <v>704.882751054667</v>
      </c>
      <c r="AP206" s="0" t="n">
        <f aca="false">W_PH(AP$2,$A206)</f>
        <v>704.921890781389</v>
      </c>
      <c r="AQ206" s="0" t="n">
        <f aca="false">W_PH(AQ$2,$A206)</f>
        <v>707.319459169991</v>
      </c>
      <c r="AR206" s="0" t="n">
        <f aca="false">W_PH(AR$2,$A206)</f>
        <v>708.25727603628</v>
      </c>
      <c r="AS206" s="0" t="n">
        <f aca="false">W_PH(AS$2,$A206)</f>
        <v>708.729827177855</v>
      </c>
    </row>
    <row r="207" customFormat="false" ht="13.8" hidden="false" customHeight="false" outlineLevel="0" collapsed="false">
      <c r="A207" s="0" t="n">
        <v>3670</v>
      </c>
      <c r="B207" s="0" t="n">
        <f aca="false">W_PH(B$2,$A207)</f>
        <v>707.779813374281</v>
      </c>
      <c r="C207" s="0" t="n">
        <f aca="false">W_PH(C$2,$A207)</f>
        <v>707.779788730541</v>
      </c>
      <c r="D207" s="0" t="n">
        <f aca="false">W_PH(D$2,$A207)</f>
        <v>707.779764087057</v>
      </c>
      <c r="E207" s="0" t="n">
        <f aca="false">W_PH(E$2,$A207)</f>
        <v>707.779739443831</v>
      </c>
      <c r="F207" s="0" t="n">
        <f aca="false">W_PH(F$2,$A207)</f>
        <v>707.779714800861</v>
      </c>
      <c r="G207" s="0" t="n">
        <f aca="false">W_PH(G$2,$A207)</f>
        <v>707.779468385303</v>
      </c>
      <c r="H207" s="0" t="n">
        <f aca="false">W_PH(H$2,$A207)</f>
        <v>707.779221995446</v>
      </c>
      <c r="I207" s="0" t="n">
        <f aca="false">W_PH(I$2,$A207)</f>
        <v>707.778975631293</v>
      </c>
      <c r="J207" s="0" t="n">
        <f aca="false">W_PH(J$2,$A207)</f>
        <v>707.778729292843</v>
      </c>
      <c r="K207" s="0" t="n">
        <f aca="false">W_PH(K$2,$A207)</f>
        <v>707.778482980098</v>
      </c>
      <c r="L207" s="0" t="n">
        <f aca="false">W_PH(L$2,$A207)</f>
        <v>707.778236693059</v>
      </c>
      <c r="M207" s="0" t="n">
        <f aca="false">W_PH(M$2,$A207)</f>
        <v>707.777990431727</v>
      </c>
      <c r="N207" s="0" t="n">
        <f aca="false">W_PH(N$2,$A207)</f>
        <v>707.777744196101</v>
      </c>
      <c r="O207" s="0" t="n">
        <f aca="false">W_PH(O$2,$A207)</f>
        <v>707.777497986183</v>
      </c>
      <c r="P207" s="0" t="n">
        <f aca="false">W_PH(P$2,$A207)</f>
        <v>707.775037301127</v>
      </c>
      <c r="Q207" s="0" t="n">
        <f aca="false">W_PH(Q$2,$A207)</f>
        <v>707.772579187769</v>
      </c>
      <c r="R207" s="0" t="n">
        <f aca="false">W_PH(R$2,$A207)</f>
        <v>707.770123646924</v>
      </c>
      <c r="S207" s="0" t="n">
        <f aca="false">W_PH(S$2,$A207)</f>
        <v>707.767670679405</v>
      </c>
      <c r="T207" s="0" t="n">
        <f aca="false">W_PH(T$2,$A207)</f>
        <v>707.765220286028</v>
      </c>
      <c r="U207" s="0" t="n">
        <f aca="false">W_PH(U$2,$A207)</f>
        <v>707.762772467606</v>
      </c>
      <c r="V207" s="0" t="n">
        <f aca="false">W_PH(V$2,$A207)</f>
        <v>707.760327224954</v>
      </c>
      <c r="W207" s="0" t="n">
        <f aca="false">W_PH(W$2,$A207)</f>
        <v>707.757884558887</v>
      </c>
      <c r="X207" s="0" t="n">
        <f aca="false">W_PH(X$2,$A207)</f>
        <v>707.755444470216</v>
      </c>
      <c r="Y207" s="0" t="n">
        <f aca="false">W_PH(Y$2,$A207)</f>
        <v>707.731185519212</v>
      </c>
      <c r="Z207" s="0" t="n">
        <f aca="false">W_PH(Z$2,$A207)</f>
        <v>707.707185201333</v>
      </c>
      <c r="AA207" s="0" t="n">
        <f aca="false">W_PH(AA$2,$A207)</f>
        <v>707.683444326332</v>
      </c>
      <c r="AB207" s="0" t="n">
        <f aca="false">W_PH(AB$2,$A207)</f>
        <v>707.659963701088</v>
      </c>
      <c r="AC207" s="0" t="n">
        <f aca="false">W_PH(AC$2,$A207)</f>
        <v>707.636744129214</v>
      </c>
      <c r="AD207" s="0" t="n">
        <f aca="false">W_PH(AD$2,$A207)</f>
        <v>707.613786410668</v>
      </c>
      <c r="AE207" s="0" t="n">
        <f aca="false">W_PH(AE$2,$A207)</f>
        <v>707.591091341384</v>
      </c>
      <c r="AF207" s="0" t="n">
        <f aca="false">W_PH(AF$2,$A207)</f>
        <v>707.568659712902</v>
      </c>
      <c r="AG207" s="0" t="n">
        <f aca="false">W_PH(AG$2,$A207)</f>
        <v>707.54649231202</v>
      </c>
      <c r="AH207" s="0" t="n">
        <f aca="false">W_PH(AH$2,$A207)</f>
        <v>707.339519862209</v>
      </c>
      <c r="AI207" s="0" t="n">
        <f aca="false">W_PH(AI$2,$A207)</f>
        <v>707.159788331572</v>
      </c>
      <c r="AJ207" s="0" t="n">
        <f aca="false">W_PH(AJ$2,$A207)</f>
        <v>707.010270557049</v>
      </c>
      <c r="AK207" s="0" t="n">
        <f aca="false">W_PH(AK$2,$A207)</f>
        <v>706.886034986108</v>
      </c>
      <c r="AL207" s="0" t="n">
        <f aca="false">W_PH(AL$2,$A207)</f>
        <v>706.794532594026</v>
      </c>
      <c r="AM207" s="0" t="n">
        <f aca="false">W_PH(AM$2,$A207)</f>
        <v>706.736625145399</v>
      </c>
      <c r="AN207" s="0" t="n">
        <f aca="false">W_PH(AN$2,$A207)</f>
        <v>706.713050776284</v>
      </c>
      <c r="AO207" s="0" t="n">
        <f aca="false">W_PH(AO$2,$A207)</f>
        <v>706.724421031476</v>
      </c>
      <c r="AP207" s="0" t="n">
        <f aca="false">W_PH(AP$2,$A207)</f>
        <v>706.771220836003</v>
      </c>
      <c r="AQ207" s="0" t="n">
        <f aca="false">W_PH(AQ$2,$A207)</f>
        <v>709.213119114941</v>
      </c>
      <c r="AR207" s="0" t="n">
        <f aca="false">W_PH(AR$2,$A207)</f>
        <v>710.152602103017</v>
      </c>
      <c r="AS207" s="0" t="n">
        <f aca="false">W_PH(AS$2,$A207)</f>
        <v>710.625101981102</v>
      </c>
    </row>
    <row r="208" customFormat="false" ht="13.8" hidden="false" customHeight="false" outlineLevel="0" collapsed="false">
      <c r="A208" s="0" t="n">
        <v>3680</v>
      </c>
      <c r="B208" s="0" t="n">
        <f aca="false">W_PH(B$2,$A208)</f>
        <v>709.52413198508</v>
      </c>
      <c r="C208" s="0" t="n">
        <f aca="false">W_PH(C$2,$A208)</f>
        <v>709.524108481477</v>
      </c>
      <c r="D208" s="0" t="n">
        <f aca="false">W_PH(D$2,$A208)</f>
        <v>709.524084978127</v>
      </c>
      <c r="E208" s="0" t="n">
        <f aca="false">W_PH(E$2,$A208)</f>
        <v>709.524061475031</v>
      </c>
      <c r="F208" s="0" t="n">
        <f aca="false">W_PH(F$2,$A208)</f>
        <v>709.524037972188</v>
      </c>
      <c r="G208" s="0" t="n">
        <f aca="false">W_PH(G$2,$A208)</f>
        <v>709.523802957679</v>
      </c>
      <c r="H208" s="0" t="n">
        <f aca="false">W_PH(H$2,$A208)</f>
        <v>709.523567968492</v>
      </c>
      <c r="I208" s="0" t="n">
        <f aca="false">W_PH(I$2,$A208)</f>
        <v>709.523333004627</v>
      </c>
      <c r="J208" s="0" t="n">
        <f aca="false">W_PH(J$2,$A208)</f>
        <v>709.523098066084</v>
      </c>
      <c r="K208" s="0" t="n">
        <f aca="false">W_PH(K$2,$A208)</f>
        <v>709.522863152865</v>
      </c>
      <c r="L208" s="0" t="n">
        <f aca="false">W_PH(L$2,$A208)</f>
        <v>709.52262826497</v>
      </c>
      <c r="M208" s="0" t="n">
        <f aca="false">W_PH(M$2,$A208)</f>
        <v>709.522393402401</v>
      </c>
      <c r="N208" s="0" t="n">
        <f aca="false">W_PH(N$2,$A208)</f>
        <v>709.522158565158</v>
      </c>
      <c r="O208" s="0" t="n">
        <f aca="false">W_PH(O$2,$A208)</f>
        <v>709.521923753241</v>
      </c>
      <c r="P208" s="0" t="n">
        <f aca="false">W_PH(P$2,$A208)</f>
        <v>709.519577027253</v>
      </c>
      <c r="Q208" s="0" t="n">
        <f aca="false">W_PH(Q$2,$A208)</f>
        <v>709.517232834912</v>
      </c>
      <c r="R208" s="0" t="n">
        <f aca="false">W_PH(R$2,$A208)</f>
        <v>709.514891177077</v>
      </c>
      <c r="S208" s="0" t="n">
        <f aca="false">W_PH(S$2,$A208)</f>
        <v>709.512552054608</v>
      </c>
      <c r="T208" s="0" t="n">
        <f aca="false">W_PH(T$2,$A208)</f>
        <v>709.510215468365</v>
      </c>
      <c r="U208" s="0" t="n">
        <f aca="false">W_PH(U$2,$A208)</f>
        <v>709.507881419205</v>
      </c>
      <c r="V208" s="0" t="n">
        <f aca="false">W_PH(V$2,$A208)</f>
        <v>709.505549907989</v>
      </c>
      <c r="W208" s="0" t="n">
        <f aca="false">W_PH(W$2,$A208)</f>
        <v>709.503220935573</v>
      </c>
      <c r="X208" s="0" t="n">
        <f aca="false">W_PH(X$2,$A208)</f>
        <v>709.500894502817</v>
      </c>
      <c r="Y208" s="0" t="n">
        <f aca="false">W_PH(Y$2,$A208)</f>
        <v>709.477770044967</v>
      </c>
      <c r="Z208" s="0" t="n">
        <f aca="false">W_PH(Z$2,$A208)</f>
        <v>709.454900493994</v>
      </c>
      <c r="AA208" s="0" t="n">
        <f aca="false">W_PH(AA$2,$A208)</f>
        <v>709.432286701573</v>
      </c>
      <c r="AB208" s="0" t="n">
        <f aca="false">W_PH(AB$2,$A208)</f>
        <v>709.409929515167</v>
      </c>
      <c r="AC208" s="0" t="n">
        <f aca="false">W_PH(AC$2,$A208)</f>
        <v>709.387829777677</v>
      </c>
      <c r="AD208" s="0" t="n">
        <f aca="false">W_PH(AD$2,$A208)</f>
        <v>709.365988327094</v>
      </c>
      <c r="AE208" s="0" t="n">
        <f aca="false">W_PH(AE$2,$A208)</f>
        <v>709.344405996165</v>
      </c>
      <c r="AF208" s="0" t="n">
        <f aca="false">W_PH(AF$2,$A208)</f>
        <v>709.323083612073</v>
      </c>
      <c r="AG208" s="0" t="n">
        <f aca="false">W_PH(AG$2,$A208)</f>
        <v>709.302021996115</v>
      </c>
      <c r="AH208" s="0" t="n">
        <f aca="false">W_PH(AH$2,$A208)</f>
        <v>709.105923974486</v>
      </c>
      <c r="AI208" s="0" t="n">
        <f aca="false">W_PH(AI$2,$A208)</f>
        <v>708.936751768993</v>
      </c>
      <c r="AJ208" s="0" t="n">
        <f aca="false">W_PH(AJ$2,$A208)</f>
        <v>708.797522800457</v>
      </c>
      <c r="AK208" s="0" t="n">
        <f aca="false">W_PH(AK$2,$A208)</f>
        <v>708.683280482094</v>
      </c>
      <c r="AL208" s="0" t="n">
        <f aca="false">W_PH(AL$2,$A208)</f>
        <v>708.601338075933</v>
      </c>
      <c r="AM208" s="0" t="n">
        <f aca="false">W_PH(AM$2,$A208)</f>
        <v>708.55253434465</v>
      </c>
      <c r="AN208" s="0" t="n">
        <f aca="false">W_PH(AN$2,$A208)</f>
        <v>708.537584066328</v>
      </c>
      <c r="AO208" s="0" t="n">
        <f aca="false">W_PH(AO$2,$A208)</f>
        <v>708.557076107143</v>
      </c>
      <c r="AP208" s="0" t="n">
        <f aca="false">W_PH(AP$2,$A208)</f>
        <v>708.611474178104</v>
      </c>
      <c r="AQ208" s="0" t="n">
        <f aca="false">W_PH(AQ$2,$A208)</f>
        <v>711.097692671399</v>
      </c>
      <c r="AR208" s="0" t="n">
        <f aca="false">W_PH(AR$2,$A208)</f>
        <v>712.038986278813</v>
      </c>
      <c r="AS208" s="0" t="n">
        <f aca="false">W_PH(AS$2,$A208)</f>
        <v>712.511516734003</v>
      </c>
    </row>
    <row r="209" customFormat="false" ht="13.8" hidden="false" customHeight="false" outlineLevel="0" collapsed="false">
      <c r="A209" s="0" t="n">
        <v>3690</v>
      </c>
      <c r="B209" s="0" t="n">
        <f aca="false">W_PH(B$2,$A209)</f>
        <v>711.260580644416</v>
      </c>
      <c r="C209" s="0" t="n">
        <f aca="false">W_PH(C$2,$A209)</f>
        <v>711.260558262011</v>
      </c>
      <c r="D209" s="0" t="n">
        <f aca="false">W_PH(D$2,$A209)</f>
        <v>711.260535879856</v>
      </c>
      <c r="E209" s="0" t="n">
        <f aca="false">W_PH(E$2,$A209)</f>
        <v>711.260513497951</v>
      </c>
      <c r="F209" s="0" t="n">
        <f aca="false">W_PH(F$2,$A209)</f>
        <v>711.260491116295</v>
      </c>
      <c r="G209" s="0" t="n">
        <f aca="false">W_PH(G$2,$A209)</f>
        <v>711.260267313469</v>
      </c>
      <c r="H209" s="0" t="n">
        <f aca="false">W_PH(H$2,$A209)</f>
        <v>711.26004353561</v>
      </c>
      <c r="I209" s="0" t="n">
        <f aca="false">W_PH(I$2,$A209)</f>
        <v>711.259819782719</v>
      </c>
      <c r="J209" s="0" t="n">
        <f aca="false">W_PH(J$2,$A209)</f>
        <v>711.259596054797</v>
      </c>
      <c r="K209" s="0" t="n">
        <f aca="false">W_PH(K$2,$A209)</f>
        <v>711.259372351844</v>
      </c>
      <c r="L209" s="0" t="n">
        <f aca="false">W_PH(L$2,$A209)</f>
        <v>711.259148673862</v>
      </c>
      <c r="M209" s="0" t="n">
        <f aca="false">W_PH(M$2,$A209)</f>
        <v>711.258925020852</v>
      </c>
      <c r="N209" s="0" t="n">
        <f aca="false">W_PH(N$2,$A209)</f>
        <v>711.258701392815</v>
      </c>
      <c r="O209" s="0" t="n">
        <f aca="false">W_PH(O$2,$A209)</f>
        <v>711.25847778975</v>
      </c>
      <c r="P209" s="0" t="n">
        <f aca="false">W_PH(P$2,$A209)</f>
        <v>711.256243132842</v>
      </c>
      <c r="Q209" s="0" t="n">
        <f aca="false">W_PH(Q$2,$A209)</f>
        <v>711.254010974261</v>
      </c>
      <c r="R209" s="0" t="n">
        <f aca="false">W_PH(R$2,$A209)</f>
        <v>711.251781314906</v>
      </c>
      <c r="S209" s="0" t="n">
        <f aca="false">W_PH(S$2,$A209)</f>
        <v>711.249554155676</v>
      </c>
      <c r="T209" s="0" t="n">
        <f aca="false">W_PH(T$2,$A209)</f>
        <v>711.247329497468</v>
      </c>
      <c r="U209" s="0" t="n">
        <f aca="false">W_PH(U$2,$A209)</f>
        <v>711.24510734118</v>
      </c>
      <c r="V209" s="0" t="n">
        <f aca="false">W_PH(V$2,$A209)</f>
        <v>711.242887687708</v>
      </c>
      <c r="W209" s="0" t="n">
        <f aca="false">W_PH(W$2,$A209)</f>
        <v>711.24067053795</v>
      </c>
      <c r="X209" s="0" t="n">
        <f aca="false">W_PH(X$2,$A209)</f>
        <v>711.2384558928</v>
      </c>
      <c r="Y209" s="0" t="n">
        <f aca="false">W_PH(Y$2,$A209)</f>
        <v>711.216447391562</v>
      </c>
      <c r="Z209" s="0" t="n">
        <f aca="false">W_PH(Z$2,$A209)</f>
        <v>711.194690333135</v>
      </c>
      <c r="AA209" s="0" t="n">
        <f aca="false">W_PH(AA$2,$A209)</f>
        <v>711.17318560518</v>
      </c>
      <c r="AB209" s="0" t="n">
        <f aca="false">W_PH(AB$2,$A209)</f>
        <v>711.15193408994</v>
      </c>
      <c r="AC209" s="0" t="n">
        <f aca="false">W_PH(AC$2,$A209)</f>
        <v>711.130936663918</v>
      </c>
      <c r="AD209" s="0" t="n">
        <f aca="false">W_PH(AD$2,$A209)</f>
        <v>711.110194197578</v>
      </c>
      <c r="AE209" s="0" t="n">
        <f aca="false">W_PH(AE$2,$A209)</f>
        <v>711.089707555043</v>
      </c>
      <c r="AF209" s="0" t="n">
        <f aca="false">W_PH(AF$2,$A209)</f>
        <v>711.069477593812</v>
      </c>
      <c r="AG209" s="0" t="n">
        <f aca="false">W_PH(AG$2,$A209)</f>
        <v>711.049505164473</v>
      </c>
      <c r="AH209" s="0" t="n">
        <f aca="false">W_PH(AH$2,$A209)</f>
        <v>710.864126794244</v>
      </c>
      <c r="AI209" s="0" t="n">
        <f aca="false">W_PH(AI$2,$A209)</f>
        <v>710.705376466922</v>
      </c>
      <c r="AJ209" s="0" t="n">
        <f aca="false">W_PH(AJ$2,$A209)</f>
        <v>710.576319576146</v>
      </c>
      <c r="AK209" s="0" t="n">
        <f aca="false">W_PH(AK$2,$A209)</f>
        <v>710.471960438842</v>
      </c>
      <c r="AL209" s="0" t="n">
        <f aca="false">W_PH(AL$2,$A209)</f>
        <v>710.399477981949</v>
      </c>
      <c r="AM209" s="0" t="n">
        <f aca="false">W_PH(AM$2,$A209)</f>
        <v>710.359687560846</v>
      </c>
      <c r="AN209" s="0" t="n">
        <f aca="false">W_PH(AN$2,$A209)</f>
        <v>710.353280455385</v>
      </c>
      <c r="AO209" s="0" t="n">
        <f aca="false">W_PH(AO$2,$A209)</f>
        <v>710.380822899754</v>
      </c>
      <c r="AP209" s="0" t="n">
        <f aca="false">W_PH(AP$2,$A209)</f>
        <v>710.442757563321</v>
      </c>
      <c r="AQ209" s="0" t="n">
        <f aca="false">W_PH(AQ$2,$A209)</f>
        <v>712.973271173396</v>
      </c>
      <c r="AR209" s="0" t="n">
        <f aca="false">W_PH(AR$2,$A209)</f>
        <v>713.916512890181</v>
      </c>
      <c r="AS209" s="0" t="n">
        <f aca="false">W_PH(AS$2,$A209)</f>
        <v>714.389152146538</v>
      </c>
    </row>
    <row r="210" customFormat="false" ht="13.8" hidden="false" customHeight="false" outlineLevel="0" collapsed="false">
      <c r="A210" s="0" t="n">
        <v>3700</v>
      </c>
      <c r="B210" s="0" t="n">
        <f aca="false">W_PH(B$2,$A210)</f>
        <v>712.989242070352</v>
      </c>
      <c r="C210" s="0" t="n">
        <f aca="false">W_PH(C$2,$A210)</f>
        <v>712.989220790824</v>
      </c>
      <c r="D210" s="0" t="n">
        <f aca="false">W_PH(D$2,$A210)</f>
        <v>712.989199511542</v>
      </c>
      <c r="E210" s="0" t="n">
        <f aca="false">W_PH(E$2,$A210)</f>
        <v>712.989178232506</v>
      </c>
      <c r="F210" s="0" t="n">
        <f aca="false">W_PH(F$2,$A210)</f>
        <v>712.989156953717</v>
      </c>
      <c r="G210" s="0" t="n">
        <f aca="false">W_PH(G$2,$A210)</f>
        <v>712.988944179377</v>
      </c>
      <c r="H210" s="0" t="n">
        <f aca="false">W_PH(H$2,$A210)</f>
        <v>712.988731429676</v>
      </c>
      <c r="I210" s="0" t="n">
        <f aca="false">W_PH(I$2,$A210)</f>
        <v>712.988518704615</v>
      </c>
      <c r="J210" s="0" t="n">
        <f aca="false">W_PH(J$2,$A210)</f>
        <v>712.988306004194</v>
      </c>
      <c r="K210" s="0" t="n">
        <f aca="false">W_PH(K$2,$A210)</f>
        <v>712.988093328416</v>
      </c>
      <c r="L210" s="0" t="n">
        <f aca="false">W_PH(L$2,$A210)</f>
        <v>712.987880677282</v>
      </c>
      <c r="M210" s="0" t="n">
        <f aca="false">W_PH(M$2,$A210)</f>
        <v>712.98766805079</v>
      </c>
      <c r="N210" s="0" t="n">
        <f aca="false">W_PH(N$2,$A210)</f>
        <v>712.987455448944</v>
      </c>
      <c r="O210" s="0" t="n">
        <f aca="false">W_PH(O$2,$A210)</f>
        <v>712.987242871744</v>
      </c>
      <c r="P210" s="0" t="n">
        <f aca="false">W_PH(P$2,$A210)</f>
        <v>712.985118455463</v>
      </c>
      <c r="Q210" s="0" t="n">
        <f aca="false">W_PH(Q$2,$A210)</f>
        <v>712.982996504787</v>
      </c>
      <c r="R210" s="0" t="n">
        <f aca="false">W_PH(R$2,$A210)</f>
        <v>712.980877020646</v>
      </c>
      <c r="S210" s="0" t="n">
        <f aca="false">W_PH(S$2,$A210)</f>
        <v>712.978760003972</v>
      </c>
      <c r="T210" s="0" t="n">
        <f aca="false">W_PH(T$2,$A210)</f>
        <v>712.976645455695</v>
      </c>
      <c r="U210" s="0" t="n">
        <f aca="false">W_PH(U$2,$A210)</f>
        <v>712.974533376745</v>
      </c>
      <c r="V210" s="0" t="n">
        <f aca="false">W_PH(V$2,$A210)</f>
        <v>712.972423768052</v>
      </c>
      <c r="W210" s="0" t="n">
        <f aca="false">W_PH(W$2,$A210)</f>
        <v>712.970316630545</v>
      </c>
      <c r="X210" s="0" t="n">
        <f aca="false">W_PH(X$2,$A210)</f>
        <v>712.968211965151</v>
      </c>
      <c r="Y210" s="0" t="n">
        <f aca="false">W_PH(Y$2,$A210)</f>
        <v>712.947301481241</v>
      </c>
      <c r="Z210" s="0" t="n">
        <f aca="false">W_PH(Z$2,$A210)</f>
        <v>712.926639225249</v>
      </c>
      <c r="AA210" s="0" t="n">
        <f aca="false">W_PH(AA$2,$A210)</f>
        <v>712.906226115229</v>
      </c>
      <c r="AB210" s="0" t="n">
        <f aca="false">W_PH(AB$2,$A210)</f>
        <v>712.886063062725</v>
      </c>
      <c r="AC210" s="0" t="n">
        <f aca="false">W_PH(AC$2,$A210)</f>
        <v>712.866150972492</v>
      </c>
      <c r="AD210" s="0" t="n">
        <f aca="false">W_PH(AD$2,$A210)</f>
        <v>712.846490742225</v>
      </c>
      <c r="AE210" s="0" t="n">
        <f aca="false">W_PH(AE$2,$A210)</f>
        <v>712.827083262294</v>
      </c>
      <c r="AF210" s="0" t="n">
        <f aca="false">W_PH(AF$2,$A210)</f>
        <v>712.807929415494</v>
      </c>
      <c r="AG210" s="0" t="n">
        <f aca="false">W_PH(AG$2,$A210)</f>
        <v>712.789030076791</v>
      </c>
      <c r="AH210" s="0" t="n">
        <f aca="false">W_PH(AH$2,$A210)</f>
        <v>712.614221072519</v>
      </c>
      <c r="AI210" s="0" t="n">
        <f aca="false">W_PH(AI$2,$A210)</f>
        <v>712.465758871431</v>
      </c>
      <c r="AJ210" s="0" t="n">
        <f aca="false">W_PH(AJ$2,$A210)</f>
        <v>712.34675995194</v>
      </c>
      <c r="AK210" s="0" t="n">
        <f aca="false">W_PH(AK$2,$A210)</f>
        <v>712.252175709498</v>
      </c>
      <c r="AL210" s="0" t="n">
        <f aca="false">W_PH(AL$2,$A210)</f>
        <v>712.189054581316</v>
      </c>
      <c r="AM210" s="0" t="n">
        <f aca="false">W_PH(AM$2,$A210)</f>
        <v>712.158188142766</v>
      </c>
      <c r="AN210" s="0" t="n">
        <f aca="false">W_PH(AN$2,$A210)</f>
        <v>712.160244056074</v>
      </c>
      <c r="AO210" s="0" t="n">
        <f aca="false">W_PH(AO$2,$A210)</f>
        <v>712.195765982788</v>
      </c>
      <c r="AP210" s="0" t="n">
        <f aca="false">W_PH(AP$2,$A210)</f>
        <v>712.265175730198</v>
      </c>
      <c r="AQ210" s="0" t="n">
        <f aca="false">W_PH(AQ$2,$A210)</f>
        <v>714.839944744439</v>
      </c>
      <c r="AR210" s="0" t="n">
        <f aca="false">W_PH(AR$2,$A210)</f>
        <v>715.785265220091</v>
      </c>
      <c r="AS210" s="0" t="n">
        <f aca="false">W_PH(AS$2,$A210)</f>
        <v>716.258087948164</v>
      </c>
    </row>
    <row r="211" customFormat="false" ht="13.8" hidden="false" customHeight="false" outlineLevel="0" collapsed="false">
      <c r="A211" s="0" t="n">
        <v>3710</v>
      </c>
      <c r="B211" s="0" t="n">
        <f aca="false">W_PH(B$2,$A211)</f>
        <v>714.710197793265</v>
      </c>
      <c r="C211" s="0" t="n">
        <f aca="false">W_PH(C$2,$A211)</f>
        <v>714.710177598892</v>
      </c>
      <c r="D211" s="0" t="n">
        <f aca="false">W_PH(D$2,$A211)</f>
        <v>714.710157404762</v>
      </c>
      <c r="E211" s="0" t="n">
        <f aca="false">W_PH(E$2,$A211)</f>
        <v>714.710137210875</v>
      </c>
      <c r="F211" s="0" t="n">
        <f aca="false">W_PH(F$2,$A211)</f>
        <v>714.710117017232</v>
      </c>
      <c r="G211" s="0" t="n">
        <f aca="false">W_PH(G$2,$A211)</f>
        <v>714.709915094183</v>
      </c>
      <c r="H211" s="0" t="n">
        <f aca="false">W_PH(H$2,$A211)</f>
        <v>714.709713195471</v>
      </c>
      <c r="I211" s="0" t="n">
        <f aca="false">W_PH(I$2,$A211)</f>
        <v>714.709511321096</v>
      </c>
      <c r="J211" s="0" t="n">
        <f aca="false">W_PH(J$2,$A211)</f>
        <v>714.709309471058</v>
      </c>
      <c r="K211" s="0" t="n">
        <f aca="false">W_PH(K$2,$A211)</f>
        <v>714.70910764536</v>
      </c>
      <c r="L211" s="0" t="n">
        <f aca="false">W_PH(L$2,$A211)</f>
        <v>714.708905844002</v>
      </c>
      <c r="M211" s="0" t="n">
        <f aca="false">W_PH(M$2,$A211)</f>
        <v>714.708704066984</v>
      </c>
      <c r="N211" s="0" t="n">
        <f aca="false">W_PH(N$2,$A211)</f>
        <v>714.708502314309</v>
      </c>
      <c r="O211" s="0" t="n">
        <f aca="false">W_PH(O$2,$A211)</f>
        <v>714.708300585976</v>
      </c>
      <c r="P211" s="0" t="n">
        <f aca="false">W_PH(P$2,$A211)</f>
        <v>714.706284641719</v>
      </c>
      <c r="Q211" s="0" t="n">
        <f aca="false">W_PH(Q$2,$A211)</f>
        <v>714.704271132804</v>
      </c>
      <c r="R211" s="0" t="n">
        <f aca="false">W_PH(R$2,$A211)</f>
        <v>714.70226006019</v>
      </c>
      <c r="S211" s="0" t="n">
        <f aca="false">W_PH(S$2,$A211)</f>
        <v>714.700251424836</v>
      </c>
      <c r="T211" s="0" t="n">
        <f aca="false">W_PH(T$2,$A211)</f>
        <v>714.698245227699</v>
      </c>
      <c r="U211" s="0" t="n">
        <f aca="false">W_PH(U$2,$A211)</f>
        <v>714.696241469736</v>
      </c>
      <c r="V211" s="0" t="n">
        <f aca="false">W_PH(V$2,$A211)</f>
        <v>714.694240151904</v>
      </c>
      <c r="W211" s="0" t="n">
        <f aca="false">W_PH(W$2,$A211)</f>
        <v>714.692241275158</v>
      </c>
      <c r="X211" s="0" t="n">
        <f aca="false">W_PH(X$2,$A211)</f>
        <v>714.690244840454</v>
      </c>
      <c r="Y211" s="0" t="n">
        <f aca="false">W_PH(Y$2,$A211)</f>
        <v>714.670415015297</v>
      </c>
      <c r="Z211" s="0" t="n">
        <f aca="false">W_PH(Z$2,$A211)</f>
        <v>714.650830439563</v>
      </c>
      <c r="AA211" s="0" t="n">
        <f aca="false">W_PH(AA$2,$A211)</f>
        <v>714.631492056434</v>
      </c>
      <c r="AB211" s="0" t="n">
        <f aca="false">W_PH(AB$2,$A211)</f>
        <v>714.612400801605</v>
      </c>
      <c r="AC211" s="0" t="n">
        <f aca="false">W_PH(AC$2,$A211)</f>
        <v>714.593557603041</v>
      </c>
      <c r="AD211" s="0" t="n">
        <f aca="false">W_PH(AD$2,$A211)</f>
        <v>714.574963380732</v>
      </c>
      <c r="AE211" s="0" t="n">
        <f aca="false">W_PH(AE$2,$A211)</f>
        <v>714.556619046466</v>
      </c>
      <c r="AF211" s="0" t="n">
        <f aca="false">W_PH(AF$2,$A211)</f>
        <v>714.538525503605</v>
      </c>
      <c r="AG211" s="0" t="n">
        <f aca="false">W_PH(AG$2,$A211)</f>
        <v>714.520683646865</v>
      </c>
      <c r="AH211" s="0" t="n">
        <f aca="false">W_PH(AH$2,$A211)</f>
        <v>714.356298070119</v>
      </c>
      <c r="AI211" s="0" t="n">
        <f aca="false">W_PH(AI$2,$A211)</f>
        <v>714.217993798594</v>
      </c>
      <c r="AJ211" s="0" t="n">
        <f aca="false">W_PH(AJ$2,$A211)</f>
        <v>714.108941112521</v>
      </c>
      <c r="AK211" s="0" t="n">
        <f aca="false">W_PH(AK$2,$A211)</f>
        <v>714.024025202371</v>
      </c>
      <c r="AL211" s="0" t="n">
        <f aca="false">W_PH(AL$2,$A211)</f>
        <v>713.970168154032</v>
      </c>
      <c r="AM211" s="0" t="n">
        <f aca="false">W_PH(AM$2,$A211)</f>
        <v>713.948137422846</v>
      </c>
      <c r="AN211" s="0" t="n">
        <f aca="false">W_PH(AN$2,$A211)</f>
        <v>713.958576954708</v>
      </c>
      <c r="AO211" s="0" t="n">
        <f aca="false">W_PH(AO$2,$A211)</f>
        <v>714.002007910144</v>
      </c>
      <c r="AP211" s="0" t="n">
        <f aca="false">W_PH(AP$2,$A211)</f>
        <v>714.078831420341</v>
      </c>
      <c r="AQ211" s="0" t="n">
        <f aca="false">W_PH(AQ$2,$A211)</f>
        <v>716.697802269295</v>
      </c>
      <c r="AR211" s="0" t="n">
        <f aca="false">W_PH(AR$2,$A211)</f>
        <v>717.645325484831</v>
      </c>
      <c r="AS211" s="0" t="n">
        <f aca="false">W_PH(AS$2,$A211)</f>
        <v>718.118402870085</v>
      </c>
    </row>
    <row r="212" customFormat="false" ht="13.8" hidden="false" customHeight="false" outlineLevel="0" collapsed="false">
      <c r="A212" s="0" t="n">
        <v>3720</v>
      </c>
      <c r="B212" s="0" t="n">
        <f aca="false">W_PH(B$2,$A212)</f>
        <v>716.423528166877</v>
      </c>
      <c r="C212" s="0" t="n">
        <f aca="false">W_PH(C$2,$A212)</f>
        <v>716.423509040521</v>
      </c>
      <c r="D212" s="0" t="n">
        <f aca="false">W_PH(D$2,$A212)</f>
        <v>716.423489914406</v>
      </c>
      <c r="E212" s="0" t="n">
        <f aca="false">W_PH(E$2,$A212)</f>
        <v>716.423470788531</v>
      </c>
      <c r="F212" s="0" t="n">
        <f aca="false">W_PH(F$2,$A212)</f>
        <v>716.423451662896</v>
      </c>
      <c r="G212" s="0" t="n">
        <f aca="false">W_PH(G$2,$A212)</f>
        <v>716.423260419783</v>
      </c>
      <c r="H212" s="0" t="n">
        <f aca="false">W_PH(H$2,$A212)</f>
        <v>716.423069200726</v>
      </c>
      <c r="I212" s="0" t="n">
        <f aca="false">W_PH(I$2,$A212)</f>
        <v>716.422878005726</v>
      </c>
      <c r="J212" s="0" t="n">
        <f aca="false">W_PH(J$2,$A212)</f>
        <v>716.422686834785</v>
      </c>
      <c r="K212" s="0" t="n">
        <f aca="false">W_PH(K$2,$A212)</f>
        <v>716.422495687903</v>
      </c>
      <c r="L212" s="0" t="n">
        <f aca="false">W_PH(L$2,$A212)</f>
        <v>716.422304565082</v>
      </c>
      <c r="M212" s="0" t="n">
        <f aca="false">W_PH(M$2,$A212)</f>
        <v>716.422113466321</v>
      </c>
      <c r="N212" s="0" t="n">
        <f aca="false">W_PH(N$2,$A212)</f>
        <v>716.421922391623</v>
      </c>
      <c r="O212" s="0" t="n">
        <f aca="false">W_PH(O$2,$A212)</f>
        <v>716.421731340989</v>
      </c>
      <c r="P212" s="0" t="n">
        <f aca="false">W_PH(P$2,$A212)</f>
        <v>716.419822158341</v>
      </c>
      <c r="Q212" s="0" t="n">
        <f aca="false">W_PH(Q$2,$A212)</f>
        <v>716.417915383103</v>
      </c>
      <c r="R212" s="0" t="n">
        <f aca="false">W_PH(R$2,$A212)</f>
        <v>716.416011016256</v>
      </c>
      <c r="S212" s="0" t="n">
        <f aca="false">W_PH(S$2,$A212)</f>
        <v>716.414109058782</v>
      </c>
      <c r="T212" s="0" t="n">
        <f aca="false">W_PH(T$2,$A212)</f>
        <v>716.412209511661</v>
      </c>
      <c r="U212" s="0" t="n">
        <f aca="false">W_PH(U$2,$A212)</f>
        <v>716.41031237587</v>
      </c>
      <c r="V212" s="0" t="n">
        <f aca="false">W_PH(V$2,$A212)</f>
        <v>716.408417652389</v>
      </c>
      <c r="W212" s="0" t="n">
        <f aca="false">W_PH(W$2,$A212)</f>
        <v>716.406525342195</v>
      </c>
      <c r="X212" s="0" t="n">
        <f aca="false">W_PH(X$2,$A212)</f>
        <v>716.404635446264</v>
      </c>
      <c r="Y212" s="0" t="n">
        <f aca="false">W_PH(Y$2,$A212)</f>
        <v>716.385869485762</v>
      </c>
      <c r="Z212" s="0" t="n">
        <f aca="false">W_PH(Z$2,$A212)</f>
        <v>716.367346020054</v>
      </c>
      <c r="AA212" s="0" t="n">
        <f aca="false">W_PH(AA$2,$A212)</f>
        <v>716.349066012499</v>
      </c>
      <c r="AB212" s="0" t="n">
        <f aca="false">W_PH(AB$2,$A212)</f>
        <v>716.3310304181</v>
      </c>
      <c r="AC212" s="0" t="n">
        <f aca="false">W_PH(AC$2,$A212)</f>
        <v>716.313240183283</v>
      </c>
      <c r="AD212" s="0" t="n">
        <f aca="false">W_PH(AD$2,$A212)</f>
        <v>716.295696245697</v>
      </c>
      <c r="AE212" s="0" t="n">
        <f aca="false">W_PH(AE$2,$A212)</f>
        <v>716.278399534003</v>
      </c>
      <c r="AF212" s="0" t="n">
        <f aca="false">W_PH(AF$2,$A212)</f>
        <v>716.261350967685</v>
      </c>
      <c r="AG212" s="0" t="n">
        <f aca="false">W_PH(AG$2,$A212)</f>
        <v>716.244551456852</v>
      </c>
      <c r="AH212" s="0" t="n">
        <f aca="false">W_PH(AH$2,$A212)</f>
        <v>716.090447575169</v>
      </c>
      <c r="AI212" s="0" t="n">
        <f aca="false">W_PH(AI$2,$A212)</f>
        <v>715.962174455489</v>
      </c>
      <c r="AJ212" s="0" t="n">
        <f aca="false">W_PH(AJ$2,$A212)</f>
        <v>715.86295839099</v>
      </c>
      <c r="AK212" s="0" t="n">
        <f aca="false">W_PH(AK$2,$A212)</f>
        <v>715.787605913588</v>
      </c>
      <c r="AL212" s="0" t="n">
        <f aca="false">W_PH(AL$2,$A212)</f>
        <v>715.742917023468</v>
      </c>
      <c r="AM212" s="0" t="n">
        <f aca="false">W_PH(AM$2,$A212)</f>
        <v>715.729634748581</v>
      </c>
      <c r="AN212" s="0" t="n">
        <f aca="false">W_PH(AN$2,$A212)</f>
        <v>715.748379240315</v>
      </c>
      <c r="AO212" s="0" t="n">
        <f aca="false">W_PH(AO$2,$A212)</f>
        <v>715.799649241686</v>
      </c>
      <c r="AP212" s="0" t="n">
        <f aca="false">W_PH(AP$2,$A212)</f>
        <v>715.883825399512</v>
      </c>
      <c r="AQ212" s="0" t="n">
        <f aca="false">W_PH(AQ$2,$A212)</f>
        <v>718.546931368317</v>
      </c>
      <c r="AR212" s="0" t="n">
        <f aca="false">W_PH(AR$2,$A212)</f>
        <v>719.496774812069</v>
      </c>
      <c r="AS212" s="0" t="n">
        <f aca="false">W_PH(AS$2,$A212)</f>
        <v>719.970174627862</v>
      </c>
    </row>
    <row r="213" customFormat="false" ht="13.8" hidden="false" customHeight="false" outlineLevel="0" collapsed="false">
      <c r="A213" s="0" t="n">
        <v>3730</v>
      </c>
      <c r="B213" s="0" t="n">
        <f aca="false">W_PH(B$2,$A213)</f>
        <v>718.129312378922</v>
      </c>
      <c r="C213" s="0" t="n">
        <f aca="false">W_PH(C$2,$A213)</f>
        <v>718.129294304013</v>
      </c>
      <c r="D213" s="0" t="n">
        <f aca="false">W_PH(D$2,$A213)</f>
        <v>718.129276229342</v>
      </c>
      <c r="E213" s="0" t="n">
        <f aca="false">W_PH(E$2,$A213)</f>
        <v>718.129258154908</v>
      </c>
      <c r="F213" s="0" t="n">
        <f aca="false">W_PH(F$2,$A213)</f>
        <v>718.129240080714</v>
      </c>
      <c r="G213" s="0" t="n">
        <f aca="false">W_PH(G$2,$A213)</f>
        <v>718.129059351851</v>
      </c>
      <c r="H213" s="0" t="n">
        <f aca="false">W_PH(H$2,$A213)</f>
        <v>718.128878646789</v>
      </c>
      <c r="I213" s="0" t="n">
        <f aca="false">W_PH(I$2,$A213)</f>
        <v>718.128697965525</v>
      </c>
      <c r="J213" s="0" t="n">
        <f aca="false">W_PH(J$2,$A213)</f>
        <v>718.128517308063</v>
      </c>
      <c r="K213" s="0" t="n">
        <f aca="false">W_PH(K$2,$A213)</f>
        <v>718.128336674402</v>
      </c>
      <c r="L213" s="0" t="n">
        <f aca="false">W_PH(L$2,$A213)</f>
        <v>718.128156064544</v>
      </c>
      <c r="M213" s="0" t="n">
        <f aca="false">W_PH(M$2,$A213)</f>
        <v>718.12797547849</v>
      </c>
      <c r="N213" s="0" t="n">
        <f aca="false">W_PH(N$2,$A213)</f>
        <v>718.127794916241</v>
      </c>
      <c r="O213" s="0" t="n">
        <f aca="false">W_PH(O$2,$A213)</f>
        <v>718.127614377798</v>
      </c>
      <c r="P213" s="0" t="n">
        <f aca="false">W_PH(P$2,$A213)</f>
        <v>718.125810302903</v>
      </c>
      <c r="Q213" s="0" t="n">
        <f aca="false">W_PH(Q$2,$A213)</f>
        <v>718.124008609689</v>
      </c>
      <c r="R213" s="0" t="n">
        <f aca="false">W_PH(R$2,$A213)</f>
        <v>718.122209299155</v>
      </c>
      <c r="S213" s="0" t="n">
        <f aca="false">W_PH(S$2,$A213)</f>
        <v>718.120412372298</v>
      </c>
      <c r="T213" s="0" t="n">
        <f aca="false">W_PH(T$2,$A213)</f>
        <v>718.118617830115</v>
      </c>
      <c r="U213" s="0" t="n">
        <f aca="false">W_PH(U$2,$A213)</f>
        <v>718.116825673602</v>
      </c>
      <c r="V213" s="0" t="n">
        <f aca="false">W_PH(V$2,$A213)</f>
        <v>718.115035903756</v>
      </c>
      <c r="W213" s="0" t="n">
        <f aca="false">W_PH(W$2,$A213)</f>
        <v>718.113248521569</v>
      </c>
      <c r="X213" s="0" t="n">
        <f aca="false">W_PH(X$2,$A213)</f>
        <v>718.111463528036</v>
      </c>
      <c r="Y213" s="0" t="n">
        <f aca="false">W_PH(Y$2,$A213)</f>
        <v>718.093745186613</v>
      </c>
      <c r="Z213" s="0" t="n">
        <f aca="false">W_PH(Z$2,$A213)</f>
        <v>718.076266796924</v>
      </c>
      <c r="AA213" s="0" t="n">
        <f aca="false">W_PH(AA$2,$A213)</f>
        <v>718.059029337855</v>
      </c>
      <c r="AB213" s="0" t="n">
        <f aca="false">W_PH(AB$2,$A213)</f>
        <v>718.042033779161</v>
      </c>
      <c r="AC213" s="0" t="n">
        <f aca="false">W_PH(AC$2,$A213)</f>
        <v>718.02528108128</v>
      </c>
      <c r="AD213" s="0" t="n">
        <f aca="false">W_PH(AD$2,$A213)</f>
        <v>718.008772195155</v>
      </c>
      <c r="AE213" s="0" t="n">
        <f aca="false">W_PH(AE$2,$A213)</f>
        <v>717.992508062054</v>
      </c>
      <c r="AF213" s="0" t="n">
        <f aca="false">W_PH(AF$2,$A213)</f>
        <v>717.9764896134</v>
      </c>
      <c r="AG213" s="0" t="n">
        <f aca="false">W_PH(AG$2,$A213)</f>
        <v>717.96071777061</v>
      </c>
      <c r="AH213" s="0" t="n">
        <f aca="false">W_PH(AH$2,$A213)</f>
        <v>717.816757919267</v>
      </c>
      <c r="AI213" s="0" t="n">
        <f aca="false">W_PH(AI$2,$A213)</f>
        <v>717.698392459475</v>
      </c>
      <c r="AJ213" s="0" t="n">
        <f aca="false">W_PH(AJ$2,$A213)</f>
        <v>717.608905299753</v>
      </c>
      <c r="AK213" s="0" t="n">
        <f aca="false">W_PH(AK$2,$A213)</f>
        <v>717.543012959135</v>
      </c>
      <c r="AL213" s="0" t="n">
        <f aca="false">W_PH(AL$2,$A213)</f>
        <v>717.50739758853</v>
      </c>
      <c r="AM213" s="0" t="n">
        <f aca="false">W_PH(AM$2,$A213)</f>
        <v>717.502777513693</v>
      </c>
      <c r="AN213" s="0" t="n">
        <f aca="false">W_PH(AN$2,$A213)</f>
        <v>717.529749033715</v>
      </c>
      <c r="AO213" s="0" t="n">
        <f aca="false">W_PH(AO$2,$A213)</f>
        <v>717.588788569184</v>
      </c>
      <c r="AP213" s="0" t="n">
        <f aca="false">W_PH(AP$2,$A213)</f>
        <v>717.680256479529</v>
      </c>
      <c r="AQ213" s="0" t="n">
        <f aca="false">W_PH(AQ$2,$A213)</f>
        <v>720.387418374022</v>
      </c>
      <c r="AR213" s="0" t="n">
        <f aca="false">W_PH(AR$2,$A213)</f>
        <v>721.33969321981</v>
      </c>
      <c r="AS213" s="0" t="n">
        <f aca="false">W_PH(AS$2,$A213)</f>
        <v>721.813479904036</v>
      </c>
    </row>
    <row r="214" customFormat="false" ht="13.8" hidden="false" customHeight="false" outlineLevel="0" collapsed="false">
      <c r="A214" s="0" t="n">
        <v>3740</v>
      </c>
      <c r="B214" s="0" t="n">
        <f aca="false">W_PH(B$2,$A214)</f>
        <v>719.827628461456</v>
      </c>
      <c r="C214" s="0" t="n">
        <f aca="false">W_PH(C$2,$A214)</f>
        <v>719.827611421975</v>
      </c>
      <c r="D214" s="0" t="n">
        <f aca="false">W_PH(D$2,$A214)</f>
        <v>719.827594382729</v>
      </c>
      <c r="E214" s="0" t="n">
        <f aca="false">W_PH(E$2,$A214)</f>
        <v>719.82757734372</v>
      </c>
      <c r="F214" s="0" t="n">
        <f aca="false">W_PH(F$2,$A214)</f>
        <v>719.827560304946</v>
      </c>
      <c r="G214" s="0" t="n">
        <f aca="false">W_PH(G$2,$A214)</f>
        <v>719.827389930164</v>
      </c>
      <c r="H214" s="0" t="n">
        <f aca="false">W_PH(H$2,$A214)</f>
        <v>719.827219578945</v>
      </c>
      <c r="I214" s="0" t="n">
        <f aca="false">W_PH(I$2,$A214)</f>
        <v>719.827049251289</v>
      </c>
      <c r="J214" s="0" t="n">
        <f aca="false">W_PH(J$2,$A214)</f>
        <v>719.826878947196</v>
      </c>
      <c r="K214" s="0" t="n">
        <f aca="false">W_PH(K$2,$A214)</f>
        <v>719.826708666669</v>
      </c>
      <c r="L214" s="0" t="n">
        <f aca="false">W_PH(L$2,$A214)</f>
        <v>719.826538409708</v>
      </c>
      <c r="M214" s="0" t="n">
        <f aca="false">W_PH(M$2,$A214)</f>
        <v>719.826368176314</v>
      </c>
      <c r="N214" s="0" t="n">
        <f aca="false">W_PH(N$2,$A214)</f>
        <v>719.826197966488</v>
      </c>
      <c r="O214" s="0" t="n">
        <f aca="false">W_PH(O$2,$A214)</f>
        <v>719.826027780231</v>
      </c>
      <c r="P214" s="0" t="n">
        <f aca="false">W_PH(P$2,$A214)</f>
        <v>719.824327214188</v>
      </c>
      <c r="Q214" s="0" t="n">
        <f aca="false">W_PH(Q$2,$A214)</f>
        <v>719.822629006172</v>
      </c>
      <c r="R214" s="0" t="n">
        <f aca="false">W_PH(R$2,$A214)</f>
        <v>719.820933157194</v>
      </c>
      <c r="S214" s="0" t="n">
        <f aca="false">W_PH(S$2,$A214)</f>
        <v>719.819239668266</v>
      </c>
      <c r="T214" s="0" t="n">
        <f aca="false">W_PH(T$2,$A214)</f>
        <v>719.817548540395</v>
      </c>
      <c r="U214" s="0" t="n">
        <f aca="false">W_PH(U$2,$A214)</f>
        <v>719.815859774593</v>
      </c>
      <c r="V214" s="0" t="n">
        <f aca="false">W_PH(V$2,$A214)</f>
        <v>719.814173371865</v>
      </c>
      <c r="W214" s="0" t="n">
        <f aca="false">W_PH(W$2,$A214)</f>
        <v>719.812489333219</v>
      </c>
      <c r="X214" s="0" t="n">
        <f aca="false">W_PH(X$2,$A214)</f>
        <v>719.810807659662</v>
      </c>
      <c r="Y214" s="0" t="n">
        <f aca="false">W_PH(Y$2,$A214)</f>
        <v>719.794121224527</v>
      </c>
      <c r="Z214" s="0" t="n">
        <f aca="false">W_PH(Z$2,$A214)</f>
        <v>719.777672397573</v>
      </c>
      <c r="AA214" s="0" t="n">
        <f aca="false">W_PH(AA$2,$A214)</f>
        <v>719.761462168846</v>
      </c>
      <c r="AB214" s="0" t="n">
        <f aca="false">W_PH(AB$2,$A214)</f>
        <v>719.745491518585</v>
      </c>
      <c r="AC214" s="0" t="n">
        <f aca="false">W_PH(AC$2,$A214)</f>
        <v>719.729761417061</v>
      </c>
      <c r="AD214" s="0" t="n">
        <f aca="false">W_PH(AD$2,$A214)</f>
        <v>719.714272824417</v>
      </c>
      <c r="AE214" s="0" t="n">
        <f aca="false">W_PH(AE$2,$A214)</f>
        <v>719.699026690524</v>
      </c>
      <c r="AF214" s="0" t="n">
        <f aca="false">W_PH(AF$2,$A214)</f>
        <v>719.684023954825</v>
      </c>
      <c r="AG214" s="0" t="n">
        <f aca="false">W_PH(AG$2,$A214)</f>
        <v>719.669265546201</v>
      </c>
      <c r="AH214" s="0" t="n">
        <f aca="false">W_PH(AH$2,$A214)</f>
        <v>719.535315992375</v>
      </c>
      <c r="AI214" s="0" t="n">
        <f aca="false">W_PH(AI$2,$A214)</f>
        <v>719.426737855874</v>
      </c>
      <c r="AJ214" s="0" t="n">
        <f aca="false">W_PH(AJ$2,$A214)</f>
        <v>719.346873560729</v>
      </c>
      <c r="AK214" s="0" t="n">
        <f aca="false">W_PH(AK$2,$A214)</f>
        <v>719.290339606288</v>
      </c>
      <c r="AL214" s="0" t="n">
        <f aca="false">W_PH(AL$2,$A214)</f>
        <v>719.263704355337</v>
      </c>
      <c r="AM214" s="0" t="n">
        <f aca="false">W_PH(AM$2,$A214)</f>
        <v>719.26766118903</v>
      </c>
      <c r="AN214" s="0" t="n">
        <f aca="false">W_PH(AN$2,$A214)</f>
        <v>719.302782516601</v>
      </c>
      <c r="AO214" s="0" t="n">
        <f aca="false">W_PH(AO$2,$A214)</f>
        <v>719.369522542612</v>
      </c>
      <c r="AP214" s="0" t="n">
        <f aca="false">W_PH(AP$2,$A214)</f>
        <v>719.468221540882</v>
      </c>
      <c r="AQ214" s="0" t="n">
        <f aca="false">W_PH(AQ$2,$A214)</f>
        <v>722.219348309681</v>
      </c>
      <c r="AR214" s="0" t="n">
        <f aca="false">W_PH(AR$2,$A214)</f>
        <v>723.174159596048</v>
      </c>
      <c r="AS214" s="0" t="n">
        <f aca="false">W_PH(AS$2,$A214)</f>
        <v>723.648394330625</v>
      </c>
    </row>
    <row r="215" customFormat="false" ht="13.8" hidden="false" customHeight="false" outlineLevel="0" collapsed="false">
      <c r="A215" s="0" t="n">
        <v>3750</v>
      </c>
      <c r="B215" s="0" t="n">
        <f aca="false">W_PH(B$2,$A215)</f>
        <v>721.518553300847</v>
      </c>
      <c r="C215" s="0" t="n">
        <f aca="false">W_PH(C$2,$A215)</f>
        <v>721.518537281311</v>
      </c>
      <c r="D215" s="0" t="n">
        <f aca="false">W_PH(D$2,$A215)</f>
        <v>721.518521262008</v>
      </c>
      <c r="E215" s="0" t="n">
        <f aca="false">W_PH(E$2,$A215)</f>
        <v>721.518505242939</v>
      </c>
      <c r="F215" s="0" t="n">
        <f aca="false">W_PH(F$2,$A215)</f>
        <v>721.518489224103</v>
      </c>
      <c r="G215" s="0" t="n">
        <f aca="false">W_PH(G$2,$A215)</f>
        <v>721.518329048584</v>
      </c>
      <c r="H215" s="0" t="n">
        <f aca="false">W_PH(H$2,$A215)</f>
        <v>721.518168896409</v>
      </c>
      <c r="I215" s="0" t="n">
        <f aca="false">W_PH(I$2,$A215)</f>
        <v>721.518008767581</v>
      </c>
      <c r="J215" s="0" t="n">
        <f aca="false">W_PH(J$2,$A215)</f>
        <v>721.517848662099</v>
      </c>
      <c r="K215" s="0" t="n">
        <f aca="false">W_PH(K$2,$A215)</f>
        <v>721.517688579965</v>
      </c>
      <c r="L215" s="0" t="n">
        <f aca="false">W_PH(L$2,$A215)</f>
        <v>721.517528521181</v>
      </c>
      <c r="M215" s="0" t="n">
        <f aca="false">W_PH(M$2,$A215)</f>
        <v>721.517368485746</v>
      </c>
      <c r="N215" s="0" t="n">
        <f aca="false">W_PH(N$2,$A215)</f>
        <v>721.517208473662</v>
      </c>
      <c r="O215" s="0" t="n">
        <f aca="false">W_PH(O$2,$A215)</f>
        <v>721.51704848493</v>
      </c>
      <c r="P215" s="0" t="n">
        <f aca="false">W_PH(P$2,$A215)</f>
        <v>721.515449882199</v>
      </c>
      <c r="Q215" s="0" t="n">
        <f aca="false">W_PH(Q$2,$A215)</f>
        <v>721.513853615794</v>
      </c>
      <c r="R215" s="0" t="n">
        <f aca="false">W_PH(R$2,$A215)</f>
        <v>721.512259686734</v>
      </c>
      <c r="S215" s="0" t="n">
        <f aca="false">W_PH(S$2,$A215)</f>
        <v>721.510668096039</v>
      </c>
      <c r="T215" s="0" t="n">
        <f aca="false">W_PH(T$2,$A215)</f>
        <v>721.509078844726</v>
      </c>
      <c r="U215" s="0" t="n">
        <f aca="false">W_PH(U$2,$A215)</f>
        <v>721.507491933813</v>
      </c>
      <c r="V215" s="0" t="n">
        <f aca="false">W_PH(V$2,$A215)</f>
        <v>721.505907364316</v>
      </c>
      <c r="W215" s="0" t="n">
        <f aca="false">W_PH(W$2,$A215)</f>
        <v>721.504325137249</v>
      </c>
      <c r="X215" s="0" t="n">
        <f aca="false">W_PH(X$2,$A215)</f>
        <v>721.502745253627</v>
      </c>
      <c r="Y215" s="0" t="n">
        <f aca="false">W_PH(Y$2,$A215)</f>
        <v>721.487075529213</v>
      </c>
      <c r="Z215" s="0" t="n">
        <f aca="false">W_PH(Z$2,$A215)</f>
        <v>721.4716412571</v>
      </c>
      <c r="AA215" s="0" t="n">
        <f aca="false">W_PH(AA$2,$A215)</f>
        <v>721.456443434409</v>
      </c>
      <c r="AB215" s="0" t="n">
        <f aca="false">W_PH(AB$2,$A215)</f>
        <v>721.441483047862</v>
      </c>
      <c r="AC215" s="0" t="n">
        <f aca="false">W_PH(AC$2,$A215)</f>
        <v>721.426761073645</v>
      </c>
      <c r="AD215" s="0" t="n">
        <f aca="false">W_PH(AD$2,$A215)</f>
        <v>721.412278477272</v>
      </c>
      <c r="AE215" s="0" t="n">
        <f aca="false">W_PH(AE$2,$A215)</f>
        <v>721.398036213457</v>
      </c>
      <c r="AF215" s="0" t="n">
        <f aca="false">W_PH(AF$2,$A215)</f>
        <v>721.384035225993</v>
      </c>
      <c r="AG215" s="0" t="n">
        <f aca="false">W_PH(AG$2,$A215)</f>
        <v>721.370276447627</v>
      </c>
      <c r="AH215" s="0" t="n">
        <f aca="false">W_PH(AH$2,$A215)</f>
        <v>721.246207256567</v>
      </c>
      <c r="AI215" s="0" t="n">
        <f aca="false">W_PH(AI$2,$A215)</f>
        <v>721.147299134196</v>
      </c>
      <c r="AJ215" s="0" t="n">
        <f aca="false">W_PH(AJ$2,$A215)</f>
        <v>721.076953134881</v>
      </c>
      <c r="AK215" s="0" t="n">
        <f aca="false">W_PH(AK$2,$A215)</f>
        <v>721.029677304435</v>
      </c>
      <c r="AL215" s="0" t="n">
        <f aca="false">W_PH(AL$2,$A215)</f>
        <v>721.011929968412</v>
      </c>
      <c r="AM215" s="0" t="n">
        <f aca="false">W_PH(AM$2,$A215)</f>
        <v>721.024379353166</v>
      </c>
      <c r="AN215" s="0" t="n">
        <f aca="false">W_PH(AN$2,$A215)</f>
        <v>721.067573960589</v>
      </c>
      <c r="AO215" s="0" t="n">
        <f aca="false">W_PH(AO$2,$A215)</f>
        <v>721.1419458967</v>
      </c>
      <c r="AP215" s="0" t="n">
        <f aca="false">W_PH(AP$2,$A215)</f>
        <v>721.247815555957</v>
      </c>
      <c r="AQ215" s="0" t="n">
        <f aca="false">W_PH(AQ$2,$A215)</f>
        <v>724.042804869705</v>
      </c>
      <c r="AR215" s="0" t="n">
        <f aca="false">W_PH(AR$2,$A215)</f>
        <v>725.000251678964</v>
      </c>
      <c r="AS215" s="0" t="n">
        <f aca="false">W_PH(AS$2,$A215)</f>
        <v>725.47499247131</v>
      </c>
    </row>
    <row r="216" customFormat="false" ht="13.8" hidden="false" customHeight="false" outlineLevel="0" collapsed="false">
      <c r="A216" s="0" t="n">
        <v>3760</v>
      </c>
      <c r="B216" s="0" t="n">
        <f aca="false">W_PH(B$2,$A216)</f>
        <v>723.202162647454</v>
      </c>
      <c r="C216" s="0" t="n">
        <f aca="false">W_PH(C$2,$A216)</f>
        <v>723.202147632899</v>
      </c>
      <c r="D216" s="0" t="n">
        <f aca="false">W_PH(D$2,$A216)</f>
        <v>723.202132618575</v>
      </c>
      <c r="E216" s="0" t="n">
        <f aca="false">W_PH(E$2,$A216)</f>
        <v>723.202117604483</v>
      </c>
      <c r="F216" s="0" t="n">
        <f aca="false">W_PH(F$2,$A216)</f>
        <v>723.202102590622</v>
      </c>
      <c r="G216" s="0" t="n">
        <f aca="false">W_PH(G$2,$A216)</f>
        <v>723.201952464741</v>
      </c>
      <c r="H216" s="0" t="n">
        <f aca="false">W_PH(H$2,$A216)</f>
        <v>723.201802362007</v>
      </c>
      <c r="I216" s="0" t="n">
        <f aca="false">W_PH(I$2,$A216)</f>
        <v>723.20165228242</v>
      </c>
      <c r="J216" s="0" t="n">
        <f aca="false">W_PH(J$2,$A216)</f>
        <v>723.201502225981</v>
      </c>
      <c r="K216" s="0" t="n">
        <f aca="false">W_PH(K$2,$A216)</f>
        <v>723.201352192691</v>
      </c>
      <c r="L216" s="0" t="n">
        <f aca="false">W_PH(L$2,$A216)</f>
        <v>723.201202182551</v>
      </c>
      <c r="M216" s="0" t="n">
        <f aca="false">W_PH(M$2,$A216)</f>
        <v>723.201052195563</v>
      </c>
      <c r="N216" s="0" t="n">
        <f aca="false">W_PH(N$2,$A216)</f>
        <v>723.200902231726</v>
      </c>
      <c r="O216" s="0" t="n">
        <f aca="false">W_PH(O$2,$A216)</f>
        <v>723.200752291044</v>
      </c>
      <c r="P216" s="0" t="n">
        <f aca="false">W_PH(P$2,$A216)</f>
        <v>723.199254157871</v>
      </c>
      <c r="Q216" s="0" t="n">
        <f aca="false">W_PH(Q$2,$A216)</f>
        <v>723.197758341154</v>
      </c>
      <c r="R216" s="0" t="n">
        <f aca="false">W_PH(R$2,$A216)</f>
        <v>723.196264841918</v>
      </c>
      <c r="S216" s="0" t="n">
        <f aca="false">W_PH(S$2,$A216)</f>
        <v>723.194773661185</v>
      </c>
      <c r="T216" s="0" t="n">
        <f aca="false">W_PH(T$2,$A216)</f>
        <v>723.19328479998</v>
      </c>
      <c r="U216" s="0" t="n">
        <f aca="false">W_PH(U$2,$A216)</f>
        <v>723.191798259321</v>
      </c>
      <c r="V216" s="0" t="n">
        <f aca="false">W_PH(V$2,$A216)</f>
        <v>723.190314040231</v>
      </c>
      <c r="W216" s="0" t="n">
        <f aca="false">W_PH(W$2,$A216)</f>
        <v>723.188832143727</v>
      </c>
      <c r="X216" s="0" t="n">
        <f aca="false">W_PH(X$2,$A216)</f>
        <v>723.18735257083</v>
      </c>
      <c r="Y216" s="0" t="n">
        <f aca="false">W_PH(Y$2,$A216)</f>
        <v>723.172684863357</v>
      </c>
      <c r="Z216" s="0" t="n">
        <f aca="false">W_PH(Z$2,$A216)</f>
        <v>723.158250628387</v>
      </c>
      <c r="AA216" s="0" t="n">
        <f aca="false">W_PH(AA$2,$A216)</f>
        <v>723.144050866289</v>
      </c>
      <c r="AB216" s="0" t="n">
        <f aca="false">W_PH(AB$2,$A216)</f>
        <v>723.130086566526</v>
      </c>
      <c r="AC216" s="0" t="n">
        <f aca="false">W_PH(AC$2,$A216)</f>
        <v>723.116358707533</v>
      </c>
      <c r="AD216" s="0" t="n">
        <f aca="false">W_PH(AD$2,$A216)</f>
        <v>723.102868256607</v>
      </c>
      <c r="AE216" s="0" t="n">
        <f aca="false">W_PH(AE$2,$A216)</f>
        <v>723.089616169797</v>
      </c>
      <c r="AF216" s="0" t="n">
        <f aca="false">W_PH(AF$2,$A216)</f>
        <v>723.076603391806</v>
      </c>
      <c r="AG216" s="0" t="n">
        <f aca="false">W_PH(AG$2,$A216)</f>
        <v>723.06383085588</v>
      </c>
      <c r="AH216" s="0" t="n">
        <f aca="false">W_PH(AH$2,$A216)</f>
        <v>722.949515758744</v>
      </c>
      <c r="AI216" s="0" t="n">
        <f aca="false">W_PH(AI$2,$A216)</f>
        <v>722.860163243053</v>
      </c>
      <c r="AJ216" s="0" t="n">
        <f aca="false">W_PH(AJ$2,$A216)</f>
        <v>722.799232251072</v>
      </c>
      <c r="AK216" s="0" t="n">
        <f aca="false">W_PH(AK$2,$A216)</f>
        <v>722.761115715277</v>
      </c>
      <c r="AL216" s="0" t="n">
        <f aca="false">W_PH(AL$2,$A216)</f>
        <v>722.752165241384</v>
      </c>
      <c r="AM216" s="0" t="n">
        <f aca="false">W_PH(AM$2,$A216)</f>
        <v>722.773023722695</v>
      </c>
      <c r="AN216" s="0" t="n">
        <f aca="false">W_PH(AN$2,$A216)</f>
        <v>722.824215756177</v>
      </c>
      <c r="AO216" s="0" t="n">
        <f aca="false">W_PH(AO$2,$A216)</f>
        <v>722.906151477697</v>
      </c>
      <c r="AP216" s="0" t="n">
        <f aca="false">W_PH(AP$2,$A216)</f>
        <v>723.019131612783</v>
      </c>
      <c r="AQ216" s="0" t="n">
        <f aca="false">W_PH(AQ$2,$A216)</f>
        <v>725.857870401686</v>
      </c>
      <c r="AR216" s="0" t="n">
        <f aca="false">W_PH(AR$2,$A216)</f>
        <v>726.818046037539</v>
      </c>
      <c r="AS216" s="0" t="n">
        <f aca="false">W_PH(AS$2,$A216)</f>
        <v>727.293347803266</v>
      </c>
    </row>
    <row r="217" customFormat="false" ht="13.8" hidden="false" customHeight="false" outlineLevel="0" collapsed="false">
      <c r="A217" s="0" t="n">
        <v>3770</v>
      </c>
      <c r="B217" s="0" t="n">
        <f aca="false">W_PH(B$2,$A217)</f>
        <v>724.878531125015</v>
      </c>
      <c r="C217" s="0" t="n">
        <f aca="false">W_PH(C$2,$A217)</f>
        <v>724.878517100981</v>
      </c>
      <c r="D217" s="0" t="n">
        <f aca="false">W_PH(D$2,$A217)</f>
        <v>724.878503077175</v>
      </c>
      <c r="E217" s="0" t="n">
        <f aca="false">W_PH(E$2,$A217)</f>
        <v>724.8784890536</v>
      </c>
      <c r="F217" s="0" t="n">
        <f aca="false">W_PH(F$2,$A217)</f>
        <v>724.878475030254</v>
      </c>
      <c r="G217" s="0" t="n">
        <f aca="false">W_PH(G$2,$A217)</f>
        <v>724.878334809428</v>
      </c>
      <c r="H217" s="0" t="n">
        <f aca="false">W_PH(H$2,$A217)</f>
        <v>724.878194611566</v>
      </c>
      <c r="I217" s="0" t="n">
        <f aca="false">W_PH(I$2,$A217)</f>
        <v>724.878054436669</v>
      </c>
      <c r="J217" s="0" t="n">
        <f aca="false">W_PH(J$2,$A217)</f>
        <v>724.877914284739</v>
      </c>
      <c r="K217" s="0" t="n">
        <f aca="false">W_PH(K$2,$A217)</f>
        <v>724.877774155776</v>
      </c>
      <c r="L217" s="0" t="n">
        <f aca="false">W_PH(L$2,$A217)</f>
        <v>724.877634049782</v>
      </c>
      <c r="M217" s="0" t="n">
        <f aca="false">W_PH(M$2,$A217)</f>
        <v>724.877493966758</v>
      </c>
      <c r="N217" s="0" t="n">
        <f aca="false">W_PH(N$2,$A217)</f>
        <v>724.877353906705</v>
      </c>
      <c r="O217" s="0" t="n">
        <f aca="false">W_PH(O$2,$A217)</f>
        <v>724.877213869623</v>
      </c>
      <c r="P217" s="0" t="n">
        <f aca="false">W_PH(P$2,$A217)</f>
        <v>724.875814762474</v>
      </c>
      <c r="Q217" s="0" t="n">
        <f aca="false">W_PH(Q$2,$A217)</f>
        <v>724.874417953626</v>
      </c>
      <c r="R217" s="0" t="n">
        <f aca="false">W_PH(R$2,$A217)</f>
        <v>724.873023444103</v>
      </c>
      <c r="S217" s="0" t="n">
        <f aca="false">W_PH(S$2,$A217)</f>
        <v>724.871631234929</v>
      </c>
      <c r="T217" s="0" t="n">
        <f aca="false">W_PH(T$2,$A217)</f>
        <v>724.870241327126</v>
      </c>
      <c r="U217" s="0" t="n">
        <f aca="false">W_PH(U$2,$A217)</f>
        <v>724.868853721719</v>
      </c>
      <c r="V217" s="0" t="n">
        <f aca="false">W_PH(V$2,$A217)</f>
        <v>724.867468419726</v>
      </c>
      <c r="W217" s="0" t="n">
        <f aca="false">W_PH(W$2,$A217)</f>
        <v>724.866085422167</v>
      </c>
      <c r="X217" s="0" t="n">
        <f aca="false">W_PH(X$2,$A217)</f>
        <v>724.864704730062</v>
      </c>
      <c r="Y217" s="0" t="n">
        <f aca="false">W_PH(Y$2,$A217)</f>
        <v>724.851024832213</v>
      </c>
      <c r="Z217" s="0" t="n">
        <f aca="false">W_PH(Z$2,$A217)</f>
        <v>724.837576591786</v>
      </c>
      <c r="AA217" s="0" t="n">
        <f aca="false">W_PH(AA$2,$A217)</f>
        <v>724.824361008828</v>
      </c>
      <c r="AB217" s="0" t="n">
        <f aca="false">W_PH(AB$2,$A217)</f>
        <v>724.811379072042</v>
      </c>
      <c r="AC217" s="0" t="n">
        <f aca="false">W_PH(AC$2,$A217)</f>
        <v>724.798631758692</v>
      </c>
      <c r="AD217" s="0" t="n">
        <f aca="false">W_PH(AD$2,$A217)</f>
        <v>724.786120034506</v>
      </c>
      <c r="AE217" s="0" t="n">
        <f aca="false">W_PH(AE$2,$A217)</f>
        <v>724.773844853591</v>
      </c>
      <c r="AF217" s="0" t="n">
        <f aca="false">W_PH(AF$2,$A217)</f>
        <v>724.761807158343</v>
      </c>
      <c r="AG217" s="0" t="n">
        <f aca="false">W_PH(AG$2,$A217)</f>
        <v>724.750007879368</v>
      </c>
      <c r="AH217" s="0" t="n">
        <f aca="false">W_PH(AH$2,$A217)</f>
        <v>724.645324142429</v>
      </c>
      <c r="AI217" s="0" t="n">
        <f aca="false">W_PH(AI$2,$A217)</f>
        <v>724.565415603876</v>
      </c>
      <c r="AJ217" s="0" t="n">
        <f aca="false">W_PH(AJ$2,$A217)</f>
        <v>724.513797434254</v>
      </c>
      <c r="AK217" s="0" t="n">
        <f aca="false">W_PH(AK$2,$A217)</f>
        <v>724.484742742418</v>
      </c>
      <c r="AL217" s="0" t="n">
        <f aca="false">W_PH(AL$2,$A217)</f>
        <v>724.484499187179</v>
      </c>
      <c r="AM217" s="0" t="n">
        <f aca="false">W_PH(AM$2,$A217)</f>
        <v>724.51368418217</v>
      </c>
      <c r="AN217" s="0" t="n">
        <f aca="false">W_PH(AN$2,$A217)</f>
        <v>724.572798441587</v>
      </c>
      <c r="AO217" s="0" t="n">
        <f aca="false">W_PH(AO$2,$A217)</f>
        <v>724.662230270269</v>
      </c>
      <c r="AP217" s="0" t="n">
        <f aca="false">W_PH(AP$2,$A217)</f>
        <v>724.78226093922</v>
      </c>
      <c r="AQ217" s="0" t="n">
        <f aca="false">W_PH(AQ$2,$A217)</f>
        <v>727.664625889936</v>
      </c>
      <c r="AR217" s="0" t="n">
        <f aca="false">W_PH(AR$2,$A217)</f>
        <v>728.627618052541</v>
      </c>
      <c r="AS217" s="0" t="n">
        <f aca="false">W_PH(AS$2,$A217)</f>
        <v>729.103532698599</v>
      </c>
    </row>
    <row r="218" customFormat="false" ht="13.8" hidden="false" customHeight="false" outlineLevel="0" collapsed="false">
      <c r="A218" s="0" t="n">
        <v>3780</v>
      </c>
      <c r="B218" s="0" t="n">
        <f aca="false">W_PH(B$2,$A218)</f>
        <v>726.547732239763</v>
      </c>
      <c r="C218" s="0" t="n">
        <f aca="false">W_PH(C$2,$A218)</f>
        <v>726.547719192278</v>
      </c>
      <c r="D218" s="0" t="n">
        <f aca="false">W_PH(D$2,$A218)</f>
        <v>726.54770614502</v>
      </c>
      <c r="E218" s="0" t="n">
        <f aca="false">W_PH(E$2,$A218)</f>
        <v>726.547693097991</v>
      </c>
      <c r="F218" s="0" t="n">
        <f aca="false">W_PH(F$2,$A218)</f>
        <v>726.547680051189</v>
      </c>
      <c r="G218" s="0" t="n">
        <f aca="false">W_PH(G$2,$A218)</f>
        <v>726.547549595713</v>
      </c>
      <c r="H218" s="0" t="n">
        <f aca="false">W_PH(H$2,$A218)</f>
        <v>726.547419163035</v>
      </c>
      <c r="I218" s="0" t="n">
        <f aca="false">W_PH(I$2,$A218)</f>
        <v>726.547288753157</v>
      </c>
      <c r="J218" s="0" t="n">
        <f aca="false">W_PH(J$2,$A218)</f>
        <v>726.54715836608</v>
      </c>
      <c r="K218" s="0" t="n">
        <f aca="false">W_PH(K$2,$A218)</f>
        <v>726.547028001806</v>
      </c>
      <c r="L218" s="0" t="n">
        <f aca="false">W_PH(L$2,$A218)</f>
        <v>726.546897660335</v>
      </c>
      <c r="M218" s="0" t="n">
        <f aca="false">W_PH(M$2,$A218)</f>
        <v>726.546767341667</v>
      </c>
      <c r="N218" s="0" t="n">
        <f aca="false">W_PH(N$2,$A218)</f>
        <v>726.546637045805</v>
      </c>
      <c r="O218" s="0" t="n">
        <f aca="false">W_PH(O$2,$A218)</f>
        <v>726.546506772749</v>
      </c>
      <c r="P218" s="0" t="n">
        <f aca="false">W_PH(P$2,$A218)</f>
        <v>726.545205296751</v>
      </c>
      <c r="Q218" s="0" t="n">
        <f aca="false">W_PH(Q$2,$A218)</f>
        <v>726.543906102495</v>
      </c>
      <c r="R218" s="0" t="n">
        <f aca="false">W_PH(R$2,$A218)</f>
        <v>726.542609191003</v>
      </c>
      <c r="S218" s="0" t="n">
        <f aca="false">W_PH(S$2,$A218)</f>
        <v>726.541314563296</v>
      </c>
      <c r="T218" s="0" t="n">
        <f aca="false">W_PH(T$2,$A218)</f>
        <v>726.540022220394</v>
      </c>
      <c r="U218" s="0" t="n">
        <f aca="false">W_PH(U$2,$A218)</f>
        <v>726.538732163317</v>
      </c>
      <c r="V218" s="0" t="n">
        <f aca="false">W_PH(V$2,$A218)</f>
        <v>726.537444393082</v>
      </c>
      <c r="W218" s="0" t="n">
        <f aca="false">W_PH(W$2,$A218)</f>
        <v>726.536158910705</v>
      </c>
      <c r="X218" s="0" t="n">
        <f aca="false">W_PH(X$2,$A218)</f>
        <v>726.534875717203</v>
      </c>
      <c r="Y218" s="0" t="n">
        <f aca="false">W_PH(Y$2,$A218)</f>
        <v>726.52216989286</v>
      </c>
      <c r="Z218" s="0" t="n">
        <f aca="false">W_PH(Z$2,$A218)</f>
        <v>726.509694064449</v>
      </c>
      <c r="AA218" s="0" t="n">
        <f aca="false">W_PH(AA$2,$A218)</f>
        <v>726.497449228361</v>
      </c>
      <c r="AB218" s="0" t="n">
        <f aca="false">W_PH(AB$2,$A218)</f>
        <v>726.485436369282</v>
      </c>
      <c r="AC218" s="0" t="n">
        <f aca="false">W_PH(AC$2,$A218)</f>
        <v>726.473656460108</v>
      </c>
      <c r="AD218" s="0" t="n">
        <f aca="false">W_PH(AD$2,$A218)</f>
        <v>726.462110461878</v>
      </c>
      <c r="AE218" s="0" t="n">
        <f aca="false">W_PH(AE$2,$A218)</f>
        <v>726.450799323693</v>
      </c>
      <c r="AF218" s="0" t="n">
        <f aca="false">W_PH(AF$2,$A218)</f>
        <v>726.439723982653</v>
      </c>
      <c r="AG218" s="0" t="n">
        <f aca="false">W_PH(AG$2,$A218)</f>
        <v>726.428885363789</v>
      </c>
      <c r="AH218" s="0" t="n">
        <f aca="false">W_PH(AH$2,$A218)</f>
        <v>726.33371365873</v>
      </c>
      <c r="AI218" s="0" t="n">
        <f aca="false">W_PH(AI$2,$A218)</f>
        <v>726.263140123578</v>
      </c>
      <c r="AJ218" s="0" t="n">
        <f aca="false">W_PH(AJ$2,$A218)</f>
        <v>726.220733532993</v>
      </c>
      <c r="AK218" s="0" t="n">
        <f aca="false">W_PH(AK$2,$A218)</f>
        <v>726.200644560341</v>
      </c>
      <c r="AL218" s="0" t="n">
        <f aca="false">W_PH(AL$2,$A218)</f>
        <v>726.209019047698</v>
      </c>
      <c r="AM218" s="0" t="n">
        <f aca="false">W_PH(AM$2,$A218)</f>
        <v>726.246448813696</v>
      </c>
      <c r="AN218" s="0" t="n">
        <f aca="false">W_PH(AN$2,$A218)</f>
        <v>726.313410731448</v>
      </c>
      <c r="AO218" s="0" t="n">
        <f aca="false">W_PH(AO$2,$A218)</f>
        <v>726.410271424484</v>
      </c>
      <c r="AP218" s="0" t="n">
        <f aca="false">W_PH(AP$2,$A218)</f>
        <v>726.537292927492</v>
      </c>
      <c r="AQ218" s="0" t="n">
        <f aca="false">W_PH(AQ$2,$A218)</f>
        <v>729.463150940429</v>
      </c>
      <c r="AR218" s="0" t="n">
        <f aca="false">W_PH(AR$2,$A218)</f>
        <v>730.429041897838</v>
      </c>
      <c r="AS218" s="0" t="n">
        <f aca="false">W_PH(AS$2,$A218)</f>
        <v>730.905618405408</v>
      </c>
    </row>
    <row r="219" customFormat="false" ht="13.8" hidden="false" customHeight="false" outlineLevel="0" collapsed="false">
      <c r="A219" s="0" t="n">
        <v>3790</v>
      </c>
      <c r="B219" s="0" t="n">
        <f aca="false">W_PH(B$2,$A219)</f>
        <v>728.209838389291</v>
      </c>
      <c r="C219" s="0" t="n">
        <f aca="false">W_PH(C$2,$A219)</f>
        <v>728.209826304856</v>
      </c>
      <c r="D219" s="0" t="n">
        <f aca="false">W_PH(D$2,$A219)</f>
        <v>728.209814220647</v>
      </c>
      <c r="E219" s="0" t="n">
        <f aca="false">W_PH(E$2,$A219)</f>
        <v>728.209802136665</v>
      </c>
      <c r="F219" s="0" t="n">
        <f aca="false">W_PH(F$2,$A219)</f>
        <v>728.209790052908</v>
      </c>
      <c r="G219" s="0" t="n">
        <f aca="false">W_PH(G$2,$A219)</f>
        <v>728.209669227804</v>
      </c>
      <c r="H219" s="0" t="n">
        <f aca="false">W_PH(H$2,$A219)</f>
        <v>728.209548425348</v>
      </c>
      <c r="I219" s="0" t="n">
        <f aca="false">W_PH(I$2,$A219)</f>
        <v>728.209427645542</v>
      </c>
      <c r="J219" s="0" t="n">
        <f aca="false">W_PH(J$2,$A219)</f>
        <v>728.209306888386</v>
      </c>
      <c r="K219" s="0" t="n">
        <f aca="false">W_PH(K$2,$A219)</f>
        <v>728.209186153881</v>
      </c>
      <c r="L219" s="0" t="n">
        <f aca="false">W_PH(L$2,$A219)</f>
        <v>728.209065442028</v>
      </c>
      <c r="M219" s="0" t="n">
        <f aca="false">W_PH(M$2,$A219)</f>
        <v>728.208944752829</v>
      </c>
      <c r="N219" s="0" t="n">
        <f aca="false">W_PH(N$2,$A219)</f>
        <v>728.208824086285</v>
      </c>
      <c r="O219" s="0" t="n">
        <f aca="false">W_PH(O$2,$A219)</f>
        <v>728.208703442396</v>
      </c>
      <c r="P219" s="0" t="n">
        <f aca="false">W_PH(P$2,$A219)</f>
        <v>728.207498249782</v>
      </c>
      <c r="Q219" s="0" t="n">
        <f aca="false">W_PH(Q$2,$A219)</f>
        <v>728.206295323835</v>
      </c>
      <c r="R219" s="0" t="n">
        <f aca="false">W_PH(R$2,$A219)</f>
        <v>728.205094665572</v>
      </c>
      <c r="S219" s="0" t="n">
        <f aca="false">W_PH(S$2,$A219)</f>
        <v>728.203896276008</v>
      </c>
      <c r="T219" s="0" t="n">
        <f aca="false">W_PH(T$2,$A219)</f>
        <v>728.202700156157</v>
      </c>
      <c r="U219" s="0" t="n">
        <f aca="false">W_PH(U$2,$A219)</f>
        <v>728.201506307032</v>
      </c>
      <c r="V219" s="0" t="n">
        <f aca="false">W_PH(V$2,$A219)</f>
        <v>728.200314729645</v>
      </c>
      <c r="W219" s="0" t="n">
        <f aca="false">W_PH(W$2,$A219)</f>
        <v>728.199125425005</v>
      </c>
      <c r="X219" s="0" t="n">
        <f aca="false">W_PH(X$2,$A219)</f>
        <v>728.197938394123</v>
      </c>
      <c r="Y219" s="0" t="n">
        <f aca="false">W_PH(Y$2,$A219)</f>
        <v>728.186193363155</v>
      </c>
      <c r="Z219" s="0" t="n">
        <f aca="false">W_PH(Z$2,$A219)</f>
        <v>728.174676809326</v>
      </c>
      <c r="AA219" s="0" t="n">
        <f aca="false">W_PH(AA$2,$A219)</f>
        <v>728.163389722271</v>
      </c>
      <c r="AB219" s="0" t="n">
        <f aca="false">W_PH(AB$2,$A219)</f>
        <v>728.152333079619</v>
      </c>
      <c r="AC219" s="0" t="n">
        <f aca="false">W_PH(AC$2,$A219)</f>
        <v>728.141507846934</v>
      </c>
      <c r="AD219" s="0" t="n">
        <f aca="false">W_PH(AD$2,$A219)</f>
        <v>728.130914977652</v>
      </c>
      <c r="AE219" s="0" t="n">
        <f aca="false">W_PH(AE$2,$A219)</f>
        <v>728.120555413024</v>
      </c>
      <c r="AF219" s="0" t="n">
        <f aca="false">W_PH(AF$2,$A219)</f>
        <v>728.110430082067</v>
      </c>
      <c r="AG219" s="0" t="n">
        <f aca="false">W_PH(AG$2,$A219)</f>
        <v>728.100539901509</v>
      </c>
      <c r="AH219" s="0" t="n">
        <f aca="false">W_PH(AH$2,$A219)</f>
        <v>728.014764176601</v>
      </c>
      <c r="AI219" s="0" t="n">
        <f aca="false">W_PH(AI$2,$A219)</f>
        <v>727.95341920628</v>
      </c>
      <c r="AJ219" s="0" t="n">
        <f aca="false">W_PH(AJ$2,$A219)</f>
        <v>727.920123746334</v>
      </c>
      <c r="AK219" s="0" t="n">
        <f aca="false">W_PH(AK$2,$A219)</f>
        <v>727.90890564278</v>
      </c>
      <c r="AL219" s="0" t="n">
        <f aca="false">W_PH(AL$2,$A219)</f>
        <v>727.925810322981</v>
      </c>
      <c r="AM219" s="0" t="n">
        <f aca="false">W_PH(AM$2,$A219)</f>
        <v>727.971403926137</v>
      </c>
      <c r="AN219" s="0" t="n">
        <f aca="false">W_PH(AN$2,$A219)</f>
        <v>728.046139545284</v>
      </c>
      <c r="AO219" s="0" t="n">
        <f aca="false">W_PH(AO$2,$A219)</f>
        <v>728.150362282821</v>
      </c>
      <c r="AP219" s="0" t="n">
        <f aca="false">W_PH(AP$2,$A219)</f>
        <v>728.284315159024</v>
      </c>
      <c r="AQ219" s="0" t="n">
        <f aca="false">W_PH(AQ$2,$A219)</f>
        <v>731.253523767062</v>
      </c>
      <c r="AR219" s="0" t="n">
        <f aca="false">W_PH(AR$2,$A219)</f>
        <v>732.222390522058</v>
      </c>
      <c r="AS219" s="0" t="n">
        <f aca="false">W_PH(AS$2,$A219)</f>
        <v>732.699675028524</v>
      </c>
    </row>
    <row r="220" customFormat="false" ht="13.8" hidden="false" customHeight="false" outlineLevel="0" collapsed="false">
      <c r="A220" s="0" t="n">
        <v>3800</v>
      </c>
      <c r="B220" s="0" t="n">
        <f aca="false">W_PH(B$2,$A220)</f>
        <v>729.86492087117</v>
      </c>
      <c r="C220" s="0" t="n">
        <f aca="false">W_PH(C$2,$A220)</f>
        <v>729.864909736743</v>
      </c>
      <c r="D220" s="0" t="n">
        <f aca="false">W_PH(D$2,$A220)</f>
        <v>729.864898602541</v>
      </c>
      <c r="E220" s="0" t="n">
        <f aca="false">W_PH(E$2,$A220)</f>
        <v>729.864887468563</v>
      </c>
      <c r="F220" s="0" t="n">
        <f aca="false">W_PH(F$2,$A220)</f>
        <v>729.864876334812</v>
      </c>
      <c r="G220" s="0" t="n">
        <f aca="false">W_PH(G$2,$A220)</f>
        <v>729.864765009672</v>
      </c>
      <c r="H220" s="0" t="n">
        <f aca="false">W_PH(H$2,$A220)</f>
        <v>729.864653707044</v>
      </c>
      <c r="I220" s="0" t="n">
        <f aca="false">W_PH(I$2,$A220)</f>
        <v>729.864542426929</v>
      </c>
      <c r="J220" s="0" t="n">
        <f aca="false">W_PH(J$2,$A220)</f>
        <v>729.864431169328</v>
      </c>
      <c r="K220" s="0" t="n">
        <f aca="false">W_PH(K$2,$A220)</f>
        <v>729.864319934241</v>
      </c>
      <c r="L220" s="0" t="n">
        <f aca="false">W_PH(L$2,$A220)</f>
        <v>729.864208721669</v>
      </c>
      <c r="M220" s="0" t="n">
        <f aca="false">W_PH(M$2,$A220)</f>
        <v>729.864097531614</v>
      </c>
      <c r="N220" s="0" t="n">
        <f aca="false">W_PH(N$2,$A220)</f>
        <v>729.863986364076</v>
      </c>
      <c r="O220" s="0" t="n">
        <f aca="false">W_PH(O$2,$A220)</f>
        <v>729.863875219057</v>
      </c>
      <c r="P220" s="0" t="n">
        <f aca="false">W_PH(P$2,$A220)</f>
        <v>729.862765007612</v>
      </c>
      <c r="Q220" s="0" t="n">
        <f aca="false">W_PH(Q$2,$A220)</f>
        <v>729.861657049134</v>
      </c>
      <c r="R220" s="0" t="n">
        <f aca="false">W_PH(R$2,$A220)</f>
        <v>729.860551344631</v>
      </c>
      <c r="S220" s="0" t="n">
        <f aca="false">W_PH(S$2,$A220)</f>
        <v>729.859447895108</v>
      </c>
      <c r="T220" s="0" t="n">
        <f aca="false">W_PH(T$2,$A220)</f>
        <v>729.85834670157</v>
      </c>
      <c r="U220" s="0" t="n">
        <f aca="false">W_PH(U$2,$A220)</f>
        <v>729.857247765022</v>
      </c>
      <c r="V220" s="0" t="n">
        <f aca="false">W_PH(V$2,$A220)</f>
        <v>729.856151086466</v>
      </c>
      <c r="W220" s="0" t="n">
        <f aca="false">W_PH(W$2,$A220)</f>
        <v>729.855056666903</v>
      </c>
      <c r="X220" s="0" t="n">
        <f aca="false">W_PH(X$2,$A220)</f>
        <v>729.853964507333</v>
      </c>
      <c r="Y220" s="0" t="n">
        <f aca="false">W_PH(Y$2,$A220)</f>
        <v>729.843167430407</v>
      </c>
      <c r="Z220" s="0" t="n">
        <f aca="false">W_PH(Z$2,$A220)</f>
        <v>729.832597443868</v>
      </c>
      <c r="AA220" s="0" t="n">
        <f aca="false">W_PH(AA$2,$A220)</f>
        <v>729.822255527712</v>
      </c>
      <c r="AB220" s="0" t="n">
        <f aca="false">W_PH(AB$2,$A220)</f>
        <v>729.812142649694</v>
      </c>
      <c r="AC220" s="0" t="n">
        <f aca="false">W_PH(AC$2,$A220)</f>
        <v>729.802259765281</v>
      </c>
      <c r="AD220" s="0" t="n">
        <f aca="false">W_PH(AD$2,$A220)</f>
        <v>729.792607817609</v>
      </c>
      <c r="AE220" s="0" t="n">
        <f aca="false">W_PH(AE$2,$A220)</f>
        <v>729.783187737435</v>
      </c>
      <c r="AF220" s="0" t="n">
        <f aca="false">W_PH(AF$2,$A220)</f>
        <v>729.774000443104</v>
      </c>
      <c r="AG220" s="0" t="n">
        <f aca="false">W_PH(AG$2,$A220)</f>
        <v>729.765046840505</v>
      </c>
      <c r="AH220" s="0" t="n">
        <f aca="false">W_PH(AH$2,$A220)</f>
        <v>729.68855419245</v>
      </c>
      <c r="AI220" s="0" t="n">
        <f aca="false">W_PH(AI$2,$A220)</f>
        <v>729.636333764213</v>
      </c>
      <c r="AJ220" s="0" t="n">
        <f aca="false">W_PH(AJ$2,$A220)</f>
        <v>729.612049650023</v>
      </c>
      <c r="AK220" s="0" t="n">
        <f aca="false">W_PH(AK$2,$A220)</f>
        <v>729.609608790475</v>
      </c>
      <c r="AL220" s="0" t="n">
        <f aca="false">W_PH(AL$2,$A220)</f>
        <v>729.634956799848</v>
      </c>
      <c r="AM220" s="0" t="n">
        <f aca="false">W_PH(AM$2,$A220)</f>
        <v>729.688634083924</v>
      </c>
      <c r="AN220" s="0" t="n">
        <f aca="false">W_PH(AN$2,$A220)</f>
        <v>729.771070035773</v>
      </c>
      <c r="AO220" s="0" t="n">
        <f aca="false">W_PH(AO$2,$A220)</f>
        <v>729.882588407174</v>
      </c>
      <c r="AP220" s="0" t="n">
        <f aca="false">W_PH(AP$2,$A220)</f>
        <v>730.023413429484</v>
      </c>
      <c r="AQ220" s="0" t="n">
        <f aca="false">W_PH(AQ$2,$A220)</f>
        <v>733.035821179156</v>
      </c>
      <c r="AR220" s="0" t="n">
        <f aca="false">W_PH(AR$2,$A220)</f>
        <v>734.007735630596</v>
      </c>
      <c r="AS220" s="0" t="n">
        <f aca="false">W_PH(AS$2,$A220)</f>
        <v>734.485771510002</v>
      </c>
    </row>
    <row r="221" customFormat="false" ht="13.8" hidden="false" customHeight="false" outlineLevel="0" collapsed="false">
      <c r="A221" s="0" t="n">
        <v>3810</v>
      </c>
      <c r="B221" s="0" t="n">
        <f aca="false">W_PH(B$2,$A221)</f>
        <v>731.513049891344</v>
      </c>
      <c r="C221" s="0" t="n">
        <f aca="false">W_PH(C$2,$A221)</f>
        <v>731.513039694325</v>
      </c>
      <c r="D221" s="0" t="n">
        <f aca="false">W_PH(D$2,$A221)</f>
        <v>731.513029497529</v>
      </c>
      <c r="E221" s="0" t="n">
        <f aca="false">W_PH(E$2,$A221)</f>
        <v>731.513019300957</v>
      </c>
      <c r="F221" s="0" t="n">
        <f aca="false">W_PH(F$2,$A221)</f>
        <v>731.513009104609</v>
      </c>
      <c r="G221" s="0" t="n">
        <f aca="false">W_PH(G$2,$A221)</f>
        <v>731.512907153442</v>
      </c>
      <c r="H221" s="0" t="n">
        <f aca="false">W_PH(H$2,$A221)</f>
        <v>731.512805224663</v>
      </c>
      <c r="I221" s="0" t="n">
        <f aca="false">W_PH(I$2,$A221)</f>
        <v>731.512703318272</v>
      </c>
      <c r="J221" s="0" t="n">
        <f aca="false">W_PH(J$2,$A221)</f>
        <v>731.512601434271</v>
      </c>
      <c r="K221" s="0" t="n">
        <f aca="false">W_PH(K$2,$A221)</f>
        <v>731.51249957266</v>
      </c>
      <c r="L221" s="0" t="n">
        <f aca="false">W_PH(L$2,$A221)</f>
        <v>731.51239773344</v>
      </c>
      <c r="M221" s="0" t="n">
        <f aca="false">W_PH(M$2,$A221)</f>
        <v>731.512295916612</v>
      </c>
      <c r="N221" s="0" t="n">
        <f aca="false">W_PH(N$2,$A221)</f>
        <v>731.512194122178</v>
      </c>
      <c r="O221" s="0" t="n">
        <f aca="false">W_PH(O$2,$A221)</f>
        <v>731.512092350139</v>
      </c>
      <c r="P221" s="0" t="n">
        <f aca="false">W_PH(P$2,$A221)</f>
        <v>731.511075861651</v>
      </c>
      <c r="Q221" s="0" t="n">
        <f aca="false">W_PH(Q$2,$A221)</f>
        <v>731.510061613695</v>
      </c>
      <c r="R221" s="0" t="n">
        <f aca="false">W_PH(R$2,$A221)</f>
        <v>731.509049607268</v>
      </c>
      <c r="S221" s="0" t="n">
        <f aca="false">W_PH(S$2,$A221)</f>
        <v>731.508039843363</v>
      </c>
      <c r="T221" s="0" t="n">
        <f aca="false">W_PH(T$2,$A221)</f>
        <v>731.507032322973</v>
      </c>
      <c r="U221" s="0" t="n">
        <f aca="false">W_PH(U$2,$A221)</f>
        <v>731.506027047091</v>
      </c>
      <c r="V221" s="0" t="n">
        <f aca="false">W_PH(V$2,$A221)</f>
        <v>731.505024016707</v>
      </c>
      <c r="W221" s="0" t="n">
        <f aca="false">W_PH(W$2,$A221)</f>
        <v>731.504023232809</v>
      </c>
      <c r="X221" s="0" t="n">
        <f aca="false">W_PH(X$2,$A221)</f>
        <v>731.503024696386</v>
      </c>
      <c r="Y221" s="0" t="n">
        <f aca="false">W_PH(Y$2,$A221)</f>
        <v>731.493163159795</v>
      </c>
      <c r="Z221" s="0" t="n">
        <f aca="false">W_PH(Z$2,$A221)</f>
        <v>731.483527448456</v>
      </c>
      <c r="AA221" s="0" t="n">
        <f aca="false">W_PH(AA$2,$A221)</f>
        <v>731.474118530055</v>
      </c>
      <c r="AB221" s="0" t="n">
        <f aca="false">W_PH(AB$2,$A221)</f>
        <v>731.464937359861</v>
      </c>
      <c r="AC221" s="0" t="n">
        <f aca="false">W_PH(AC$2,$A221)</f>
        <v>731.455984880689</v>
      </c>
      <c r="AD221" s="0" t="n">
        <f aca="false">W_PH(AD$2,$A221)</f>
        <v>731.447262022869</v>
      </c>
      <c r="AE221" s="0" t="n">
        <f aca="false">W_PH(AE$2,$A221)</f>
        <v>731.438769704215</v>
      </c>
      <c r="AF221" s="0" t="n">
        <f aca="false">W_PH(AF$2,$A221)</f>
        <v>731.43050883</v>
      </c>
      <c r="AG221" s="0" t="n">
        <f aca="false">W_PH(AG$2,$A221)</f>
        <v>731.422480292933</v>
      </c>
      <c r="AH221" s="0" t="n">
        <f aca="false">W_PH(AH$2,$A221)</f>
        <v>731.35516083923</v>
      </c>
      <c r="AI221" s="0" t="n">
        <f aca="false">W_PH(AI$2,$A221)</f>
        <v>731.311963227918</v>
      </c>
      <c r="AJ221" s="0" t="n">
        <f aca="false">W_PH(AJ$2,$A221)</f>
        <v>731.296591222086</v>
      </c>
      <c r="AK221" s="0" t="n">
        <f aca="false">W_PH(AK$2,$A221)</f>
        <v>731.302835158336</v>
      </c>
      <c r="AL221" s="0" t="n">
        <f aca="false">W_PH(AL$2,$A221)</f>
        <v>731.336540580008</v>
      </c>
      <c r="AM221" s="0" t="n">
        <f aca="false">W_PH(AM$2,$A221)</f>
        <v>731.398222135463</v>
      </c>
      <c r="AN221" s="0" t="n">
        <f aca="false">W_PH(AN$2,$A221)</f>
        <v>731.488285616757</v>
      </c>
      <c r="AO221" s="0" t="n">
        <f aca="false">W_PH(AO$2,$A221)</f>
        <v>731.607033605778</v>
      </c>
      <c r="AP221" s="0" t="n">
        <f aca="false">W_PH(AP$2,$A221)</f>
        <v>731.754671773988</v>
      </c>
      <c r="AQ221" s="0" t="n">
        <f aca="false">W_PH(AQ$2,$A221)</f>
        <v>734.810118570177</v>
      </c>
      <c r="AR221" s="0" t="n">
        <f aca="false">W_PH(AR$2,$A221)</f>
        <v>735.785147668034</v>
      </c>
      <c r="AS221" s="0" t="n">
        <f aca="false">W_PH(AS$2,$A221)</f>
        <v>736.263975609468</v>
      </c>
    </row>
    <row r="222" customFormat="false" ht="13.8" hidden="false" customHeight="false" outlineLevel="0" collapsed="false">
      <c r="A222" s="0" t="n">
        <v>3820</v>
      </c>
      <c r="B222" s="0" t="n">
        <f aca="false">W_PH(B$2,$A222)</f>
        <v>733.154294572312</v>
      </c>
      <c r="C222" s="0" t="n">
        <f aca="false">W_PH(C$2,$A222)</f>
        <v>733.154285300526</v>
      </c>
      <c r="D222" s="0" t="n">
        <f aca="false">W_PH(D$2,$A222)</f>
        <v>733.154276028963</v>
      </c>
      <c r="E222" s="0" t="n">
        <f aca="false">W_PH(E$2,$A222)</f>
        <v>733.154266757622</v>
      </c>
      <c r="F222" s="0" t="n">
        <f aca="false">W_PH(F$2,$A222)</f>
        <v>733.154257486505</v>
      </c>
      <c r="G222" s="0" t="n">
        <f aca="false">W_PH(G$2,$A222)</f>
        <v>733.154164787577</v>
      </c>
      <c r="H222" s="0" t="n">
        <f aca="false">W_PH(H$2,$A222)</f>
        <v>733.154072110925</v>
      </c>
      <c r="I222" s="0" t="n">
        <f aca="false">W_PH(I$2,$A222)</f>
        <v>733.153979456549</v>
      </c>
      <c r="J222" s="0" t="n">
        <f aca="false">W_PH(J$2,$A222)</f>
        <v>733.153886824449</v>
      </c>
      <c r="K222" s="0" t="n">
        <f aca="false">W_PH(K$2,$A222)</f>
        <v>733.153794214627</v>
      </c>
      <c r="L222" s="0" t="n">
        <f aca="false">W_PH(L$2,$A222)</f>
        <v>733.153701627085</v>
      </c>
      <c r="M222" s="0" t="n">
        <f aca="false">W_PH(M$2,$A222)</f>
        <v>733.153609061821</v>
      </c>
      <c r="N222" s="0" t="n">
        <f aca="false">W_PH(N$2,$A222)</f>
        <v>733.153516518839</v>
      </c>
      <c r="O222" s="0" t="n">
        <f aca="false">W_PH(O$2,$A222)</f>
        <v>733.153423998139</v>
      </c>
      <c r="P222" s="0" t="n">
        <f aca="false">W_PH(P$2,$A222)</f>
        <v>733.152500016848</v>
      </c>
      <c r="Q222" s="0" t="n">
        <f aca="false">W_PH(Q$2,$A222)</f>
        <v>733.151578264815</v>
      </c>
      <c r="R222" s="0" t="n">
        <f aca="false">W_PH(R$2,$A222)</f>
        <v>733.150658743022</v>
      </c>
      <c r="S222" s="0" t="n">
        <f aca="false">W_PH(S$2,$A222)</f>
        <v>733.149741452447</v>
      </c>
      <c r="T222" s="0" t="n">
        <f aca="false">W_PH(T$2,$A222)</f>
        <v>733.14882639407</v>
      </c>
      <c r="U222" s="0" t="n">
        <f aca="false">W_PH(U$2,$A222)</f>
        <v>733.147913568868</v>
      </c>
      <c r="V222" s="0" t="n">
        <f aca="false">W_PH(V$2,$A222)</f>
        <v>733.147002977816</v>
      </c>
      <c r="W222" s="0" t="n">
        <f aca="false">W_PH(W$2,$A222)</f>
        <v>733.146094621891</v>
      </c>
      <c r="X222" s="0" t="n">
        <f aca="false">W_PH(X$2,$A222)</f>
        <v>733.145188502064</v>
      </c>
      <c r="Y222" s="0" t="n">
        <f aca="false">W_PH(Y$2,$A222)</f>
        <v>733.136250502546</v>
      </c>
      <c r="Z222" s="0" t="n">
        <f aca="false">W_PH(Z$2,$A222)</f>
        <v>733.127537174577</v>
      </c>
      <c r="AA222" s="0" t="n">
        <f aca="false">W_PH(AA$2,$A222)</f>
        <v>733.119049471068</v>
      </c>
      <c r="AB222" s="0" t="n">
        <f aca="false">W_PH(AB$2,$A222)</f>
        <v>733.110788332381</v>
      </c>
      <c r="AC222" s="0" t="n">
        <f aca="false">W_PH(AC$2,$A222)</f>
        <v>733.102754686317</v>
      </c>
      <c r="AD222" s="0" t="n">
        <f aca="false">W_PH(AD$2,$A222)</f>
        <v>733.094949448086</v>
      </c>
      <c r="AE222" s="0" t="n">
        <f aca="false">W_PH(AE$2,$A222)</f>
        <v>733.087373520296</v>
      </c>
      <c r="AF222" s="0" t="n">
        <f aca="false">W_PH(AF$2,$A222)</f>
        <v>733.080027792934</v>
      </c>
      <c r="AG222" s="0" t="n">
        <f aca="false">W_PH(AG$2,$A222)</f>
        <v>733.072913143356</v>
      </c>
      <c r="AH222" s="0" t="n">
        <f aca="false">W_PH(AH$2,$A222)</f>
        <v>733.014659895053</v>
      </c>
      <c r="AI222" s="0" t="n">
        <f aca="false">W_PH(AI$2,$A222)</f>
        <v>732.980385555845</v>
      </c>
      <c r="AJ222" s="0" t="n">
        <f aca="false">W_PH(AJ$2,$A222)</f>
        <v>732.973826867775</v>
      </c>
      <c r="AK222" s="0" t="n">
        <f aca="false">W_PH(AK$2,$A222)</f>
        <v>732.988664281993</v>
      </c>
      <c r="AL222" s="0" t="n">
        <f aca="false">W_PH(AL$2,$A222)</f>
        <v>733.03064210764</v>
      </c>
      <c r="AM222" s="0" t="n">
        <f aca="false">W_PH(AM$2,$A222)</f>
        <v>733.100249241103</v>
      </c>
      <c r="AN222" s="0" t="n">
        <f aca="false">W_PH(AN$2,$A222)</f>
        <v>733.197867990966</v>
      </c>
      <c r="AO222" s="0" t="n">
        <f aca="false">W_PH(AO$2,$A222)</f>
        <v>733.323779960042</v>
      </c>
      <c r="AP222" s="0" t="n">
        <f aca="false">W_PH(AP$2,$A222)</f>
        <v>733.478172492407</v>
      </c>
      <c r="AQ222" s="0" t="n">
        <f aca="false">W_PH(AQ$2,$A222)</f>
        <v>736.576489907611</v>
      </c>
      <c r="AR222" s="0" t="n">
        <f aca="false">W_PH(AR$2,$A222)</f>
        <v>737.554695801024</v>
      </c>
      <c r="AS222" s="0" t="n">
        <f aca="false">W_PH(AS$2,$A222)</f>
        <v>738.034353884425</v>
      </c>
    </row>
    <row r="223" customFormat="false" ht="13.8" hidden="false" customHeight="false" outlineLevel="0" collapsed="false">
      <c r="A223" s="0" t="n">
        <v>3830</v>
      </c>
      <c r="B223" s="0" t="n">
        <f aca="false">W_PH(B$2,$A223)</f>
        <v>734.78872296111</v>
      </c>
      <c r="C223" s="0" t="n">
        <f aca="false">W_PH(C$2,$A223)</f>
        <v>734.788714602793</v>
      </c>
      <c r="D223" s="0" t="n">
        <f aca="false">W_PH(D$2,$A223)</f>
        <v>734.788706244699</v>
      </c>
      <c r="E223" s="0" t="n">
        <f aca="false">W_PH(E$2,$A223)</f>
        <v>734.788697886826</v>
      </c>
      <c r="F223" s="0" t="n">
        <f aca="false">W_PH(F$2,$A223)</f>
        <v>734.788689529175</v>
      </c>
      <c r="G223" s="0" t="n">
        <f aca="false">W_PH(G$2,$A223)</f>
        <v>734.788605964858</v>
      </c>
      <c r="H223" s="0" t="n">
        <f aca="false">W_PH(H$2,$A223)</f>
        <v>734.788522422714</v>
      </c>
      <c r="I223" s="0" t="n">
        <f aca="false">W_PH(I$2,$A223)</f>
        <v>734.788438902744</v>
      </c>
      <c r="J223" s="0" t="n">
        <f aca="false">W_PH(J$2,$A223)</f>
        <v>734.78835540495</v>
      </c>
      <c r="K223" s="0" t="n">
        <f aca="false">W_PH(K$2,$A223)</f>
        <v>734.788271929331</v>
      </c>
      <c r="L223" s="0" t="n">
        <f aca="false">W_PH(L$2,$A223)</f>
        <v>734.788188475889</v>
      </c>
      <c r="M223" s="0" t="n">
        <f aca="false">W_PH(M$2,$A223)</f>
        <v>734.788105044624</v>
      </c>
      <c r="N223" s="0" t="n">
        <f aca="false">W_PH(N$2,$A223)</f>
        <v>734.788021635539</v>
      </c>
      <c r="O223" s="0" t="n">
        <f aca="false">W_PH(O$2,$A223)</f>
        <v>734.787938248634</v>
      </c>
      <c r="P223" s="0" t="n">
        <f aca="false">W_PH(P$2,$A223)</f>
        <v>734.787105599679</v>
      </c>
      <c r="Q223" s="0" t="n">
        <f aca="false">W_PH(Q$2,$A223)</f>
        <v>734.786275169765</v>
      </c>
      <c r="R223" s="0" t="n">
        <f aca="false">W_PH(R$2,$A223)</f>
        <v>734.785446959856</v>
      </c>
      <c r="S223" s="0" t="n">
        <f aca="false">W_PH(S$2,$A223)</f>
        <v>734.784620970916</v>
      </c>
      <c r="T223" s="0" t="n">
        <f aca="false">W_PH(T$2,$A223)</f>
        <v>734.783797203904</v>
      </c>
      <c r="U223" s="0" t="n">
        <f aca="false">W_PH(U$2,$A223)</f>
        <v>734.782975659783</v>
      </c>
      <c r="V223" s="0" t="n">
        <f aca="false">W_PH(V$2,$A223)</f>
        <v>734.782156339511</v>
      </c>
      <c r="W223" s="0" t="n">
        <f aca="false">W_PH(W$2,$A223)</f>
        <v>734.781339244046</v>
      </c>
      <c r="X223" s="0" t="n">
        <f aca="false">W_PH(X$2,$A223)</f>
        <v>734.780524374345</v>
      </c>
      <c r="Y223" s="0" t="n">
        <f aca="false">W_PH(Y$2,$A223)</f>
        <v>734.7724983039</v>
      </c>
      <c r="Z223" s="0" t="n">
        <f aca="false">W_PH(Z$2,$A223)</f>
        <v>734.764695852788</v>
      </c>
      <c r="AA223" s="0" t="n">
        <f aca="false">W_PH(AA$2,$A223)</f>
        <v>734.757117956864</v>
      </c>
      <c r="AB223" s="0" t="n">
        <f aca="false">W_PH(AB$2,$A223)</f>
        <v>734.749765539362</v>
      </c>
      <c r="AC223" s="0" t="n">
        <f aca="false">W_PH(AC$2,$A223)</f>
        <v>734.742639510883</v>
      </c>
      <c r="AD223" s="0" t="n">
        <f aca="false">W_PH(AD$2,$A223)</f>
        <v>734.735740769391</v>
      </c>
      <c r="AE223" s="0" t="n">
        <f aca="false">W_PH(AE$2,$A223)</f>
        <v>734.729070200198</v>
      </c>
      <c r="AF223" s="0" t="n">
        <f aca="false">W_PH(AF$2,$A223)</f>
        <v>734.722628675965</v>
      </c>
      <c r="AG223" s="0" t="n">
        <f aca="false">W_PH(AG$2,$A223)</f>
        <v>734.716417056695</v>
      </c>
      <c r="AH223" s="0" t="n">
        <f aca="false">W_PH(AH$2,$A223)</f>
        <v>734.667125791438</v>
      </c>
      <c r="AI223" s="0" t="n">
        <f aca="false">W_PH(AI$2,$A223)</f>
        <v>734.641677243458</v>
      </c>
      <c r="AJ223" s="0" t="n">
        <f aca="false">W_PH(AJ$2,$A223)</f>
        <v>734.643833443905</v>
      </c>
      <c r="AK223" s="0" t="n">
        <f aca="false">W_PH(AK$2,$A223)</f>
        <v>734.667174103769</v>
      </c>
      <c r="AL223" s="0" t="n">
        <f aca="false">W_PH(AL$2,$A223)</f>
        <v>734.717340196436</v>
      </c>
      <c r="AM223" s="0" t="n">
        <f aca="false">W_PH(AM$2,$A223)</f>
        <v>734.794794900675</v>
      </c>
      <c r="AN223" s="0" t="n">
        <f aca="false">W_PH(AN$2,$A223)</f>
        <v>734.899897177434</v>
      </c>
      <c r="AO223" s="0" t="n">
        <f aca="false">W_PH(AO$2,$A223)</f>
        <v>735.03290785123</v>
      </c>
      <c r="AP223" s="0" t="n">
        <f aca="false">W_PH(AP$2,$A223)</f>
        <v>735.193996174713</v>
      </c>
      <c r="AQ223" s="0" t="n">
        <f aca="false">W_PH(AQ$2,$A223)</f>
        <v>738.335007723989</v>
      </c>
      <c r="AR223" s="0" t="n">
        <f aca="false">W_PH(AR$2,$A223)</f>
        <v>739.3164479017</v>
      </c>
      <c r="AS223" s="0" t="n">
        <f aca="false">W_PH(AS$2,$A223)</f>
        <v>739.796971670658</v>
      </c>
    </row>
    <row r="224" customFormat="false" ht="13.8" hidden="false" customHeight="false" outlineLevel="0" collapsed="false">
      <c r="A224" s="0" t="n">
        <v>3840</v>
      </c>
      <c r="B224" s="0" t="n">
        <f aca="false">W_PH(B$2,$A224)</f>
        <v>736.416402037099</v>
      </c>
      <c r="C224" s="0" t="n">
        <f aca="false">W_PH(C$2,$A224)</f>
        <v>736.416394580884</v>
      </c>
      <c r="D224" s="0" t="n">
        <f aca="false">W_PH(D$2,$A224)</f>
        <v>736.416387124889</v>
      </c>
      <c r="E224" s="0" t="n">
        <f aca="false">W_PH(E$2,$A224)</f>
        <v>736.416379669115</v>
      </c>
      <c r="F224" s="0" t="n">
        <f aca="false">W_PH(F$2,$A224)</f>
        <v>736.416372213562</v>
      </c>
      <c r="G224" s="0" t="n">
        <f aca="false">W_PH(G$2,$A224)</f>
        <v>736.416297670174</v>
      </c>
      <c r="H224" s="0" t="n">
        <f aca="false">W_PH(H$2,$A224)</f>
        <v>736.416223148868</v>
      </c>
      <c r="I224" s="0" t="n">
        <f aca="false">W_PH(I$2,$A224)</f>
        <v>736.416148649643</v>
      </c>
      <c r="J224" s="0" t="n">
        <f aca="false">W_PH(J$2,$A224)</f>
        <v>736.416074172501</v>
      </c>
      <c r="K224" s="0" t="n">
        <f aca="false">W_PH(K$2,$A224)</f>
        <v>736.415999717442</v>
      </c>
      <c r="L224" s="0" t="n">
        <f aca="false">W_PH(L$2,$A224)</f>
        <v>736.415925284468</v>
      </c>
      <c r="M224" s="0" t="n">
        <f aca="false">W_PH(M$2,$A224)</f>
        <v>736.41585087358</v>
      </c>
      <c r="N224" s="0" t="n">
        <f aca="false">W_PH(N$2,$A224)</f>
        <v>736.415776484777</v>
      </c>
      <c r="O224" s="0" t="n">
        <f aca="false">W_PH(O$2,$A224)</f>
        <v>736.415702118063</v>
      </c>
      <c r="P224" s="0" t="n">
        <f aca="false">W_PH(P$2,$A224)</f>
        <v>736.41495966593</v>
      </c>
      <c r="Q224" s="0" t="n">
        <f aca="false">W_PH(Q$2,$A224)</f>
        <v>736.414219423578</v>
      </c>
      <c r="R224" s="0" t="n">
        <f aca="false">W_PH(R$2,$A224)</f>
        <v>736.41348139195</v>
      </c>
      <c r="S224" s="0" t="n">
        <f aca="false">W_PH(S$2,$A224)</f>
        <v>736.412745571992</v>
      </c>
      <c r="T224" s="0" t="n">
        <f aca="false">W_PH(T$2,$A224)</f>
        <v>736.412011964645</v>
      </c>
      <c r="U224" s="0" t="n">
        <f aca="false">W_PH(U$2,$A224)</f>
        <v>736.411280570851</v>
      </c>
      <c r="V224" s="0" t="n">
        <f aca="false">W_PH(V$2,$A224)</f>
        <v>736.410551391551</v>
      </c>
      <c r="W224" s="0" t="n">
        <f aca="false">W_PH(W$2,$A224)</f>
        <v>736.409824427682</v>
      </c>
      <c r="X224" s="0" t="n">
        <f aca="false">W_PH(X$2,$A224)</f>
        <v>736.409099680183</v>
      </c>
      <c r="Y224" s="0" t="n">
        <f aca="false">W_PH(Y$2,$A224)</f>
        <v>736.401974310876</v>
      </c>
      <c r="Z224" s="0" t="n">
        <f aca="false">W_PH(Z$2,$A224)</f>
        <v>736.395071600462</v>
      </c>
      <c r="AA224" s="0" t="n">
        <f aca="false">W_PH(AA$2,$A224)</f>
        <v>736.388392465648</v>
      </c>
      <c r="AB224" s="0" t="n">
        <f aca="false">W_PH(AB$2,$A224)</f>
        <v>736.381937810489</v>
      </c>
      <c r="AC224" s="0" t="n">
        <f aca="false">W_PH(AC$2,$A224)</f>
        <v>736.375708526392</v>
      </c>
      <c r="AD224" s="0" t="n">
        <f aca="false">W_PH(AD$2,$A224)</f>
        <v>736.369705492107</v>
      </c>
      <c r="AE224" s="0" t="n">
        <f aca="false">W_PH(AE$2,$A224)</f>
        <v>736.36392957374</v>
      </c>
      <c r="AF224" s="0" t="n">
        <f aca="false">W_PH(AF$2,$A224)</f>
        <v>736.358381624746</v>
      </c>
      <c r="AG224" s="0" t="n">
        <f aca="false">W_PH(AG$2,$A224)</f>
        <v>736.353062485945</v>
      </c>
      <c r="AH224" s="0" t="n">
        <f aca="false">W_PH(AH$2,$A224)</f>
        <v>736.312631621238</v>
      </c>
      <c r="AI224" s="0" t="n">
        <f aca="false">W_PH(AI$2,$A224)</f>
        <v>736.295913331937</v>
      </c>
      <c r="AJ224" s="0" t="n">
        <f aca="false">W_PH(AJ$2,$A224)</f>
        <v>736.306686282563</v>
      </c>
      <c r="AK224" s="0" t="n">
        <f aca="false">W_PH(AK$2,$A224)</f>
        <v>736.338440998046</v>
      </c>
      <c r="AL224" s="0" t="n">
        <f aca="false">W_PH(AL$2,$A224)</f>
        <v>736.396712056107</v>
      </c>
      <c r="AM224" s="0" t="n">
        <f aca="false">W_PH(AM$2,$A224)</f>
        <v>736.481936980577</v>
      </c>
      <c r="AN224" s="0" t="n">
        <f aca="false">W_PH(AN$2,$A224)</f>
        <v>736.594451538585</v>
      </c>
      <c r="AO224" s="0" t="n">
        <f aca="false">W_PH(AO$2,$A224)</f>
        <v>736.734495986966</v>
      </c>
      <c r="AP224" s="0" t="n">
        <f aca="false">W_PH(AP$2,$A224)</f>
        <v>736.902221726329</v>
      </c>
      <c r="AQ224" s="0" t="n">
        <f aca="false">W_PH(AQ$2,$A224)</f>
        <v>740.085743109034</v>
      </c>
      <c r="AR224" s="0" t="n">
        <f aca="false">W_PH(AR$2,$A224)</f>
        <v>741.070470531701</v>
      </c>
      <c r="AS224" s="0" t="n">
        <f aca="false">W_PH(AS$2,$A224)</f>
        <v>741.551893062862</v>
      </c>
    </row>
    <row r="225" customFormat="false" ht="13.8" hidden="false" customHeight="false" outlineLevel="0" collapsed="false">
      <c r="A225" s="0" t="n">
        <v>3850</v>
      </c>
      <c r="B225" s="0" t="n">
        <f aca="false">W_PH(B$2,$A225)</f>
        <v>738.037397719586</v>
      </c>
      <c r="C225" s="0" t="n">
        <f aca="false">W_PH(C$2,$A225)</f>
        <v>738.037391154482</v>
      </c>
      <c r="D225" s="0" t="n">
        <f aca="false">W_PH(D$2,$A225)</f>
        <v>738.037384589598</v>
      </c>
      <c r="E225" s="0" t="n">
        <f aca="false">W_PH(E$2,$A225)</f>
        <v>738.037378024933</v>
      </c>
      <c r="F225" s="0" t="n">
        <f aca="false">W_PH(F$2,$A225)</f>
        <v>738.037371460489</v>
      </c>
      <c r="G225" s="0" t="n">
        <f aca="false">W_PH(G$2,$A225)</f>
        <v>738.037305828143</v>
      </c>
      <c r="H225" s="0" t="n">
        <f aca="false">W_PH(H$2,$A225)</f>
        <v>738.037240217794</v>
      </c>
      <c r="I225" s="0" t="n">
        <f aca="false">W_PH(I$2,$A225)</f>
        <v>738.037174629443</v>
      </c>
      <c r="J225" s="0" t="n">
        <f aca="false">W_PH(J$2,$A225)</f>
        <v>738.03710906309</v>
      </c>
      <c r="K225" s="0" t="n">
        <f aca="false">W_PH(K$2,$A225)</f>
        <v>738.037043518738</v>
      </c>
      <c r="L225" s="0" t="n">
        <f aca="false">W_PH(L$2,$A225)</f>
        <v>738.036977996386</v>
      </c>
      <c r="M225" s="0" t="n">
        <f aca="false">W_PH(M$2,$A225)</f>
        <v>738.036912496037</v>
      </c>
      <c r="N225" s="0" t="n">
        <f aca="false">W_PH(N$2,$A225)</f>
        <v>738.03684701769</v>
      </c>
      <c r="O225" s="0" t="n">
        <f aca="false">W_PH(O$2,$A225)</f>
        <v>738.036781561346</v>
      </c>
      <c r="P225" s="0" t="n">
        <f aca="false">W_PH(P$2,$A225)</f>
        <v>738.036128208313</v>
      </c>
      <c r="Q225" s="0" t="n">
        <f aca="false">W_PH(Q$2,$A225)</f>
        <v>738.035477056657</v>
      </c>
      <c r="R225" s="0" t="n">
        <f aca="false">W_PH(R$2,$A225)</f>
        <v>738.034828107304</v>
      </c>
      <c r="S225" s="0" t="n">
        <f aca="false">W_PH(S$2,$A225)</f>
        <v>738.034181361175</v>
      </c>
      <c r="T225" s="0" t="n">
        <f aca="false">W_PH(T$2,$A225)</f>
        <v>738.033536819192</v>
      </c>
      <c r="U225" s="0" t="n">
        <f aca="false">W_PH(U$2,$A225)</f>
        <v>738.032894482276</v>
      </c>
      <c r="V225" s="0" t="n">
        <f aca="false">W_PH(V$2,$A225)</f>
        <v>738.032254351346</v>
      </c>
      <c r="W225" s="0" t="n">
        <f aca="false">W_PH(W$2,$A225)</f>
        <v>738.031616427319</v>
      </c>
      <c r="X225" s="0" t="n">
        <f aca="false">W_PH(X$2,$A225)</f>
        <v>738.030980711112</v>
      </c>
      <c r="Y225" s="0" t="n">
        <f aca="false">W_PH(Y$2,$A225)</f>
        <v>738.024745179861</v>
      </c>
      <c r="Z225" s="0" t="n">
        <f aca="false">W_PH(Z$2,$A225)</f>
        <v>738.018731429367</v>
      </c>
      <c r="AA225" s="0" t="n">
        <f aca="false">W_PH(AA$2,$A225)</f>
        <v>738.012940355272</v>
      </c>
      <c r="AB225" s="0" t="n">
        <f aca="false">W_PH(AB$2,$A225)</f>
        <v>738.007372840581</v>
      </c>
      <c r="AC225" s="0" t="n">
        <f aca="false">W_PH(AC$2,$A225)</f>
        <v>738.002029755667</v>
      </c>
      <c r="AD225" s="0" t="n">
        <f aca="false">W_PH(AD$2,$A225)</f>
        <v>737.99691195828</v>
      </c>
      <c r="AE225" s="0" t="n">
        <f aca="false">W_PH(AE$2,$A225)</f>
        <v>737.992020293559</v>
      </c>
      <c r="AF225" s="0" t="n">
        <f aca="false">W_PH(AF$2,$A225)</f>
        <v>737.987355594044</v>
      </c>
      <c r="AG225" s="0" t="n">
        <f aca="false">W_PH(AG$2,$A225)</f>
        <v>737.982918679686</v>
      </c>
      <c r="AH225" s="0" t="n">
        <f aca="false">W_PH(AH$2,$A225)</f>
        <v>737.951249146346</v>
      </c>
      <c r="AI225" s="0" t="n">
        <f aca="false">W_PH(AI$2,$A225)</f>
        <v>737.943167416573</v>
      </c>
      <c r="AJ225" s="0" t="n">
        <f aca="false">W_PH(AJ$2,$A225)</f>
        <v>737.962459214246</v>
      </c>
      <c r="AK225" s="0" t="n">
        <f aca="false">W_PH(AK$2,$A225)</f>
        <v>738.002539796069</v>
      </c>
      <c r="AL225" s="0" t="n">
        <f aca="false">W_PH(AL$2,$A225)</f>
        <v>738.068833318358</v>
      </c>
      <c r="AM225" s="0" t="n">
        <f aca="false">W_PH(AM$2,$A225)</f>
        <v>738.1617517404</v>
      </c>
      <c r="AN225" s="0" t="n">
        <f aca="false">W_PH(AN$2,$A225)</f>
        <v>738.281607806971</v>
      </c>
      <c r="AO225" s="0" t="n">
        <f aca="false">W_PH(AO$2,$A225)</f>
        <v>738.428621427528</v>
      </c>
      <c r="AP225" s="0" t="n">
        <f aca="false">W_PH(AP$2,$A225)</f>
        <v>738.60292639343</v>
      </c>
      <c r="AQ225" s="0" t="n">
        <f aca="false">W_PH(AQ$2,$A225)</f>
        <v>741.828765702933</v>
      </c>
      <c r="AR225" s="0" t="n">
        <f aca="false">W_PH(AR$2,$A225)</f>
        <v>742.816828926878</v>
      </c>
      <c r="AS225" s="0" t="n">
        <f aca="false">W_PH(AS$2,$A225)</f>
        <v>743.299180895615</v>
      </c>
    </row>
    <row r="226" customFormat="false" ht="13.8" hidden="false" customHeight="false" outlineLevel="0" collapsed="false">
      <c r="A226" s="0" t="n">
        <v>3860</v>
      </c>
      <c r="B226" s="0" t="n">
        <f aca="false">W_PH(B$2,$A226)</f>
        <v>739.651774875266</v>
      </c>
      <c r="C226" s="0" t="n">
        <f aca="false">W_PH(C$2,$A226)</f>
        <v>739.651769190648</v>
      </c>
      <c r="D226" s="0" t="n">
        <f aca="false">W_PH(D$2,$A226)</f>
        <v>739.651763506248</v>
      </c>
      <c r="E226" s="0" t="n">
        <f aca="false">W_PH(E$2,$A226)</f>
        <v>739.651757822067</v>
      </c>
      <c r="F226" s="0" t="n">
        <f aca="false">W_PH(F$2,$A226)</f>
        <v>739.651752138106</v>
      </c>
      <c r="G226" s="0" t="n">
        <f aca="false">W_PH(G$2,$A226)</f>
        <v>739.651695310549</v>
      </c>
      <c r="H226" s="0" t="n">
        <f aca="false">W_PH(H$2,$A226)</f>
        <v>739.651638504912</v>
      </c>
      <c r="I226" s="0" t="n">
        <f aca="false">W_PH(I$2,$A226)</f>
        <v>739.651581721198</v>
      </c>
      <c r="J226" s="0" t="n">
        <f aca="false">W_PH(J$2,$A226)</f>
        <v>739.651524959407</v>
      </c>
      <c r="K226" s="0" t="n">
        <f aca="false">W_PH(K$2,$A226)</f>
        <v>739.65146821954</v>
      </c>
      <c r="L226" s="0" t="n">
        <f aca="false">W_PH(L$2,$A226)</f>
        <v>739.651411501597</v>
      </c>
      <c r="M226" s="0" t="n">
        <f aca="false">W_PH(M$2,$A226)</f>
        <v>739.65135480558</v>
      </c>
      <c r="N226" s="0" t="n">
        <f aca="false">W_PH(N$2,$A226)</f>
        <v>739.65129813149</v>
      </c>
      <c r="O226" s="0" t="n">
        <f aca="false">W_PH(O$2,$A226)</f>
        <v>739.651241479327</v>
      </c>
      <c r="P226" s="0" t="n">
        <f aca="false">W_PH(P$2,$A226)</f>
        <v>739.650676163906</v>
      </c>
      <c r="Q226" s="0" t="n">
        <f aca="false">W_PH(Q$2,$A226)</f>
        <v>739.650113042224</v>
      </c>
      <c r="R226" s="0" t="n">
        <f aca="false">W_PH(R$2,$A226)</f>
        <v>739.649552115182</v>
      </c>
      <c r="S226" s="0" t="n">
        <f aca="false">W_PH(S$2,$A226)</f>
        <v>739.64899338368</v>
      </c>
      <c r="T226" s="0" t="n">
        <f aca="false">W_PH(T$2,$A226)</f>
        <v>739.648436848616</v>
      </c>
      <c r="U226" s="0" t="n">
        <f aca="false">W_PH(U$2,$A226)</f>
        <v>739.647882510889</v>
      </c>
      <c r="V226" s="0" t="n">
        <f aca="false">W_PH(V$2,$A226)</f>
        <v>739.647330371393</v>
      </c>
      <c r="W226" s="0" t="n">
        <f aca="false">W_PH(W$2,$A226)</f>
        <v>739.646780431024</v>
      </c>
      <c r="X226" s="0" t="n">
        <f aca="false">W_PH(X$2,$A226)</f>
        <v>739.646232690676</v>
      </c>
      <c r="Y226" s="0" t="n">
        <f aca="false">W_PH(Y$2,$A226)</f>
        <v>739.640876484028</v>
      </c>
      <c r="Z226" s="0" t="n">
        <f aca="false">W_PH(Z$2,$A226)</f>
        <v>739.635741253072</v>
      </c>
      <c r="AA226" s="0" t="n">
        <f aca="false">W_PH(AA$2,$A226)</f>
        <v>739.630827870638</v>
      </c>
      <c r="AB226" s="0" t="n">
        <f aca="false">W_PH(AB$2,$A226)</f>
        <v>739.626137196968</v>
      </c>
      <c r="AC226" s="0" t="n">
        <f aca="false">W_PH(AC$2,$A226)</f>
        <v>739.621670079732</v>
      </c>
      <c r="AD226" s="0" t="n">
        <f aca="false">W_PH(AD$2,$A226)</f>
        <v>739.617427354043</v>
      </c>
      <c r="AE226" s="0" t="n">
        <f aca="false">W_PH(AE$2,$A226)</f>
        <v>739.613409842477</v>
      </c>
      <c r="AF226" s="0" t="n">
        <f aca="false">W_PH(AF$2,$A226)</f>
        <v>739.60961835509</v>
      </c>
      <c r="AG226" s="0" t="n">
        <f aca="false">W_PH(AG$2,$A226)</f>
        <v>739.606053689442</v>
      </c>
      <c r="AH226" s="0" t="n">
        <f aca="false">W_PH(AH$2,$A226)</f>
        <v>739.583048805205</v>
      </c>
      <c r="AI226" s="0" t="n">
        <f aca="false">W_PH(AI$2,$A226)</f>
        <v>739.583511654937</v>
      </c>
      <c r="AJ226" s="0" t="n">
        <f aca="false">W_PH(AJ$2,$A226)</f>
        <v>739.611224590387</v>
      </c>
      <c r="AK226" s="0" t="n">
        <f aca="false">W_PH(AK$2,$A226)</f>
        <v>739.659543810153</v>
      </c>
      <c r="AL226" s="0" t="n">
        <f aca="false">W_PH(AL$2,$A226)</f>
        <v>739.73377806232</v>
      </c>
      <c r="AM226" s="0" t="n">
        <f aca="false">W_PH(AM$2,$A226)</f>
        <v>739.834313859081</v>
      </c>
      <c r="AN226" s="0" t="n">
        <f aca="false">W_PH(AN$2,$A226)</f>
        <v>739.961441111633</v>
      </c>
      <c r="AO226" s="0" t="n">
        <f aca="false">W_PH(AO$2,$A226)</f>
        <v>740.115359611892</v>
      </c>
      <c r="AP226" s="0" t="n">
        <f aca="false">W_PH(AP$2,$A226)</f>
        <v>740.296185788145</v>
      </c>
      <c r="AQ226" s="0" t="n">
        <f aca="false">W_PH(AQ$2,$A226)</f>
        <v>743.564143690706</v>
      </c>
      <c r="AR226" s="0" t="n">
        <f aca="false">W_PH(AR$2,$A226)</f>
        <v>744.555586982774</v>
      </c>
      <c r="AS226" s="0" t="n">
        <f aca="false">W_PH(AS$2,$A226)</f>
        <v>745.038896724857</v>
      </c>
    </row>
    <row r="227" customFormat="false" ht="13.8" hidden="false" customHeight="false" outlineLevel="0" collapsed="false">
      <c r="A227" s="0" t="n">
        <v>3870</v>
      </c>
      <c r="B227" s="0" t="n">
        <f aca="false">W_PH(B$2,$A227)</f>
        <v>741.259597325512</v>
      </c>
      <c r="C227" s="0" t="n">
        <f aca="false">W_PH(C$2,$A227)</f>
        <v>741.259592511101</v>
      </c>
      <c r="D227" s="0" t="n">
        <f aca="false">W_PH(D$2,$A227)</f>
        <v>741.259587696908</v>
      </c>
      <c r="E227" s="0" t="n">
        <f aca="false">W_PH(E$2,$A227)</f>
        <v>741.259582882933</v>
      </c>
      <c r="F227" s="0" t="n">
        <f aca="false">W_PH(F$2,$A227)</f>
        <v>741.259578069178</v>
      </c>
      <c r="G227" s="0" t="n">
        <f aca="false">W_PH(G$2,$A227)</f>
        <v>741.259529943638</v>
      </c>
      <c r="H227" s="0" t="n">
        <f aca="false">W_PH(H$2,$A227)</f>
        <v>741.25948183995</v>
      </c>
      <c r="I227" s="0" t="n">
        <f aca="false">W_PH(I$2,$A227)</f>
        <v>741.259433758115</v>
      </c>
      <c r="J227" s="0" t="n">
        <f aca="false">W_PH(J$2,$A227)</f>
        <v>741.259385698133</v>
      </c>
      <c r="K227" s="0" t="n">
        <f aca="false">W_PH(K$2,$A227)</f>
        <v>741.259337660006</v>
      </c>
      <c r="L227" s="0" t="n">
        <f aca="false">W_PH(L$2,$A227)</f>
        <v>741.259289643734</v>
      </c>
      <c r="M227" s="0" t="n">
        <f aca="false">W_PH(M$2,$A227)</f>
        <v>741.259241649319</v>
      </c>
      <c r="N227" s="0" t="n">
        <f aca="false">W_PH(N$2,$A227)</f>
        <v>741.259193676761</v>
      </c>
      <c r="O227" s="0" t="n">
        <f aca="false">W_PH(O$2,$A227)</f>
        <v>741.259145726061</v>
      </c>
      <c r="P227" s="0" t="n">
        <f aca="false">W_PH(P$2,$A227)</f>
        <v>741.258667421444</v>
      </c>
      <c r="Q227" s="0" t="n">
        <f aca="false">W_PH(Q$2,$A227)</f>
        <v>741.258191303599</v>
      </c>
      <c r="R227" s="0" t="n">
        <f aca="false">W_PH(R$2,$A227)</f>
        <v>741.257717373399</v>
      </c>
      <c r="S227" s="0" t="n">
        <f aca="false">W_PH(S$2,$A227)</f>
        <v>741.257245631722</v>
      </c>
      <c r="T227" s="0" t="n">
        <f aca="false">W_PH(T$2,$A227)</f>
        <v>741.25677607944</v>
      </c>
      <c r="U227" s="0" t="n">
        <f aca="false">W_PH(U$2,$A227)</f>
        <v>741.256308717428</v>
      </c>
      <c r="V227" s="0" t="n">
        <f aca="false">W_PH(V$2,$A227)</f>
        <v>741.255843546556</v>
      </c>
      <c r="W227" s="0" t="n">
        <f aca="false">W_PH(W$2,$A227)</f>
        <v>741.255380567695</v>
      </c>
      <c r="X227" s="0" t="n">
        <f aca="false">W_PH(X$2,$A227)</f>
        <v>741.254919781714</v>
      </c>
      <c r="Y227" s="0" t="n">
        <f aca="false">W_PH(Y$2,$A227)</f>
        <v>741.250432720611</v>
      </c>
      <c r="Z227" s="0" t="n">
        <f aca="false">W_PH(Z$2,$A227)</f>
        <v>741.246165894212</v>
      </c>
      <c r="AA227" s="0" t="n">
        <f aca="false">W_PH(AA$2,$A227)</f>
        <v>741.242120150947</v>
      </c>
      <c r="AB227" s="0" t="n">
        <f aca="false">W_PH(AB$2,$A227)</f>
        <v>741.238296326744</v>
      </c>
      <c r="AC227" s="0" t="n">
        <f aca="false">W_PH(AC$2,$A227)</f>
        <v>741.23469524505</v>
      </c>
      <c r="AD227" s="0" t="n">
        <f aca="false">W_PH(AD$2,$A227)</f>
        <v>741.231317716858</v>
      </c>
      <c r="AE227" s="0" t="n">
        <f aca="false">W_PH(AE$2,$A227)</f>
        <v>741.22816454073</v>
      </c>
      <c r="AF227" s="0" t="n">
        <f aca="false">W_PH(AF$2,$A227)</f>
        <v>741.225236502821</v>
      </c>
      <c r="AG227" s="0" t="n">
        <f aca="false">W_PH(AG$2,$A227)</f>
        <v>741.22253437691</v>
      </c>
      <c r="AH227" s="0" t="n">
        <f aca="false">W_PH(AH$2,$A227)</f>
        <v>741.208099720216</v>
      </c>
      <c r="AI227" s="0" t="n">
        <f aca="false">W_PH(AI$2,$A227)</f>
        <v>741.217016774903</v>
      </c>
      <c r="AJ227" s="0" t="n">
        <f aca="false">W_PH(AJ$2,$A227)</f>
        <v>741.253053305327</v>
      </c>
      <c r="AK227" s="0" t="n">
        <f aca="false">W_PH(AK$2,$A227)</f>
        <v>741.309524857339</v>
      </c>
      <c r="AL227" s="0" t="n">
        <f aca="false">W_PH(AL$2,$A227)</f>
        <v>741.39161883944</v>
      </c>
      <c r="AM227" s="0" t="n">
        <f aca="false">W_PH(AM$2,$A227)</f>
        <v>741.499696460583</v>
      </c>
      <c r="AN227" s="0" t="n">
        <f aca="false">W_PH(AN$2,$A227)</f>
        <v>741.63402500408</v>
      </c>
      <c r="AO227" s="0" t="n">
        <f aca="false">W_PH(AO$2,$A227)</f>
        <v>741.794784383517</v>
      </c>
      <c r="AP227" s="0" t="n">
        <f aca="false">W_PH(AP$2,$A227)</f>
        <v>741.982073913646</v>
      </c>
      <c r="AQ227" s="0" t="n">
        <f aca="false">W_PH(AQ$2,$A227)</f>
        <v>745.29194379769</v>
      </c>
      <c r="AR227" s="0" t="n">
        <f aca="false">W_PH(AR$2,$A227)</f>
        <v>746.286807240948</v>
      </c>
      <c r="AS227" s="0" t="n">
        <f aca="false">W_PH(AS$2,$A227)</f>
        <v>746.771100809972</v>
      </c>
    </row>
    <row r="228" customFormat="false" ht="13.8" hidden="false" customHeight="false" outlineLevel="0" collapsed="false">
      <c r="A228" s="0" t="n">
        <v>3880</v>
      </c>
      <c r="B228" s="0" t="n">
        <f aca="false">W_PH(B$2,$A228)</f>
        <v>742.860927853512</v>
      </c>
      <c r="C228" s="0" t="n">
        <f aca="false">W_PH(C$2,$A228)</f>
        <v>742.860923899363</v>
      </c>
      <c r="D228" s="0" t="n">
        <f aca="false">W_PH(D$2,$A228)</f>
        <v>742.860919945432</v>
      </c>
      <c r="E228" s="0" t="n">
        <f aca="false">W_PH(E$2,$A228)</f>
        <v>742.860915991719</v>
      </c>
      <c r="F228" s="0" t="n">
        <f aca="false">W_PH(F$2,$A228)</f>
        <v>742.860912038224</v>
      </c>
      <c r="G228" s="0" t="n">
        <f aca="false">W_PH(G$2,$A228)</f>
        <v>742.860872515254</v>
      </c>
      <c r="H228" s="0" t="n">
        <f aca="false">W_PH(H$2,$A228)</f>
        <v>742.860833014073</v>
      </c>
      <c r="I228" s="0" t="n">
        <f aca="false">W_PH(I$2,$A228)</f>
        <v>742.860793534682</v>
      </c>
      <c r="J228" s="0" t="n">
        <f aca="false">W_PH(J$2,$A228)</f>
        <v>742.86075407708</v>
      </c>
      <c r="K228" s="0" t="n">
        <f aca="false">W_PH(K$2,$A228)</f>
        <v>742.86071464127</v>
      </c>
      <c r="L228" s="0" t="n">
        <f aca="false">W_PH(L$2,$A228)</f>
        <v>742.860675227251</v>
      </c>
      <c r="M228" s="0" t="n">
        <f aca="false">W_PH(M$2,$A228)</f>
        <v>742.860635835025</v>
      </c>
      <c r="N228" s="0" t="n">
        <f aca="false">W_PH(N$2,$A228)</f>
        <v>742.860596464593</v>
      </c>
      <c r="O228" s="0" t="n">
        <f aca="false">W_PH(O$2,$A228)</f>
        <v>742.860557115955</v>
      </c>
      <c r="P228" s="0" t="n">
        <f aca="false">W_PH(P$2,$A228)</f>
        <v>742.860164828458</v>
      </c>
      <c r="Q228" s="0" t="n">
        <f aca="false">W_PH(Q$2,$A228)</f>
        <v>742.859774721343</v>
      </c>
      <c r="R228" s="0" t="n">
        <f aca="false">W_PH(R$2,$A228)</f>
        <v>742.859386795459</v>
      </c>
      <c r="S228" s="0" t="n">
        <f aca="false">W_PH(S$2,$A228)</f>
        <v>742.859001051656</v>
      </c>
      <c r="T228" s="0" t="n">
        <f aca="false">W_PH(T$2,$A228)</f>
        <v>742.858617490781</v>
      </c>
      <c r="U228" s="0" t="n">
        <f aca="false">W_PH(U$2,$A228)</f>
        <v>742.858236113683</v>
      </c>
      <c r="V228" s="0" t="n">
        <f aca="false">W_PH(V$2,$A228)</f>
        <v>742.857856921206</v>
      </c>
      <c r="W228" s="0" t="n">
        <f aca="false">W_PH(W$2,$A228)</f>
        <v>742.857479914195</v>
      </c>
      <c r="X228" s="0" t="n">
        <f aca="false">W_PH(X$2,$A228)</f>
        <v>742.857105093492</v>
      </c>
      <c r="Y228" s="0" t="n">
        <f aca="false">W_PH(Y$2,$A228)</f>
        <v>742.853477318038</v>
      </c>
      <c r="Z228" s="0" t="n">
        <f aca="false">W_PH(Z$2,$A228)</f>
        <v>742.850069091622</v>
      </c>
      <c r="AA228" s="0" t="n">
        <f aca="false">W_PH(AA$2,$A228)</f>
        <v>742.846881236837</v>
      </c>
      <c r="AB228" s="0" t="n">
        <f aca="false">W_PH(AB$2,$A228)</f>
        <v>742.843914563896</v>
      </c>
      <c r="AC228" s="0" t="n">
        <f aca="false">W_PH(AC$2,$A228)</f>
        <v>742.841169870654</v>
      </c>
      <c r="AD228" s="0" t="n">
        <f aca="false">W_PH(AD$2,$A228)</f>
        <v>742.838647942644</v>
      </c>
      <c r="AE228" s="0" t="n">
        <f aca="false">W_PH(AE$2,$A228)</f>
        <v>742.836349553103</v>
      </c>
      <c r="AF228" s="0" t="n">
        <f aca="false">W_PH(AF$2,$A228)</f>
        <v>742.834275463008</v>
      </c>
      <c r="AG228" s="0" t="n">
        <f aca="false">W_PH(AG$2,$A228)</f>
        <v>742.832426421104</v>
      </c>
      <c r="AH228" s="0" t="n">
        <f aca="false">W_PH(AH$2,$A228)</f>
        <v>742.826469705073</v>
      </c>
      <c r="AI228" s="0" t="n">
        <f aca="false">W_PH(AI$2,$A228)</f>
        <v>742.843752082602</v>
      </c>
      <c r="AJ228" s="0" t="n">
        <f aca="false">W_PH(AJ$2,$A228)</f>
        <v>742.88801481772</v>
      </c>
      <c r="AK228" s="0" t="n">
        <f aca="false">W_PH(AK$2,$A228)</f>
        <v>742.952553282476</v>
      </c>
      <c r="AL228" s="0" t="n">
        <f aca="false">W_PH(AL$2,$A228)</f>
        <v>743.042426697844</v>
      </c>
      <c r="AM228" s="0" t="n">
        <f aca="false">W_PH(AM$2,$A228)</f>
        <v>743.157971139086</v>
      </c>
      <c r="AN228" s="0" t="n">
        <f aca="false">W_PH(AN$2,$A228)</f>
        <v>743.299431483862</v>
      </c>
      <c r="AO228" s="0" t="n">
        <f aca="false">W_PH(AO$2,$A228)</f>
        <v>743.466968015823</v>
      </c>
      <c r="AP228" s="0" t="n">
        <f aca="false">W_PH(AP$2,$A228)</f>
        <v>743.660663189056</v>
      </c>
      <c r="AQ228" s="0" t="n">
        <f aca="false">W_PH(AQ$2,$A228)</f>
        <v>747.012231286113</v>
      </c>
      <c r="AR228" s="0" t="n">
        <f aca="false">W_PH(AR$2,$A228)</f>
        <v>748.010550876213</v>
      </c>
      <c r="AS228" s="0" t="n">
        <f aca="false">W_PH(AS$2,$A228)</f>
        <v>748.495852096617</v>
      </c>
    </row>
    <row r="229" customFormat="false" ht="13.8" hidden="false" customHeight="false" outlineLevel="0" collapsed="false">
      <c r="A229" s="0" t="n">
        <v>3890</v>
      </c>
      <c r="B229" s="0" t="n">
        <f aca="false">W_PH(B$2,$A229)</f>
        <v>744.455828211272</v>
      </c>
      <c r="C229" s="0" t="n">
        <f aca="false">W_PH(C$2,$A229)</f>
        <v>744.455825107758</v>
      </c>
      <c r="D229" s="0" t="n">
        <f aca="false">W_PH(D$2,$A229)</f>
        <v>744.45582200446</v>
      </c>
      <c r="E229" s="0" t="n">
        <f aca="false">W_PH(E$2,$A229)</f>
        <v>744.45581890138</v>
      </c>
      <c r="F229" s="0" t="n">
        <f aca="false">W_PH(F$2,$A229)</f>
        <v>744.455815798517</v>
      </c>
      <c r="G229" s="0" t="n">
        <f aca="false">W_PH(G$2,$A229)</f>
        <v>744.45578478184</v>
      </c>
      <c r="H229" s="0" t="n">
        <f aca="false">W_PH(H$2,$A229)</f>
        <v>744.455753786892</v>
      </c>
      <c r="I229" s="0" t="n">
        <f aca="false">W_PH(I$2,$A229)</f>
        <v>744.455722813675</v>
      </c>
      <c r="J229" s="0" t="n">
        <f aca="false">W_PH(J$2,$A229)</f>
        <v>744.45569186219</v>
      </c>
      <c r="K229" s="0" t="n">
        <f aca="false">W_PH(K$2,$A229)</f>
        <v>744.455660932437</v>
      </c>
      <c r="L229" s="0" t="n">
        <f aca="false">W_PH(L$2,$A229)</f>
        <v>744.455630024418</v>
      </c>
      <c r="M229" s="0" t="n">
        <f aca="false">W_PH(M$2,$A229)</f>
        <v>744.455599138133</v>
      </c>
      <c r="N229" s="0" t="n">
        <f aca="false">W_PH(N$2,$A229)</f>
        <v>744.455568273583</v>
      </c>
      <c r="O229" s="0" t="n">
        <f aca="false">W_PH(O$2,$A229)</f>
        <v>744.455537430768</v>
      </c>
      <c r="P229" s="0" t="n">
        <f aca="false">W_PH(P$2,$A229)</f>
        <v>744.455230198271</v>
      </c>
      <c r="Q229" s="0" t="n">
        <f aca="false">W_PH(Q$2,$A229)</f>
        <v>744.454925140259</v>
      </c>
      <c r="R229" s="0" t="n">
        <f aca="false">W_PH(R$2,$A229)</f>
        <v>744.454622257554</v>
      </c>
      <c r="S229" s="0" t="n">
        <f aca="false">W_PH(S$2,$A229)</f>
        <v>744.454321550978</v>
      </c>
      <c r="T229" s="0" t="n">
        <f aca="false">W_PH(T$2,$A229)</f>
        <v>744.454023021352</v>
      </c>
      <c r="U229" s="0" t="n">
        <f aca="false">W_PH(U$2,$A229)</f>
        <v>744.453726669495</v>
      </c>
      <c r="V229" s="0" t="n">
        <f aca="false">W_PH(V$2,$A229)</f>
        <v>744.453432496225</v>
      </c>
      <c r="W229" s="0" t="n">
        <f aca="false">W_PH(W$2,$A229)</f>
        <v>744.45314050236</v>
      </c>
      <c r="X229" s="0" t="n">
        <f aca="false">W_PH(X$2,$A229)</f>
        <v>744.452850688715</v>
      </c>
      <c r="Y229" s="0" t="n">
        <f aca="false">W_PH(Y$2,$A229)</f>
        <v>744.450072642946</v>
      </c>
      <c r="Z229" s="0" t="n">
        <f aca="false">W_PH(Z$2,$A229)</f>
        <v>744.447513507353</v>
      </c>
      <c r="AA229" s="0" t="n">
        <f aca="false">W_PH(AA$2,$A229)</f>
        <v>744.445174077406</v>
      </c>
      <c r="AB229" s="0" t="n">
        <f aca="false">W_PH(AB$2,$A229)</f>
        <v>744.44305513634</v>
      </c>
      <c r="AC229" s="0" t="n">
        <f aca="false">W_PH(AC$2,$A229)</f>
        <v>744.441157455189</v>
      </c>
      <c r="AD229" s="0" t="n">
        <f aca="false">W_PH(AD$2,$A229)</f>
        <v>744.439481792824</v>
      </c>
      <c r="AE229" s="0" t="n">
        <f aca="false">W_PH(AE$2,$A229)</f>
        <v>744.438028895985</v>
      </c>
      <c r="AF229" s="0" t="n">
        <f aca="false">W_PH(AF$2,$A229)</f>
        <v>744.436799499322</v>
      </c>
      <c r="AG229" s="0" t="n">
        <f aca="false">W_PH(AG$2,$A229)</f>
        <v>744.435794325427</v>
      </c>
      <c r="AH229" s="0" t="n">
        <f aca="false">W_PH(AH$2,$A229)</f>
        <v>744.438225272091</v>
      </c>
      <c r="AI229" s="0" t="n">
        <f aca="false">W_PH(AI$2,$A229)</f>
        <v>744.463785470364</v>
      </c>
      <c r="AJ229" s="0" t="n">
        <f aca="false">W_PH(AJ$2,$A229)</f>
        <v>744.516177171384</v>
      </c>
      <c r="AK229" s="0" t="n">
        <f aca="false">W_PH(AK$2,$A229)</f>
        <v>744.588697980758</v>
      </c>
      <c r="AL229" s="0" t="n">
        <f aca="false">W_PH(AL$2,$A229)</f>
        <v>744.68627120616</v>
      </c>
      <c r="AM229" s="0" t="n">
        <f aca="false">W_PH(AM$2,$A229)</f>
        <v>744.809207983696</v>
      </c>
      <c r="AN229" s="0" t="n">
        <f aca="false">W_PH(AN$2,$A229)</f>
        <v>744.957731023727</v>
      </c>
      <c r="AO229" s="0" t="n">
        <f aca="false">W_PH(AO$2,$A229)</f>
        <v>745.131981237356</v>
      </c>
      <c r="AP229" s="0" t="n">
        <f aca="false">W_PH(AP$2,$A229)</f>
        <v>745.33202447417</v>
      </c>
      <c r="AQ229" s="0" t="n">
        <f aca="false">W_PH(AQ$2,$A229)</f>
        <v>748.725069952773</v>
      </c>
      <c r="AR229" s="0" t="n">
        <f aca="false">W_PH(AR$2,$A229)</f>
        <v>749.726877684883</v>
      </c>
      <c r="AS229" s="0" t="n">
        <f aca="false">W_PH(AS$2,$A229)</f>
        <v>750.213208200414</v>
      </c>
    </row>
    <row r="230" customFormat="false" ht="13.8" hidden="false" customHeight="false" outlineLevel="0" collapsed="false">
      <c r="A230" s="0" t="n">
        <v>3900</v>
      </c>
      <c r="B230" s="0" t="n">
        <f aca="false">W_PH(B$2,$A230)</f>
        <v>746.044359126479</v>
      </c>
      <c r="C230" s="0" t="n">
        <f aca="false">W_PH(C$2,$A230)</f>
        <v>746.044356864272</v>
      </c>
      <c r="D230" s="0" t="n">
        <f aca="false">W_PH(D$2,$A230)</f>
        <v>746.044354602281</v>
      </c>
      <c r="E230" s="0" t="n">
        <f aca="false">W_PH(E$2,$A230)</f>
        <v>746.044352340507</v>
      </c>
      <c r="F230" s="0" t="n">
        <f aca="false">W_PH(F$2,$A230)</f>
        <v>746.044350078949</v>
      </c>
      <c r="G230" s="0" t="n">
        <f aca="false">W_PH(G$2,$A230)</f>
        <v>746.044327475298</v>
      </c>
      <c r="H230" s="0" t="n">
        <f aca="false">W_PH(H$2,$A230)</f>
        <v>746.044304893322</v>
      </c>
      <c r="I230" s="0" t="n">
        <f aca="false">W_PH(I$2,$A230)</f>
        <v>746.044282333023</v>
      </c>
      <c r="J230" s="0" t="n">
        <f aca="false">W_PH(J$2,$A230)</f>
        <v>746.0442597944</v>
      </c>
      <c r="K230" s="0" t="n">
        <f aca="false">W_PH(K$2,$A230)</f>
        <v>746.044237277456</v>
      </c>
      <c r="L230" s="0" t="n">
        <f aca="false">W_PH(L$2,$A230)</f>
        <v>746.04421478219</v>
      </c>
      <c r="M230" s="0" t="n">
        <f aca="false">W_PH(M$2,$A230)</f>
        <v>746.044192308604</v>
      </c>
      <c r="N230" s="0" t="n">
        <f aca="false">W_PH(N$2,$A230)</f>
        <v>746.044169856699</v>
      </c>
      <c r="O230" s="0" t="n">
        <f aca="false">W_PH(O$2,$A230)</f>
        <v>746.044147426474</v>
      </c>
      <c r="P230" s="0" t="n">
        <f aca="false">W_PH(P$2,$A230)</f>
        <v>746.043924316871</v>
      </c>
      <c r="Q230" s="0" t="n">
        <f aca="false">W_PH(Q$2,$A230)</f>
        <v>746.043703376261</v>
      </c>
      <c r="R230" s="0" t="n">
        <f aca="false">W_PH(R$2,$A230)</f>
        <v>746.04348460544</v>
      </c>
      <c r="S230" s="0" t="n">
        <f aca="false">W_PH(S$2,$A230)</f>
        <v>746.0432680052</v>
      </c>
      <c r="T230" s="0" t="n">
        <f aca="false">W_PH(T$2,$A230)</f>
        <v>746.043053576334</v>
      </c>
      <c r="U230" s="0" t="n">
        <f aca="false">W_PH(U$2,$A230)</f>
        <v>746.042841319633</v>
      </c>
      <c r="V230" s="0" t="n">
        <f aca="false">W_PH(V$2,$A230)</f>
        <v>746.042631235885</v>
      </c>
      <c r="W230" s="0" t="n">
        <f aca="false">W_PH(W$2,$A230)</f>
        <v>746.04242332588</v>
      </c>
      <c r="X230" s="0" t="n">
        <f aca="false">W_PH(X$2,$A230)</f>
        <v>746.042217590403</v>
      </c>
      <c r="Y230" s="0" t="n">
        <f aca="false">W_PH(Y$2,$A230)</f>
        <v>746.04028000708</v>
      </c>
      <c r="Z230" s="0" t="n">
        <f aca="false">W_PH(Z$2,$A230)</f>
        <v>746.038560733595</v>
      </c>
      <c r="AA230" s="0" t="n">
        <f aca="false">W_PH(AA$2,$A230)</f>
        <v>746.037060537144</v>
      </c>
      <c r="AB230" s="0" t="n">
        <f aca="false">W_PH(AB$2,$A230)</f>
        <v>746.035780172864</v>
      </c>
      <c r="AC230" s="0" t="n">
        <f aca="false">W_PH(AC$2,$A230)</f>
        <v>746.034720383873</v>
      </c>
      <c r="AD230" s="0" t="n">
        <f aca="false">W_PH(AD$2,$A230)</f>
        <v>746.033881901309</v>
      </c>
      <c r="AE230" s="0" t="n">
        <f aca="false">W_PH(AE$2,$A230)</f>
        <v>746.03326544437</v>
      </c>
      <c r="AF230" s="0" t="n">
        <f aca="false">W_PH(AF$2,$A230)</f>
        <v>746.032871720357</v>
      </c>
      <c r="AG230" s="0" t="n">
        <f aca="false">W_PH(AG$2,$A230)</f>
        <v>746.032701424718</v>
      </c>
      <c r="AH230" s="0" t="n">
        <f aca="false">W_PH(AH$2,$A230)</f>
        <v>746.04343163955</v>
      </c>
      <c r="AI230" s="0" t="n">
        <f aca="false">W_PH(AI$2,$A230)</f>
        <v>746.077183424727</v>
      </c>
      <c r="AJ230" s="0" t="n">
        <f aca="false">W_PH(AJ$2,$A230)</f>
        <v>746.137607015631</v>
      </c>
      <c r="AK230" s="0" t="n">
        <f aca="false">W_PH(AK$2,$A230)</f>
        <v>746.218026419713</v>
      </c>
      <c r="AL230" s="0" t="n">
        <f aca="false">W_PH(AL$2,$A230)</f>
        <v>746.323220476808</v>
      </c>
      <c r="AM230" s="0" t="n">
        <f aca="false">W_PH(AM$2,$A230)</f>
        <v>746.453475602655</v>
      </c>
      <c r="AN230" s="0" t="n">
        <f aca="false">W_PH(AN$2,$A230)</f>
        <v>746.608992594348</v>
      </c>
      <c r="AO230" s="0" t="n">
        <f aca="false">W_PH(AO$2,$A230)</f>
        <v>746.789893256615</v>
      </c>
      <c r="AP230" s="0" t="n">
        <f aca="false">W_PH(AP$2,$A230)</f>
        <v>746.996227093948</v>
      </c>
      <c r="AQ230" s="0" t="n">
        <f aca="false">W_PH(AQ$2,$A230)</f>
        <v>750.430522127807</v>
      </c>
      <c r="AR230" s="0" t="n">
        <f aca="false">W_PH(AR$2,$A230)</f>
        <v>751.435846074059</v>
      </c>
      <c r="AS230" s="0" t="n">
        <f aca="false">W_PH(AS$2,$A230)</f>
        <v>751.923225391594</v>
      </c>
    </row>
    <row r="231" customFormat="false" ht="13.8" hidden="false" customHeight="false" outlineLevel="0" collapsed="false">
      <c r="A231" s="0" t="n">
        <v>3910</v>
      </c>
      <c r="B231" s="0" t="n">
        <f aca="false">W_PH(B$2,$A231)</f>
        <v>747.626580309238</v>
      </c>
      <c r="C231" s="0" t="n">
        <f aca="false">W_PH(C$2,$A231)</f>
        <v>747.626578879296</v>
      </c>
      <c r="D231" s="0" t="n">
        <f aca="false">W_PH(D$2,$A231)</f>
        <v>747.626577449571</v>
      </c>
      <c r="E231" s="0" t="n">
        <f aca="false">W_PH(E$2,$A231)</f>
        <v>747.626576020062</v>
      </c>
      <c r="F231" s="0" t="n">
        <f aca="false">W_PH(F$2,$A231)</f>
        <v>747.626574590769</v>
      </c>
      <c r="G231" s="0" t="n">
        <f aca="false">W_PH(G$2,$A231)</f>
        <v>747.626560309735</v>
      </c>
      <c r="H231" s="0" t="n">
        <f aca="false">W_PH(H$2,$A231)</f>
        <v>747.626546050326</v>
      </c>
      <c r="I231" s="0" t="n">
        <f aca="false">W_PH(I$2,$A231)</f>
        <v>747.626531812542</v>
      </c>
      <c r="J231" s="0" t="n">
        <f aca="false">W_PH(J$2,$A231)</f>
        <v>747.626517596384</v>
      </c>
      <c r="K231" s="0" t="n">
        <f aca="false">W_PH(K$2,$A231)</f>
        <v>747.626503401852</v>
      </c>
      <c r="L231" s="0" t="n">
        <f aca="false">W_PH(L$2,$A231)</f>
        <v>747.626489228948</v>
      </c>
      <c r="M231" s="0" t="n">
        <f aca="false">W_PH(M$2,$A231)</f>
        <v>747.626475077673</v>
      </c>
      <c r="N231" s="0" t="n">
        <f aca="false">W_PH(N$2,$A231)</f>
        <v>747.626460948026</v>
      </c>
      <c r="O231" s="0" t="n">
        <f aca="false">W_PH(O$2,$A231)</f>
        <v>747.626446840009</v>
      </c>
      <c r="P231" s="0" t="n">
        <f aca="false">W_PH(P$2,$A231)</f>
        <v>747.626306949653</v>
      </c>
      <c r="Q231" s="0" t="n">
        <f aca="false">W_PH(Q$2,$A231)</f>
        <v>747.626169223124</v>
      </c>
      <c r="R231" s="0" t="n">
        <f aca="false">W_PH(R$2,$A231)</f>
        <v>747.626033661187</v>
      </c>
      <c r="S231" s="0" t="n">
        <f aca="false">W_PH(S$2,$A231)</f>
        <v>747.625900264606</v>
      </c>
      <c r="T231" s="0" t="n">
        <f aca="false">W_PH(T$2,$A231)</f>
        <v>747.625769034142</v>
      </c>
      <c r="U231" s="0" t="n">
        <f aca="false">W_PH(U$2,$A231)</f>
        <v>747.625639970557</v>
      </c>
      <c r="V231" s="0" t="n">
        <f aca="false">W_PH(V$2,$A231)</f>
        <v>747.625513074612</v>
      </c>
      <c r="W231" s="0" t="n">
        <f aca="false">W_PH(W$2,$A231)</f>
        <v>747.625388347064</v>
      </c>
      <c r="X231" s="0" t="n">
        <f aca="false">W_PH(X$2,$A231)</f>
        <v>747.625265788671</v>
      </c>
      <c r="Y231" s="0" t="n">
        <f aca="false">W_PH(Y$2,$A231)</f>
        <v>747.624159674094</v>
      </c>
      <c r="Z231" s="0" t="n">
        <f aca="false">W_PH(Z$2,$A231)</f>
        <v>747.623271299501</v>
      </c>
      <c r="AA231" s="0" t="n">
        <f aca="false">W_PH(AA$2,$A231)</f>
        <v>747.622601402794</v>
      </c>
      <c r="AB231" s="0" t="n">
        <f aca="false">W_PH(AB$2,$A231)</f>
        <v>747.622150710021</v>
      </c>
      <c r="AC231" s="0" t="n">
        <f aca="false">W_PH(AC$2,$A231)</f>
        <v>747.621919935416</v>
      </c>
      <c r="AD231" s="0" t="n">
        <f aca="false">W_PH(AD$2,$A231)</f>
        <v>747.621909781438</v>
      </c>
      <c r="AE231" s="0" t="n">
        <f aca="false">W_PH(AE$2,$A231)</f>
        <v>747.622120938825</v>
      </c>
      <c r="AF231" s="0" t="n">
        <f aca="false">W_PH(AF$2,$A231)</f>
        <v>747.622554086631</v>
      </c>
      <c r="AG231" s="0" t="n">
        <f aca="false">W_PH(AG$2,$A231)</f>
        <v>747.623209892274</v>
      </c>
      <c r="AH231" s="0" t="n">
        <f aca="false">W_PH(AH$2,$A231)</f>
        <v>747.642152739125</v>
      </c>
      <c r="AI231" s="0" t="n">
        <f aca="false">W_PH(AI$2,$A231)</f>
        <v>747.684011034546</v>
      </c>
      <c r="AJ231" s="0" t="n">
        <f aca="false">W_PH(AJ$2,$A231)</f>
        <v>747.752369625063</v>
      </c>
      <c r="AK231" s="0" t="n">
        <f aca="false">W_PH(AK$2,$A231)</f>
        <v>747.840604660653</v>
      </c>
      <c r="AL231" s="0" t="n">
        <f aca="false">W_PH(AL$2,$A231)</f>
        <v>747.95334118877</v>
      </c>
      <c r="AM231" s="0" t="n">
        <f aca="false">W_PH(AM$2,$A231)</f>
        <v>748.090841147058</v>
      </c>
      <c r="AN231" s="0" t="n">
        <f aca="false">W_PH(AN$2,$A231)</f>
        <v>748.253283688614</v>
      </c>
      <c r="AO231" s="0" t="n">
        <f aca="false">W_PH(AO$2,$A231)</f>
        <v>748.440771786518</v>
      </c>
      <c r="AP231" s="0" t="n">
        <f aca="false">W_PH(AP$2,$A231)</f>
        <v>748.653338862749</v>
      </c>
      <c r="AQ231" s="0" t="n">
        <f aca="false">W_PH(AQ$2,$A231)</f>
        <v>752.12864867454</v>
      </c>
      <c r="AR231" s="0" t="n">
        <f aca="false">W_PH(AR$2,$A231)</f>
        <v>753.137513052037</v>
      </c>
      <c r="AS231" s="0" t="n">
        <f aca="false">W_PH(AS$2,$A231)</f>
        <v>753.625958580713</v>
      </c>
    </row>
    <row r="232" customFormat="false" ht="13.8" hidden="false" customHeight="false" outlineLevel="0" collapsed="false">
      <c r="A232" s="0" t="n">
        <v>3920</v>
      </c>
      <c r="B232" s="0" t="n">
        <f aca="false">W_PH(B$2,$A232)</f>
        <v>749.202550458694</v>
      </c>
      <c r="C232" s="0" t="n">
        <f aca="false">W_PH(C$2,$A232)</f>
        <v>749.202549852248</v>
      </c>
      <c r="D232" s="0" t="n">
        <f aca="false">W_PH(D$2,$A232)</f>
        <v>749.202549246018</v>
      </c>
      <c r="E232" s="0" t="n">
        <f aca="false">W_PH(E$2,$A232)</f>
        <v>749.202548640003</v>
      </c>
      <c r="F232" s="0" t="n">
        <f aca="false">W_PH(F$2,$A232)</f>
        <v>749.202548034204</v>
      </c>
      <c r="G232" s="0" t="n">
        <f aca="false">W_PH(G$2,$A232)</f>
        <v>749.202541988082</v>
      </c>
      <c r="H232" s="0" t="n">
        <f aca="false">W_PH(H$2,$A232)</f>
        <v>749.202535963535</v>
      </c>
      <c r="I232" s="0" t="n">
        <f aca="false">W_PH(I$2,$A232)</f>
        <v>749.202529960565</v>
      </c>
      <c r="J232" s="0" t="n">
        <f aca="false">W_PH(J$2,$A232)</f>
        <v>749.202523979172</v>
      </c>
      <c r="K232" s="0" t="n">
        <f aca="false">W_PH(K$2,$A232)</f>
        <v>749.202518019357</v>
      </c>
      <c r="L232" s="0" t="n">
        <f aca="false">W_PH(L$2,$A232)</f>
        <v>749.202512081121</v>
      </c>
      <c r="M232" s="0" t="n">
        <f aca="false">W_PH(M$2,$A232)</f>
        <v>749.202506164464</v>
      </c>
      <c r="N232" s="0" t="n">
        <f aca="false">W_PH(N$2,$A232)</f>
        <v>749.202500269388</v>
      </c>
      <c r="O232" s="0" t="n">
        <f aca="false">W_PH(O$2,$A232)</f>
        <v>749.202494395892</v>
      </c>
      <c r="P232" s="0" t="n">
        <f aca="false">W_PH(P$2,$A232)</f>
        <v>749.202436848052</v>
      </c>
      <c r="Q232" s="0" t="n">
        <f aca="false">W_PH(Q$2,$A232)</f>
        <v>749.202381459115</v>
      </c>
      <c r="R232" s="0" t="n">
        <f aca="false">W_PH(R$2,$A232)</f>
        <v>749.202328229816</v>
      </c>
      <c r="S232" s="0" t="n">
        <f aca="false">W_PH(S$2,$A232)</f>
        <v>749.202277160889</v>
      </c>
      <c r="T232" s="0" t="n">
        <f aca="false">W_PH(T$2,$A232)</f>
        <v>749.202228253064</v>
      </c>
      <c r="U232" s="0" t="n">
        <f aca="false">W_PH(U$2,$A232)</f>
        <v>749.202181507072</v>
      </c>
      <c r="V232" s="0" t="n">
        <f aca="false">W_PH(V$2,$A232)</f>
        <v>749.202136923643</v>
      </c>
      <c r="W232" s="0" t="n">
        <f aca="false">W_PH(W$2,$A232)</f>
        <v>749.202094503504</v>
      </c>
      <c r="X232" s="0" t="n">
        <f aca="false">W_PH(X$2,$A232)</f>
        <v>749.202054247384</v>
      </c>
      <c r="Y232" s="0" t="n">
        <f aca="false">W_PH(Y$2,$A232)</f>
        <v>749.201770866261</v>
      </c>
      <c r="Z232" s="0" t="n">
        <f aca="false">W_PH(Z$2,$A232)</f>
        <v>749.201704677939</v>
      </c>
      <c r="AA232" s="0" t="n">
        <f aca="false">W_PH(AA$2,$A232)</f>
        <v>749.20185639014</v>
      </c>
      <c r="AB232" s="0" t="n">
        <f aca="false">W_PH(AB$2,$A232)</f>
        <v>749.202226698956</v>
      </c>
      <c r="AC232" s="0" t="n">
        <f aca="false">W_PH(AC$2,$A232)</f>
        <v>749.202816288888</v>
      </c>
      <c r="AD232" s="0" t="n">
        <f aca="false">W_PH(AD$2,$A232)</f>
        <v>749.203625832897</v>
      </c>
      <c r="AE232" s="0" t="n">
        <f aca="false">W_PH(AE$2,$A232)</f>
        <v>749.204655992451</v>
      </c>
      <c r="AF232" s="0" t="n">
        <f aca="false">W_PH(AF$2,$A232)</f>
        <v>749.205907417573</v>
      </c>
      <c r="AG232" s="0" t="n">
        <f aca="false">W_PH(AG$2,$A232)</f>
        <v>749.207380746892</v>
      </c>
      <c r="AH232" s="0" t="n">
        <f aca="false">W_PH(AH$2,$A232)</f>
        <v>749.234451223407</v>
      </c>
      <c r="AI232" s="0" t="n">
        <f aca="false">W_PH(AI$2,$A232)</f>
        <v>749.284331999269</v>
      </c>
      <c r="AJ232" s="0" t="n">
        <f aca="false">W_PH(AJ$2,$A232)</f>
        <v>749.360528918863</v>
      </c>
      <c r="AK232" s="0" t="n">
        <f aca="false">W_PH(AK$2,$A232)</f>
        <v>749.456497379601</v>
      </c>
      <c r="AL232" s="0" t="n">
        <f aca="false">W_PH(AL$2,$A232)</f>
        <v>749.576698609823</v>
      </c>
      <c r="AM232" s="0" t="n">
        <f aca="false">W_PH(AM$2,$A232)</f>
        <v>749.721370334071</v>
      </c>
      <c r="AN232" s="0" t="n">
        <f aca="false">W_PH(AN$2,$A232)</f>
        <v>749.890670345471</v>
      </c>
      <c r="AO232" s="0" t="n">
        <f aca="false">W_PH(AO$2,$A232)</f>
        <v>750.084683068494</v>
      </c>
      <c r="AP232" s="0" t="n">
        <f aca="false">W_PH(AP$2,$A232)</f>
        <v>750.303426108298</v>
      </c>
      <c r="AQ232" s="0" t="n">
        <f aca="false">W_PH(AQ$2,$A232)</f>
        <v>753.819508990419</v>
      </c>
      <c r="AR232" s="0" t="n">
        <f aca="false">W_PH(AR$2,$A232)</f>
        <v>754.831934219886</v>
      </c>
      <c r="AS232" s="0" t="n">
        <f aca="false">W_PH(AS$2,$A232)</f>
        <v>755.321461305506</v>
      </c>
    </row>
    <row r="233" customFormat="false" ht="13.8" hidden="false" customHeight="false" outlineLevel="0" collapsed="false">
      <c r="A233" s="0" t="n">
        <v>3930</v>
      </c>
      <c r="B233" s="0" t="n">
        <f aca="false">W_PH(B$2,$A233)</f>
        <v>750.772327269542</v>
      </c>
      <c r="C233" s="0" t="n">
        <f aca="false">W_PH(C$2,$A233)</f>
        <v>750.772327478075</v>
      </c>
      <c r="D233" s="0" t="n">
        <f aca="false">W_PH(D$2,$A233)</f>
        <v>750.772327686824</v>
      </c>
      <c r="E233" s="0" t="n">
        <f aca="false">W_PH(E$2,$A233)</f>
        <v>750.772327895787</v>
      </c>
      <c r="F233" s="0" t="n">
        <f aca="false">W_PH(F$2,$A233)</f>
        <v>750.772328104966</v>
      </c>
      <c r="G233" s="0" t="n">
        <f aca="false">W_PH(G$2,$A233)</f>
        <v>750.772330208597</v>
      </c>
      <c r="H233" s="0" t="n">
        <f aca="false">W_PH(H$2,$A233)</f>
        <v>750.772332333757</v>
      </c>
      <c r="I233" s="0" t="n">
        <f aca="false">W_PH(I$2,$A233)</f>
        <v>750.772334480446</v>
      </c>
      <c r="J233" s="0" t="n">
        <f aca="false">W_PH(J$2,$A233)</f>
        <v>750.772336648665</v>
      </c>
      <c r="K233" s="0" t="n">
        <f aca="false">W_PH(K$2,$A233)</f>
        <v>750.772338838415</v>
      </c>
      <c r="L233" s="0" t="n">
        <f aca="false">W_PH(L$2,$A233)</f>
        <v>750.772341049697</v>
      </c>
      <c r="M233" s="0" t="n">
        <f aca="false">W_PH(M$2,$A233)</f>
        <v>750.772343282511</v>
      </c>
      <c r="N233" s="0" t="n">
        <f aca="false">W_PH(N$2,$A233)</f>
        <v>750.772345536858</v>
      </c>
      <c r="O233" s="0" t="n">
        <f aca="false">W_PH(O$2,$A233)</f>
        <v>750.772347812739</v>
      </c>
      <c r="P233" s="0" t="n">
        <f aca="false">W_PH(P$2,$A233)</f>
        <v>750.772371756056</v>
      </c>
      <c r="Q233" s="0" t="n">
        <f aca="false">W_PH(Q$2,$A233)</f>
        <v>750.77239785352</v>
      </c>
      <c r="R233" s="0" t="n">
        <f aca="false">W_PH(R$2,$A233)</f>
        <v>750.772426105832</v>
      </c>
      <c r="S233" s="0" t="n">
        <f aca="false">W_PH(S$2,$A233)</f>
        <v>750.772456513695</v>
      </c>
      <c r="T233" s="0" t="n">
        <f aca="false">W_PH(T$2,$A233)</f>
        <v>750.772489077807</v>
      </c>
      <c r="U233" s="0" t="n">
        <f aca="false">W_PH(U$2,$A233)</f>
        <v>750.772523798869</v>
      </c>
      <c r="V233" s="0" t="n">
        <f aca="false">W_PH(V$2,$A233)</f>
        <v>750.77256067758</v>
      </c>
      <c r="W233" s="0" t="n">
        <f aca="false">W_PH(W$2,$A233)</f>
        <v>750.772599714633</v>
      </c>
      <c r="X233" s="0" t="n">
        <f aca="false">W_PH(X$2,$A233)</f>
        <v>750.772640910727</v>
      </c>
      <c r="Y233" s="0" t="n">
        <f aca="false">W_PH(Y$2,$A233)</f>
        <v>750.773171771092</v>
      </c>
      <c r="Z233" s="0" t="n">
        <f aca="false">W_PH(Z$2,$A233)</f>
        <v>750.773919292175</v>
      </c>
      <c r="AA233" s="0" t="n">
        <f aca="false">W_PH(AA$2,$A233)</f>
        <v>750.774884150751</v>
      </c>
      <c r="AB233" s="0" t="n">
        <f aca="false">W_PH(AB$2,$A233)</f>
        <v>750.776067012203</v>
      </c>
      <c r="AC233" s="0" t="n">
        <f aca="false">W_PH(AC$2,$A233)</f>
        <v>750.777468530575</v>
      </c>
      <c r="AD233" s="0" t="n">
        <f aca="false">W_PH(AD$2,$A233)</f>
        <v>750.779089348615</v>
      </c>
      <c r="AE233" s="0" t="n">
        <f aca="false">W_PH(AE$2,$A233)</f>
        <v>750.780930097832</v>
      </c>
      <c r="AF233" s="0" t="n">
        <f aca="false">W_PH(AF$2,$A233)</f>
        <v>750.782991398544</v>
      </c>
      <c r="AG233" s="0" t="n">
        <f aca="false">W_PH(AG$2,$A233)</f>
        <v>750.785273859933</v>
      </c>
      <c r="AH233" s="0" t="n">
        <f aca="false">W_PH(AH$2,$A233)</f>
        <v>750.820388473572</v>
      </c>
      <c r="AI233" s="0" t="n">
        <f aca="false">W_PH(AI$2,$A233)</f>
        <v>750.878208637422</v>
      </c>
      <c r="AJ233" s="0" t="n">
        <f aca="false">W_PH(AJ$2,$A233)</f>
        <v>750.962147479596</v>
      </c>
      <c r="AK233" s="0" t="n">
        <f aca="false">W_PH(AK$2,$A233)</f>
        <v>751.065767887703</v>
      </c>
      <c r="AL233" s="0" t="n">
        <f aca="false">W_PH(AL$2,$A233)</f>
        <v>751.193356618265</v>
      </c>
      <c r="AM233" s="0" t="n">
        <f aca="false">W_PH(AM$2,$A233)</f>
        <v>751.345127469648</v>
      </c>
      <c r="AN233" s="0" t="n">
        <f aca="false">W_PH(AN$2,$A233)</f>
        <v>751.521217173308</v>
      </c>
      <c r="AO233" s="0" t="n">
        <f aca="false">W_PH(AO$2,$A233)</f>
        <v>751.721691896191</v>
      </c>
      <c r="AP233" s="0" t="n">
        <f aca="false">W_PH(AP$2,$A233)</f>
        <v>751.946553695342</v>
      </c>
      <c r="AQ233" s="0" t="n">
        <f aca="false">W_PH(AQ$2,$A233)</f>
        <v>755.503161009009</v>
      </c>
      <c r="AR233" s="0" t="n">
        <f aca="false">W_PH(AR$2,$A233)</f>
        <v>756.519163764212</v>
      </c>
      <c r="AS233" s="0" t="n">
        <f aca="false">W_PH(AS$2,$A233)</f>
        <v>757.009785718974</v>
      </c>
    </row>
    <row r="234" customFormat="false" ht="13.8" hidden="false" customHeight="false" outlineLevel="0" collapsed="false">
      <c r="A234" s="0" t="n">
        <v>3940</v>
      </c>
      <c r="B234" s="0" t="n">
        <f aca="false">W_PH(B$2,$A234)</f>
        <v>752.335967438421</v>
      </c>
      <c r="C234" s="0" t="n">
        <f aca="false">W_PH(C$2,$A234)</f>
        <v>752.335968453657</v>
      </c>
      <c r="D234" s="0" t="n">
        <f aca="false">W_PH(D$2,$A234)</f>
        <v>752.335969469108</v>
      </c>
      <c r="E234" s="0" t="n">
        <f aca="false">W_PH(E$2,$A234)</f>
        <v>752.335970484774</v>
      </c>
      <c r="F234" s="0" t="n">
        <f aca="false">W_PH(F$2,$A234)</f>
        <v>752.335971500654</v>
      </c>
      <c r="G234" s="0" t="n">
        <f aca="false">W_PH(G$2,$A234)</f>
        <v>752.335981671275</v>
      </c>
      <c r="H234" s="0" t="n">
        <f aca="false">W_PH(H$2,$A234)</f>
        <v>752.335991863377</v>
      </c>
      <c r="I234" s="0" t="n">
        <f aca="false">W_PH(I$2,$A234)</f>
        <v>752.336002076964</v>
      </c>
      <c r="J234" s="0" t="n">
        <f aca="false">W_PH(J$2,$A234)</f>
        <v>752.336012312034</v>
      </c>
      <c r="K234" s="0" t="n">
        <f aca="false">W_PH(K$2,$A234)</f>
        <v>752.336022568589</v>
      </c>
      <c r="L234" s="0" t="n">
        <f aca="false">W_PH(L$2,$A234)</f>
        <v>752.336032846629</v>
      </c>
      <c r="M234" s="0" t="n">
        <f aca="false">W_PH(M$2,$A234)</f>
        <v>752.336043146156</v>
      </c>
      <c r="N234" s="0" t="n">
        <f aca="false">W_PH(N$2,$A234)</f>
        <v>752.336053467169</v>
      </c>
      <c r="O234" s="0" t="n">
        <f aca="false">W_PH(O$2,$A234)</f>
        <v>752.336063809669</v>
      </c>
      <c r="P234" s="0" t="n">
        <f aca="false">W_PH(P$2,$A234)</f>
        <v>752.336168416629</v>
      </c>
      <c r="Q234" s="0" t="n">
        <f aca="false">W_PH(Q$2,$A234)</f>
        <v>752.336275173067</v>
      </c>
      <c r="R234" s="0" t="n">
        <f aca="false">W_PH(R$2,$A234)</f>
        <v>752.336384079652</v>
      </c>
      <c r="S234" s="0" t="n">
        <f aca="false">W_PH(S$2,$A234)</f>
        <v>752.336495137056</v>
      </c>
      <c r="T234" s="0" t="n">
        <f aca="false">W_PH(T$2,$A234)</f>
        <v>752.336608345946</v>
      </c>
      <c r="U234" s="0" t="n">
        <f aca="false">W_PH(U$2,$A234)</f>
        <v>752.336723706988</v>
      </c>
      <c r="V234" s="0" t="n">
        <f aca="false">W_PH(V$2,$A234)</f>
        <v>752.336841220849</v>
      </c>
      <c r="W234" s="0" t="n">
        <f aca="false">W_PH(W$2,$A234)</f>
        <v>752.336960888193</v>
      </c>
      <c r="X234" s="0" t="n">
        <f aca="false">W_PH(X$2,$A234)</f>
        <v>752.337082709685</v>
      </c>
      <c r="Y234" s="0" t="n">
        <f aca="false">W_PH(Y$2,$A234)</f>
        <v>752.338419547893</v>
      </c>
      <c r="Z234" s="0" t="n">
        <f aca="false">W_PH(Z$2,$A234)</f>
        <v>752.339972522496</v>
      </c>
      <c r="AA234" s="0" t="n">
        <f aca="false">W_PH(AA$2,$A234)</f>
        <v>752.341742278668</v>
      </c>
      <c r="AB234" s="0" t="n">
        <f aca="false">W_PH(AB$2,$A234)</f>
        <v>752.34372945045</v>
      </c>
      <c r="AC234" s="0" t="n">
        <f aca="false">W_PH(AC$2,$A234)</f>
        <v>752.345934660805</v>
      </c>
      <c r="AD234" s="0" t="n">
        <f aca="false">W_PH(AD$2,$A234)</f>
        <v>752.348358521672</v>
      </c>
      <c r="AE234" s="0" t="n">
        <f aca="false">W_PH(AE$2,$A234)</f>
        <v>752.351001634013</v>
      </c>
      <c r="AF234" s="0" t="n">
        <f aca="false">W_PH(AF$2,$A234)</f>
        <v>752.353864587874</v>
      </c>
      <c r="AG234" s="0" t="n">
        <f aca="false">W_PH(AG$2,$A234)</f>
        <v>752.356947962431</v>
      </c>
      <c r="AH234" s="0" t="n">
        <f aca="false">W_PH(AH$2,$A234)</f>
        <v>752.400024607201</v>
      </c>
      <c r="AI234" s="0" t="n">
        <f aca="false">W_PH(AI$2,$A234)</f>
        <v>752.465701895331</v>
      </c>
      <c r="AJ234" s="0" t="n">
        <f aca="false">W_PH(AJ$2,$A234)</f>
        <v>752.557286571517</v>
      </c>
      <c r="AK234" s="0" t="n">
        <f aca="false">W_PH(AK$2,$A234)</f>
        <v>752.668478151124</v>
      </c>
      <c r="AL234" s="0" t="n">
        <f aca="false">W_PH(AL$2,$A234)</f>
        <v>752.803377724123</v>
      </c>
      <c r="AM234" s="0" t="n">
        <f aca="false">W_PH(AM$2,$A234)</f>
        <v>752.962175470759</v>
      </c>
      <c r="AN234" s="0" t="n">
        <f aca="false">W_PH(AN$2,$A234)</f>
        <v>753.144987372886</v>
      </c>
      <c r="AO234" s="0" t="n">
        <f aca="false">W_PH(AO$2,$A234)</f>
        <v>753.351861638779</v>
      </c>
      <c r="AP234" s="0" t="n">
        <f aca="false">W_PH(AP$2,$A234)</f>
        <v>753.582785048989</v>
      </c>
      <c r="AQ234" s="0" t="n">
        <f aca="false">W_PH(AQ$2,$A234)</f>
        <v>757.17966120303</v>
      </c>
      <c r="AR234" s="0" t="n">
        <f aca="false">W_PH(AR$2,$A234)</f>
        <v>758.199254451182</v>
      </c>
      <c r="AS234" s="0" t="n">
        <f aca="false">W_PH(AS$2,$A234)</f>
        <v>758.690982578738</v>
      </c>
    </row>
    <row r="235" customFormat="false" ht="13.8" hidden="false" customHeight="false" outlineLevel="0" collapsed="false">
      <c r="A235" s="0" t="n">
        <v>3950</v>
      </c>
      <c r="B235" s="0" t="n">
        <f aca="false">W_PH(B$2,$A235)</f>
        <v>753.893526670218</v>
      </c>
      <c r="C235" s="0" t="n">
        <f aca="false">W_PH(C$2,$A235)</f>
        <v>753.893528484105</v>
      </c>
      <c r="D235" s="0" t="n">
        <f aca="false">W_PH(D$2,$A235)</f>
        <v>753.893530298206</v>
      </c>
      <c r="E235" s="0" t="n">
        <f aca="false">W_PH(E$2,$A235)</f>
        <v>753.893532112521</v>
      </c>
      <c r="F235" s="0" t="n">
        <f aca="false">W_PH(F$2,$A235)</f>
        <v>753.893533927051</v>
      </c>
      <c r="G235" s="0" t="n">
        <f aca="false">W_PH(G$2,$A235)</f>
        <v>753.893552084138</v>
      </c>
      <c r="H235" s="0" t="n">
        <f aca="false">W_PH(H$2,$A235)</f>
        <v>753.893570262663</v>
      </c>
      <c r="I235" s="0" t="n">
        <f aca="false">W_PH(I$2,$A235)</f>
        <v>753.893588462624</v>
      </c>
      <c r="J235" s="0" t="n">
        <f aca="false">W_PH(J$2,$A235)</f>
        <v>753.893606684024</v>
      </c>
      <c r="K235" s="0" t="n">
        <f aca="false">W_PH(K$2,$A235)</f>
        <v>753.893624926862</v>
      </c>
      <c r="L235" s="0" t="n">
        <f aca="false">W_PH(L$2,$A235)</f>
        <v>753.89364319114</v>
      </c>
      <c r="M235" s="0" t="n">
        <f aca="false">W_PH(M$2,$A235)</f>
        <v>753.893661476858</v>
      </c>
      <c r="N235" s="0" t="n">
        <f aca="false">W_PH(N$2,$A235)</f>
        <v>753.893679784016</v>
      </c>
      <c r="O235" s="0" t="n">
        <f aca="false">W_PH(O$2,$A235)</f>
        <v>753.893698112615</v>
      </c>
      <c r="P235" s="0" t="n">
        <f aca="false">W_PH(P$2,$A235)</f>
        <v>753.893882578019</v>
      </c>
      <c r="Q235" s="0" t="n">
        <f aca="false">W_PH(Q$2,$A235)</f>
        <v>753.894069188249</v>
      </c>
      <c r="R235" s="0" t="n">
        <f aca="false">W_PH(R$2,$A235)</f>
        <v>753.894257943944</v>
      </c>
      <c r="S235" s="0" t="n">
        <f aca="false">W_PH(S$2,$A235)</f>
        <v>753.894448845739</v>
      </c>
      <c r="T235" s="0" t="n">
        <f aca="false">W_PH(T$2,$A235)</f>
        <v>753.89464189427</v>
      </c>
      <c r="U235" s="0" t="n">
        <f aca="false">W_PH(U$2,$A235)</f>
        <v>753.894837090172</v>
      </c>
      <c r="V235" s="0" t="n">
        <f aca="false">W_PH(V$2,$A235)</f>
        <v>753.895034434078</v>
      </c>
      <c r="W235" s="0" t="n">
        <f aca="false">W_PH(W$2,$A235)</f>
        <v>753.89523392662</v>
      </c>
      <c r="X235" s="0" t="n">
        <f aca="false">W_PH(X$2,$A235)</f>
        <v>753.895435568428</v>
      </c>
      <c r="Y235" s="0" t="n">
        <f aca="false">W_PH(Y$2,$A235)</f>
        <v>753.897570334245</v>
      </c>
      <c r="Z235" s="0" t="n">
        <f aca="false">W_PH(Z$2,$A235)</f>
        <v>753.899920712784</v>
      </c>
      <c r="AA235" s="0" t="n">
        <f aca="false">W_PH(AA$2,$A235)</f>
        <v>753.902487317074</v>
      </c>
      <c r="AB235" s="0" t="n">
        <f aca="false">W_PH(AB$2,$A235)</f>
        <v>753.905270749286</v>
      </c>
      <c r="AC235" s="0" t="n">
        <f aca="false">W_PH(AC$2,$A235)</f>
        <v>753.908271600792</v>
      </c>
      <c r="AD235" s="0" t="n">
        <f aca="false">W_PH(AD$2,$A235)</f>
        <v>753.91149045222</v>
      </c>
      <c r="AE235" s="0" t="n">
        <f aca="false">W_PH(AE$2,$A235)</f>
        <v>753.914927873504</v>
      </c>
      <c r="AF235" s="0" t="n">
        <f aca="false">W_PH(AF$2,$A235)</f>
        <v>753.918584423945</v>
      </c>
      <c r="AG235" s="0" t="n">
        <f aca="false">W_PH(AG$2,$A235)</f>
        <v>753.922460652263</v>
      </c>
      <c r="AH235" s="0" t="n">
        <f aca="false">W_PH(AH$2,$A235)</f>
        <v>753.973418486304</v>
      </c>
      <c r="AI235" s="0" t="n">
        <f aca="false">W_PH(AI$2,$A235)</f>
        <v>754.046871356128</v>
      </c>
      <c r="AJ235" s="0" t="n">
        <f aca="false">W_PH(AJ$2,$A235)</f>
        <v>754.14600615842</v>
      </c>
      <c r="AK235" s="0" t="n">
        <f aca="false">W_PH(AK$2,$A235)</f>
        <v>754.26468881045</v>
      </c>
      <c r="AL235" s="0" t="n">
        <f aca="false">W_PH(AL$2,$A235)</f>
        <v>754.406823089847</v>
      </c>
      <c r="AM235" s="0" t="n">
        <f aca="false">W_PH(AM$2,$A235)</f>
        <v>754.572575887104</v>
      </c>
      <c r="AN235" s="0" t="n">
        <f aca="false">W_PH(AN$2,$A235)</f>
        <v>754.762042759791</v>
      </c>
      <c r="AO235" s="0" t="n">
        <f aca="false">W_PH(AO$2,$A235)</f>
        <v>754.975254263843</v>
      </c>
      <c r="AP235" s="0" t="n">
        <f aca="false">W_PH(AP$2,$A235)</f>
        <v>755.212182177717</v>
      </c>
      <c r="AQ235" s="0" t="n">
        <f aca="false">W_PH(AQ$2,$A235)</f>
        <v>758.849064588445</v>
      </c>
      <c r="AR235" s="0" t="n">
        <f aca="false">W_PH(AR$2,$A235)</f>
        <v>759.872257621795</v>
      </c>
      <c r="AS235" s="0" t="n">
        <f aca="false">W_PH(AS$2,$A235)</f>
        <v>760.365101237752</v>
      </c>
    </row>
    <row r="236" customFormat="false" ht="13.8" hidden="false" customHeight="false" outlineLevel="0" collapsed="false">
      <c r="A236" s="0" t="n">
        <v>3960</v>
      </c>
      <c r="B236" s="0" t="n">
        <f aca="false">W_PH(B$2,$A236)</f>
        <v>755.445059684267</v>
      </c>
      <c r="C236" s="0" t="n">
        <f aca="false">W_PH(C$2,$A236)</f>
        <v>755.445062288961</v>
      </c>
      <c r="D236" s="0" t="n">
        <f aca="false">W_PH(D$2,$A236)</f>
        <v>755.445064893869</v>
      </c>
      <c r="E236" s="0" t="n">
        <f aca="false">W_PH(E$2,$A236)</f>
        <v>755.445067498991</v>
      </c>
      <c r="F236" s="0" t="n">
        <f aca="false">W_PH(F$2,$A236)</f>
        <v>755.445070104327</v>
      </c>
      <c r="G236" s="0" t="n">
        <f aca="false">W_PH(G$2,$A236)</f>
        <v>755.445096169449</v>
      </c>
      <c r="H236" s="0" t="n">
        <f aca="false">W_PH(H$2,$A236)</f>
        <v>755.445122255963</v>
      </c>
      <c r="I236" s="0" t="n">
        <f aca="false">W_PH(I$2,$A236)</f>
        <v>755.445148363867</v>
      </c>
      <c r="J236" s="0" t="n">
        <f aca="false">W_PH(J$2,$A236)</f>
        <v>755.445174493162</v>
      </c>
      <c r="K236" s="0" t="n">
        <f aca="false">W_PH(K$2,$A236)</f>
        <v>755.44520064385</v>
      </c>
      <c r="L236" s="0" t="n">
        <f aca="false">W_PH(L$2,$A236)</f>
        <v>755.44522681593</v>
      </c>
      <c r="M236" s="0" t="n">
        <f aca="false">W_PH(M$2,$A236)</f>
        <v>755.445253009404</v>
      </c>
      <c r="N236" s="0" t="n">
        <f aca="false">W_PH(N$2,$A236)</f>
        <v>755.445279224271</v>
      </c>
      <c r="O236" s="0" t="n">
        <f aca="false">W_PH(O$2,$A236)</f>
        <v>755.445305460533</v>
      </c>
      <c r="P236" s="0" t="n">
        <f aca="false">W_PH(P$2,$A236)</f>
        <v>755.445568999989</v>
      </c>
      <c r="Q236" s="0" t="n">
        <f aca="false">W_PH(Q$2,$A236)</f>
        <v>755.445834679566</v>
      </c>
      <c r="R236" s="0" t="n">
        <f aca="false">W_PH(R$2,$A236)</f>
        <v>755.446102499868</v>
      </c>
      <c r="S236" s="0" t="n">
        <f aca="false">W_PH(S$2,$A236)</f>
        <v>755.446372461499</v>
      </c>
      <c r="T236" s="0" t="n">
        <f aca="false">W_PH(T$2,$A236)</f>
        <v>755.446644565062</v>
      </c>
      <c r="U236" s="0" t="n">
        <f aca="false">W_PH(U$2,$A236)</f>
        <v>755.446918811156</v>
      </c>
      <c r="V236" s="0" t="n">
        <f aca="false">W_PH(V$2,$A236)</f>
        <v>755.447195200383</v>
      </c>
      <c r="W236" s="0" t="n">
        <f aca="false">W_PH(W$2,$A236)</f>
        <v>755.447473733342</v>
      </c>
      <c r="X236" s="0" t="n">
        <f aca="false">W_PH(X$2,$A236)</f>
        <v>755.44775441063</v>
      </c>
      <c r="Y236" s="0" t="n">
        <f aca="false">W_PH(Y$2,$A236)</f>
        <v>755.450679252426</v>
      </c>
      <c r="Z236" s="0" t="n">
        <f aca="false">W_PH(Z$2,$A236)</f>
        <v>755.453819177044</v>
      </c>
      <c r="AA236" s="0" t="n">
        <f aca="false">W_PH(AA$2,$A236)</f>
        <v>755.457174764923</v>
      </c>
      <c r="AB236" s="0" t="n">
        <f aca="false">W_PH(AB$2,$A236)</f>
        <v>755.460746585942</v>
      </c>
      <c r="AC236" s="0" t="n">
        <f aca="false">W_PH(AC$2,$A236)</f>
        <v>755.464535199469</v>
      </c>
      <c r="AD236" s="0" t="n">
        <f aca="false">W_PH(AD$2,$A236)</f>
        <v>755.46854115442</v>
      </c>
      <c r="AE236" s="0" t="n">
        <f aca="false">W_PH(AE$2,$A236)</f>
        <v>755.472764989316</v>
      </c>
      <c r="AF236" s="0" t="n">
        <f aca="false">W_PH(AF$2,$A236)</f>
        <v>755.477207232338</v>
      </c>
      <c r="AG236" s="0" t="n">
        <f aca="false">W_PH(AG$2,$A236)</f>
        <v>755.481868401385</v>
      </c>
      <c r="AH236" s="0" t="n">
        <f aca="false">W_PH(AH$2,$A236)</f>
        <v>755.540627725532</v>
      </c>
      <c r="AI236" s="0" t="n">
        <f aca="false">W_PH(AI$2,$A236)</f>
        <v>755.621775249058</v>
      </c>
      <c r="AJ236" s="0" t="n">
        <f aca="false">W_PH(AJ$2,$A236)</f>
        <v>755.728364921028</v>
      </c>
      <c r="AK236" s="0" t="n">
        <f aca="false">W_PH(AK$2,$A236)</f>
        <v>755.854459199609</v>
      </c>
      <c r="AL236" s="0" t="n">
        <f aca="false">W_PH(AL$2,$A236)</f>
        <v>756.003752550515</v>
      </c>
      <c r="AM236" s="0" t="n">
        <f aca="false">W_PH(AM$2,$A236)</f>
        <v>756.176388922353</v>
      </c>
      <c r="AN236" s="0" t="n">
        <f aca="false">W_PH(AN$2,$A236)</f>
        <v>756.372443786435</v>
      </c>
      <c r="AO236" s="0" t="n">
        <f aca="false">W_PH(AO$2,$A236)</f>
        <v>756.591930359853</v>
      </c>
      <c r="AP236" s="0" t="n">
        <f aca="false">W_PH(AP$2,$A236)</f>
        <v>756.834805696022</v>
      </c>
      <c r="AQ236" s="0" t="n">
        <f aca="false">W_PH(AQ$2,$A236)</f>
        <v>760.511424729546</v>
      </c>
      <c r="AR236" s="0" t="n">
        <f aca="false">W_PH(AR$2,$A236)</f>
        <v>761.538223188439</v>
      </c>
      <c r="AS236" s="0" t="n">
        <f aca="false">W_PH(AS$2,$A236)</f>
        <v>762.032189636373</v>
      </c>
    </row>
    <row r="237" customFormat="false" ht="13.8" hidden="false" customHeight="false" outlineLevel="0" collapsed="false">
      <c r="A237" s="0" t="n">
        <v>3970</v>
      </c>
      <c r="B237" s="0" t="n">
        <f aca="false">W_PH(B$2,$A237)</f>
        <v>756.99062022046</v>
      </c>
      <c r="C237" s="0" t="n">
        <f aca="false">W_PH(C$2,$A237)</f>
        <v>756.990623608313</v>
      </c>
      <c r="D237" s="0" t="n">
        <f aca="false">W_PH(D$2,$A237)</f>
        <v>756.990626996379</v>
      </c>
      <c r="E237" s="0" t="n">
        <f aca="false">W_PH(E$2,$A237)</f>
        <v>756.990630384658</v>
      </c>
      <c r="F237" s="0" t="n">
        <f aca="false">W_PH(F$2,$A237)</f>
        <v>756.990633773151</v>
      </c>
      <c r="G237" s="0" t="n">
        <f aca="false">W_PH(G$2,$A237)</f>
        <v>756.990667669817</v>
      </c>
      <c r="H237" s="0" t="n">
        <f aca="false">W_PH(H$2,$A237)</f>
        <v>756.990701587825</v>
      </c>
      <c r="I237" s="0" t="n">
        <f aca="false">W_PH(I$2,$A237)</f>
        <v>756.990735527177</v>
      </c>
      <c r="J237" s="0" t="n">
        <f aca="false">W_PH(J$2,$A237)</f>
        <v>756.990769487873</v>
      </c>
      <c r="K237" s="0" t="n">
        <f aca="false">W_PH(K$2,$A237)</f>
        <v>756.990803469913</v>
      </c>
      <c r="L237" s="0" t="n">
        <f aca="false">W_PH(L$2,$A237)</f>
        <v>756.990837473298</v>
      </c>
      <c r="M237" s="0" t="n">
        <f aca="false">W_PH(M$2,$A237)</f>
        <v>756.990871498028</v>
      </c>
      <c r="N237" s="0" t="n">
        <f aca="false">W_PH(N$2,$A237)</f>
        <v>756.990905544105</v>
      </c>
      <c r="O237" s="0" t="n">
        <f aca="false">W_PH(O$2,$A237)</f>
        <v>756.990939611528</v>
      </c>
      <c r="P237" s="0" t="n">
        <f aca="false">W_PH(P$2,$A237)</f>
        <v>756.99128145995</v>
      </c>
      <c r="Q237" s="0" t="n">
        <f aca="false">W_PH(Q$2,$A237)</f>
        <v>756.991625443666</v>
      </c>
      <c r="R237" s="0" t="n">
        <f aca="false">W_PH(R$2,$A237)</f>
        <v>756.991971563246</v>
      </c>
      <c r="S237" s="0" t="n">
        <f aca="false">W_PH(S$2,$A237)</f>
        <v>756.992319819259</v>
      </c>
      <c r="T237" s="0" t="n">
        <f aca="false">W_PH(T$2,$A237)</f>
        <v>756.992670212276</v>
      </c>
      <c r="U237" s="0" t="n">
        <f aca="false">W_PH(U$2,$A237)</f>
        <v>756.993022742862</v>
      </c>
      <c r="V237" s="0" t="n">
        <f aca="false">W_PH(V$2,$A237)</f>
        <v>756.993377411585</v>
      </c>
      <c r="W237" s="0" t="n">
        <f aca="false">W_PH(W$2,$A237)</f>
        <v>756.993734219011</v>
      </c>
      <c r="X237" s="0" t="n">
        <f aca="false">W_PH(X$2,$A237)</f>
        <v>756.994093165704</v>
      </c>
      <c r="Y237" s="0" t="n">
        <f aca="false">W_PH(Y$2,$A237)</f>
        <v>756.997800415782</v>
      </c>
      <c r="Z237" s="0" t="n">
        <f aca="false">W_PH(Z$2,$A237)</f>
        <v>757.001722205895</v>
      </c>
      <c r="AA237" s="0" t="n">
        <f aca="false">W_PH(AA$2,$A237)</f>
        <v>757.005859083559</v>
      </c>
      <c r="AB237" s="0" t="n">
        <f aca="false">W_PH(AB$2,$A237)</f>
        <v>757.010211586027</v>
      </c>
      <c r="AC237" s="0" t="n">
        <f aca="false">W_PH(AC$2,$A237)</f>
        <v>757.014780240346</v>
      </c>
      <c r="AD237" s="0" t="n">
        <f aca="false">W_PH(AD$2,$A237)</f>
        <v>757.019565563419</v>
      </c>
      <c r="AE237" s="0" t="n">
        <f aca="false">W_PH(AE$2,$A237)</f>
        <v>757.024568062055</v>
      </c>
      <c r="AF237" s="0" t="n">
        <f aca="false">W_PH(AF$2,$A237)</f>
        <v>757.029788233032</v>
      </c>
      <c r="AG237" s="0" t="n">
        <f aca="false">W_PH(AG$2,$A237)</f>
        <v>757.035226563157</v>
      </c>
      <c r="AH237" s="0" t="n">
        <f aca="false">W_PH(AH$2,$A237)</f>
        <v>757.101708700626</v>
      </c>
      <c r="AI237" s="0" t="n">
        <f aca="false">W_PH(AI$2,$A237)</f>
        <v>757.190470459115</v>
      </c>
      <c r="AJ237" s="0" t="n">
        <f aca="false">W_PH(AJ$2,$A237)</f>
        <v>757.304420273936</v>
      </c>
      <c r="AK237" s="0" t="n">
        <f aca="false">W_PH(AK$2,$A237)</f>
        <v>757.437847364302</v>
      </c>
      <c r="AL237" s="0" t="n">
        <f aca="false">W_PH(AL$2,$A237)</f>
        <v>757.594224633534</v>
      </c>
      <c r="AM237" s="0" t="n">
        <f aca="false">W_PH(AM$2,$A237)</f>
        <v>757.773673454874</v>
      </c>
      <c r="AN237" s="0" t="n">
        <f aca="false">W_PH(AN$2,$A237)</f>
        <v>757.976249563573</v>
      </c>
      <c r="AO237" s="0" t="n">
        <f aca="false">W_PH(AO$2,$A237)</f>
        <v>758.201949158209</v>
      </c>
      <c r="AP237" s="0" t="n">
        <f aca="false">W_PH(AP$2,$A237)</f>
        <v>758.450714846703</v>
      </c>
      <c r="AQ237" s="0" t="n">
        <f aca="false">W_PH(AQ$2,$A237)</f>
        <v>762.166793745034</v>
      </c>
      <c r="AR237" s="0" t="n">
        <f aca="false">W_PH(AR$2,$A237)</f>
        <v>763.197199632738</v>
      </c>
      <c r="AS237" s="0" t="n">
        <f aca="false">W_PH(AS$2,$A237)</f>
        <v>763.692294295851</v>
      </c>
    </row>
    <row r="238" customFormat="false" ht="13.8" hidden="false" customHeight="false" outlineLevel="0" collapsed="false">
      <c r="A238" s="0" t="n">
        <v>3980</v>
      </c>
      <c r="B238" s="0" t="n">
        <f aca="false">W_PH(B$2,$A238)</f>
        <v>758.530261045273</v>
      </c>
      <c r="C238" s="0" t="n">
        <f aca="false">W_PH(C$2,$A238)</f>
        <v>758.530265208814</v>
      </c>
      <c r="D238" s="0" t="n">
        <f aca="false">W_PH(D$2,$A238)</f>
        <v>758.530269372568</v>
      </c>
      <c r="E238" s="0" t="n">
        <f aca="false">W_PH(E$2,$A238)</f>
        <v>758.530273536535</v>
      </c>
      <c r="F238" s="0" t="n">
        <f aca="false">W_PH(F$2,$A238)</f>
        <v>758.530277700714</v>
      </c>
      <c r="G238" s="0" t="n">
        <f aca="false">W_PH(G$2,$A238)</f>
        <v>758.530319354223</v>
      </c>
      <c r="H238" s="0" t="n">
        <f aca="false">W_PH(H$2,$A238)</f>
        <v>758.530361029024</v>
      </c>
      <c r="I238" s="0" t="n">
        <f aca="false">W_PH(I$2,$A238)</f>
        <v>758.53040272512</v>
      </c>
      <c r="J238" s="0" t="n">
        <f aca="false">W_PH(J$2,$A238)</f>
        <v>758.530444442509</v>
      </c>
      <c r="K238" s="0" t="n">
        <f aca="false">W_PH(K$2,$A238)</f>
        <v>758.530486181193</v>
      </c>
      <c r="L238" s="0" t="n">
        <f aca="false">W_PH(L$2,$A238)</f>
        <v>758.530527941172</v>
      </c>
      <c r="M238" s="0" t="n">
        <f aca="false">W_PH(M$2,$A238)</f>
        <v>758.530569722447</v>
      </c>
      <c r="N238" s="0" t="n">
        <f aca="false">W_PH(N$2,$A238)</f>
        <v>758.530611525018</v>
      </c>
      <c r="O238" s="0" t="n">
        <f aca="false">W_PH(O$2,$A238)</f>
        <v>758.530653348887</v>
      </c>
      <c r="P238" s="0" t="n">
        <f aca="false">W_PH(P$2,$A238)</f>
        <v>758.531072759014</v>
      </c>
      <c r="Q238" s="0" t="n">
        <f aca="false">W_PH(Q$2,$A238)</f>
        <v>758.531494299418</v>
      </c>
      <c r="R238" s="0" t="n">
        <f aca="false">W_PH(R$2,$A238)</f>
        <v>758.531917970636</v>
      </c>
      <c r="S238" s="0" t="n">
        <f aca="false">W_PH(S$2,$A238)</f>
        <v>758.532343773203</v>
      </c>
      <c r="T238" s="0" t="n">
        <f aca="false">W_PH(T$2,$A238)</f>
        <v>758.532771707656</v>
      </c>
      <c r="U238" s="0" t="n">
        <f aca="false">W_PH(U$2,$A238)</f>
        <v>758.533201774527</v>
      </c>
      <c r="V238" s="0" t="n">
        <f aca="false">W_PH(V$2,$A238)</f>
        <v>758.53363397435</v>
      </c>
      <c r="W238" s="0" t="n">
        <f aca="false">W_PH(W$2,$A238)</f>
        <v>758.534068307656</v>
      </c>
      <c r="X238" s="0" t="n">
        <f aca="false">W_PH(X$2,$A238)</f>
        <v>758.534504774976</v>
      </c>
      <c r="Y238" s="0" t="n">
        <f aca="false">W_PH(Y$2,$A238)</f>
        <v>758.538986935038</v>
      </c>
      <c r="Z238" s="0" t="n">
        <f aca="false">W_PH(Z$2,$A238)</f>
        <v>758.543683073037</v>
      </c>
      <c r="AA238" s="0" t="n">
        <f aca="false">W_PH(AA$2,$A238)</f>
        <v>758.548593703314</v>
      </c>
      <c r="AB238" s="0" t="n">
        <f aca="false">W_PH(AB$2,$A238)</f>
        <v>758.553719330264</v>
      </c>
      <c r="AC238" s="0" t="n">
        <f aca="false">W_PH(AC$2,$A238)</f>
        <v>758.559060448388</v>
      </c>
      <c r="AD238" s="0" t="n">
        <f aca="false">W_PH(AD$2,$A238)</f>
        <v>758.564617542357</v>
      </c>
      <c r="AE238" s="0" t="n">
        <f aca="false">W_PH(AE$2,$A238)</f>
        <v>758.570391087064</v>
      </c>
      <c r="AF238" s="0" t="n">
        <f aca="false">W_PH(AF$2,$A238)</f>
        <v>758.576381547686</v>
      </c>
      <c r="AG238" s="0" t="n">
        <f aca="false">W_PH(AG$2,$A238)</f>
        <v>758.582589379743</v>
      </c>
      <c r="AH238" s="0" t="n">
        <f aca="false">W_PH(AH$2,$A238)</f>
        <v>758.656716557095</v>
      </c>
      <c r="AI238" s="0" t="n">
        <f aca="false">W_PH(AI$2,$A238)</f>
        <v>758.753012537022</v>
      </c>
      <c r="AJ238" s="0" t="n">
        <f aca="false">W_PH(AJ$2,$A238)</f>
        <v>758.874228382128</v>
      </c>
      <c r="AK238" s="0" t="n">
        <f aca="false">W_PH(AK$2,$A238)</f>
        <v>759.014910079981</v>
      </c>
      <c r="AL238" s="0" t="n">
        <f aca="false">W_PH(AL$2,$A238)</f>
        <v>759.178296577856</v>
      </c>
      <c r="AM238" s="0" t="n">
        <f aca="false">W_PH(AM$2,$A238)</f>
        <v>759.364487057984</v>
      </c>
      <c r="AN238" s="0" t="n">
        <f aca="false">W_PH(AN$2,$A238)</f>
        <v>759.573517881351</v>
      </c>
      <c r="AO238" s="0" t="n">
        <f aca="false">W_PH(AO$2,$A238)</f>
        <v>759.805368554847</v>
      </c>
      <c r="AP238" s="0" t="n">
        <f aca="false">W_PH(AP$2,$A238)</f>
        <v>760.059967522769</v>
      </c>
      <c r="AQ238" s="0" t="n">
        <f aca="false">W_PH(AQ$2,$A238)</f>
        <v>763.81522231506</v>
      </c>
      <c r="AR238" s="0" t="n">
        <f aca="false">W_PH(AR$2,$A238)</f>
        <v>764.849234004685</v>
      </c>
      <c r="AS238" s="0" t="n">
        <f aca="false">W_PH(AS$2,$A238)</f>
        <v>765.345460313245</v>
      </c>
    </row>
    <row r="239" customFormat="false" ht="13.8" hidden="false" customHeight="false" outlineLevel="0" collapsed="false">
      <c r="A239" s="0" t="n">
        <v>3990</v>
      </c>
      <c r="B239" s="0" t="n">
        <f aca="false">W_PH(B$2,$A239)</f>
        <v>760.064033957703</v>
      </c>
      <c r="C239" s="0" t="n">
        <f aca="false">W_PH(C$2,$A239)</f>
        <v>760.064038889627</v>
      </c>
      <c r="D239" s="0" t="n">
        <f aca="false">W_PH(D$2,$A239)</f>
        <v>760.064043821764</v>
      </c>
      <c r="E239" s="0" t="n">
        <f aca="false">W_PH(E$2,$A239)</f>
        <v>760.064048754113</v>
      </c>
      <c r="F239" s="0" t="n">
        <f aca="false">W_PH(F$2,$A239)</f>
        <v>760.064053686674</v>
      </c>
      <c r="G239" s="0" t="n">
        <f aca="false">W_PH(G$2,$A239)</f>
        <v>760.064103023968</v>
      </c>
      <c r="H239" s="0" t="n">
        <f aca="false">W_PH(H$2,$A239)</f>
        <v>760.064152382503</v>
      </c>
      <c r="I239" s="0" t="n">
        <f aca="false">W_PH(I$2,$A239)</f>
        <v>760.06420176228</v>
      </c>
      <c r="J239" s="0" t="n">
        <f aca="false">W_PH(J$2,$A239)</f>
        <v>760.064251163299</v>
      </c>
      <c r="K239" s="0" t="n">
        <f aca="false">W_PH(K$2,$A239)</f>
        <v>760.06430058556</v>
      </c>
      <c r="L239" s="0" t="n">
        <f aca="false">W_PH(L$2,$A239)</f>
        <v>760.064350029065</v>
      </c>
      <c r="M239" s="0" t="n">
        <f aca="false">W_PH(M$2,$A239)</f>
        <v>760.064399493812</v>
      </c>
      <c r="N239" s="0" t="n">
        <f aca="false">W_PH(N$2,$A239)</f>
        <v>760.064448979804</v>
      </c>
      <c r="O239" s="0" t="n">
        <f aca="false">W_PH(O$2,$A239)</f>
        <v>760.064498487041</v>
      </c>
      <c r="P239" s="0" t="n">
        <f aca="false">W_PH(P$2,$A239)</f>
        <v>760.064994727966</v>
      </c>
      <c r="Q239" s="0" t="n">
        <f aca="false">W_PH(Q$2,$A239)</f>
        <v>760.065493093899</v>
      </c>
      <c r="R239" s="0" t="n">
        <f aca="false">W_PH(R$2,$A239)</f>
        <v>760.065993585345</v>
      </c>
      <c r="S239" s="0" t="n">
        <f aca="false">W_PH(S$2,$A239)</f>
        <v>760.066496202803</v>
      </c>
      <c r="T239" s="0" t="n">
        <f aca="false">W_PH(T$2,$A239)</f>
        <v>760.067000946775</v>
      </c>
      <c r="U239" s="0" t="n">
        <f aca="false">W_PH(U$2,$A239)</f>
        <v>760.067507817762</v>
      </c>
      <c r="V239" s="0" t="n">
        <f aca="false">W_PH(V$2,$A239)</f>
        <v>760.068016816262</v>
      </c>
      <c r="W239" s="0" t="n">
        <f aca="false">W_PH(W$2,$A239)</f>
        <v>760.068527942773</v>
      </c>
      <c r="X239" s="0" t="n">
        <f aca="false">W_PH(X$2,$A239)</f>
        <v>760.069041197791</v>
      </c>
      <c r="Y239" s="0" t="n">
        <f aca="false">W_PH(Y$2,$A239)</f>
        <v>760.074290924576</v>
      </c>
      <c r="Z239" s="0" t="n">
        <f aca="false">W_PH(Z$2,$A239)</f>
        <v>760.079754041674</v>
      </c>
      <c r="AA239" s="0" t="n">
        <f aca="false">W_PH(AA$2,$A239)</f>
        <v>760.085431030101</v>
      </c>
      <c r="AB239" s="0" t="n">
        <f aca="false">W_PH(AB$2,$A239)</f>
        <v>760.091322361243</v>
      </c>
      <c r="AC239" s="0" t="n">
        <f aca="false">W_PH(AC$2,$A239)</f>
        <v>760.097428496917</v>
      </c>
      <c r="AD239" s="0" t="n">
        <f aca="false">W_PH(AD$2,$A239)</f>
        <v>760.10374988943</v>
      </c>
      <c r="AE239" s="0" t="n">
        <f aca="false">W_PH(AE$2,$A239)</f>
        <v>760.110286981634</v>
      </c>
      <c r="AF239" s="0" t="n">
        <f aca="false">W_PH(AF$2,$A239)</f>
        <v>760.117040206989</v>
      </c>
      <c r="AG239" s="0" t="n">
        <f aca="false">W_PH(AG$2,$A239)</f>
        <v>760.124009989621</v>
      </c>
      <c r="AH239" s="0" t="n">
        <f aca="false">W_PH(AH$2,$A239)</f>
        <v>760.205705219137</v>
      </c>
      <c r="AI239" s="0" t="n">
        <f aca="false">W_PH(AI$2,$A239)</f>
        <v>760.309455709574</v>
      </c>
      <c r="AJ239" s="0" t="n">
        <f aca="false">W_PH(AJ$2,$A239)</f>
        <v>760.437844177075</v>
      </c>
      <c r="AK239" s="0" t="n">
        <f aca="false">W_PH(AK$2,$A239)</f>
        <v>760.585702869359</v>
      </c>
      <c r="AL239" s="0" t="n">
        <f aca="false">W_PH(AL$2,$A239)</f>
        <v>760.756024352723</v>
      </c>
      <c r="AM239" s="0" t="n">
        <f aca="false">W_PH(AM$2,$A239)</f>
        <v>760.948886019719</v>
      </c>
      <c r="AN239" s="0" t="n">
        <f aca="false">W_PH(AN$2,$A239)</f>
        <v>761.164305229893</v>
      </c>
      <c r="AO239" s="0" t="n">
        <f aca="false">W_PH(AO$2,$A239)</f>
        <v>761.402245131415</v>
      </c>
      <c r="AP239" s="0" t="n">
        <f aca="false">W_PH(AP$2,$A239)</f>
        <v>761.662620288961</v>
      </c>
      <c r="AQ239" s="0" t="n">
        <f aca="false">W_PH(AQ$2,$A239)</f>
        <v>765.456759689199</v>
      </c>
      <c r="AR239" s="0" t="n">
        <f aca="false">W_PH(AR$2,$A239)</f>
        <v>766.494371923055</v>
      </c>
      <c r="AS239" s="0" t="n">
        <f aca="false">W_PH(AS$2,$A239)</f>
        <v>766.991731357765</v>
      </c>
    </row>
    <row r="240" customFormat="false" ht="13.8" hidden="false" customHeight="false" outlineLevel="0" collapsed="false">
      <c r="A240" s="0" t="n">
        <v>4000</v>
      </c>
      <c r="B240" s="0" t="n">
        <f aca="false">W_PH(B$2,$A240)</f>
        <v>761.591989795134</v>
      </c>
      <c r="C240" s="0" t="n">
        <f aca="false">W_PH(C$2,$A240)</f>
        <v>761.591995488285</v>
      </c>
      <c r="D240" s="0" t="n">
        <f aca="false">W_PH(D$2,$A240)</f>
        <v>761.592001181649</v>
      </c>
      <c r="E240" s="0" t="n">
        <f aca="false">W_PH(E$2,$A240)</f>
        <v>761.592006875224</v>
      </c>
      <c r="F240" s="0" t="n">
        <f aca="false">W_PH(F$2,$A240)</f>
        <v>761.592012569011</v>
      </c>
      <c r="G240" s="0" t="n">
        <f aca="false">W_PH(G$2,$A240)</f>
        <v>761.592069518533</v>
      </c>
      <c r="H240" s="0" t="n">
        <f aca="false">W_PH(H$2,$A240)</f>
        <v>761.592126489241</v>
      </c>
      <c r="I240" s="0" t="n">
        <f aca="false">W_PH(I$2,$A240)</f>
        <v>761.592183481136</v>
      </c>
      <c r="J240" s="0" t="n">
        <f aca="false">W_PH(J$2,$A240)</f>
        <v>761.592240494217</v>
      </c>
      <c r="K240" s="0" t="n">
        <f aca="false">W_PH(K$2,$A240)</f>
        <v>761.592297528486</v>
      </c>
      <c r="L240" s="0" t="n">
        <f aca="false">W_PH(L$2,$A240)</f>
        <v>761.592354583942</v>
      </c>
      <c r="M240" s="0" t="n">
        <f aca="false">W_PH(M$2,$A240)</f>
        <v>761.592411660586</v>
      </c>
      <c r="N240" s="0" t="n">
        <f aca="false">W_PH(N$2,$A240)</f>
        <v>761.592468758419</v>
      </c>
      <c r="O240" s="0" t="n">
        <f aca="false">W_PH(O$2,$A240)</f>
        <v>761.592525877441</v>
      </c>
      <c r="P240" s="0" t="n">
        <f aca="false">W_PH(P$2,$A240)</f>
        <v>761.593098233165</v>
      </c>
      <c r="Q240" s="0" t="n">
        <f aca="false">W_PH(Q$2,$A240)</f>
        <v>761.593672708316</v>
      </c>
      <c r="R240" s="0" t="n">
        <f aca="false">W_PH(R$2,$A240)</f>
        <v>761.594249303361</v>
      </c>
      <c r="S240" s="0" t="n">
        <f aca="false">W_PH(S$2,$A240)</f>
        <v>761.59482801877</v>
      </c>
      <c r="T240" s="0" t="n">
        <f aca="false">W_PH(T$2,$A240)</f>
        <v>761.595408855008</v>
      </c>
      <c r="U240" s="0" t="n">
        <f aca="false">W_PH(U$2,$A240)</f>
        <v>761.595991812542</v>
      </c>
      <c r="V240" s="0" t="n">
        <f aca="false">W_PH(V$2,$A240)</f>
        <v>761.596576891836</v>
      </c>
      <c r="W240" s="0" t="n">
        <f aca="false">W_PH(W$2,$A240)</f>
        <v>761.597164093355</v>
      </c>
      <c r="X240" s="0" t="n">
        <f aca="false">W_PH(X$2,$A240)</f>
        <v>761.597753417562</v>
      </c>
      <c r="Y240" s="0" t="n">
        <f aca="false">W_PH(Y$2,$A240)</f>
        <v>761.603763508657</v>
      </c>
      <c r="Z240" s="0" t="n">
        <f aca="false">W_PH(Z$2,$A240)</f>
        <v>761.609986370931</v>
      </c>
      <c r="AA240" s="0" t="n">
        <f aca="false">W_PH(AA$2,$A240)</f>
        <v>761.616422452002</v>
      </c>
      <c r="AB240" s="0" t="n">
        <f aca="false">W_PH(AB$2,$A240)</f>
        <v>761.623072190181</v>
      </c>
      <c r="AC240" s="0" t="n">
        <f aca="false">W_PH(AC$2,$A240)</f>
        <v>761.629936014545</v>
      </c>
      <c r="AD240" s="0" t="n">
        <f aca="false">W_PH(AD$2,$A240)</f>
        <v>761.637014344985</v>
      </c>
      <c r="AE240" s="0" t="n">
        <f aca="false">W_PH(AE$2,$A240)</f>
        <v>761.644307592268</v>
      </c>
      <c r="AF240" s="0" t="n">
        <f aca="false">W_PH(AF$2,$A240)</f>
        <v>761.651816158098</v>
      </c>
      <c r="AG240" s="0" t="n">
        <f aca="false">W_PH(AG$2,$A240)</f>
        <v>761.659540435175</v>
      </c>
      <c r="AH240" s="0" t="n">
        <f aca="false">W_PH(AH$2,$A240)</f>
        <v>761.748727398805</v>
      </c>
      <c r="AI240" s="0" t="n">
        <f aca="false">W_PH(AI$2,$A240)</f>
        <v>761.859852890335</v>
      </c>
      <c r="AJ240" s="0" t="n">
        <f aca="false">W_PH(AJ$2,$A240)</f>
        <v>761.995321372434</v>
      </c>
      <c r="AK240" s="0" t="n">
        <f aca="false">W_PH(AK$2,$A240)</f>
        <v>762.150280019486</v>
      </c>
      <c r="AL240" s="0" t="n">
        <f aca="false">W_PH(AL$2,$A240)</f>
        <v>762.327462675934</v>
      </c>
      <c r="AM240" s="0" t="n">
        <f aca="false">W_PH(AM$2,$A240)</f>
        <v>762.52692536211</v>
      </c>
      <c r="AN240" s="0" t="n">
        <f aca="false">W_PH(AN$2,$A240)</f>
        <v>762.748666819404</v>
      </c>
      <c r="AO240" s="0" t="n">
        <f aca="false">W_PH(AO$2,$A240)</f>
        <v>762.992634175996</v>
      </c>
      <c r="AP240" s="0" t="n">
        <f aca="false">W_PH(AP$2,$A240)</f>
        <v>763.258728402872</v>
      </c>
      <c r="AQ240" s="0" t="n">
        <f aca="false">W_PH(AQ$2,$A240)</f>
        <v>767.091453695328</v>
      </c>
      <c r="AR240" s="0" t="n">
        <f aca="false">W_PH(AR$2,$A240)</f>
        <v>768.132657577097</v>
      </c>
      <c r="AS240" s="0" t="n">
        <f aca="false">W_PH(AS$2,$A240)</f>
        <v>768.631149668565</v>
      </c>
    </row>
    <row r="241" customFormat="false" ht="13.8" hidden="false" customHeight="false" outlineLevel="0" collapsed="false">
      <c r="A241" s="0" t="n">
        <v>4010</v>
      </c>
      <c r="B241" s="0" t="n">
        <f aca="false">W_PH(B$2,$A241)</f>
        <v>763.114178439118</v>
      </c>
      <c r="C241" s="0" t="n">
        <f aca="false">W_PH(C$2,$A241)</f>
        <v>763.114184886477</v>
      </c>
      <c r="D241" s="0" t="n">
        <f aca="false">W_PH(D$2,$A241)</f>
        <v>763.114191334048</v>
      </c>
      <c r="E241" s="0" t="n">
        <f aca="false">W_PH(E$2,$A241)</f>
        <v>763.114197781829</v>
      </c>
      <c r="F241" s="0" t="n">
        <f aca="false">W_PH(F$2,$A241)</f>
        <v>763.114204229823</v>
      </c>
      <c r="G241" s="0" t="n">
        <f aca="false">W_PH(G$2,$A241)</f>
        <v>763.114268721371</v>
      </c>
      <c r="H241" s="0" t="n">
        <f aca="false">W_PH(H$2,$A241)</f>
        <v>763.114333234047</v>
      </c>
      <c r="I241" s="0" t="n">
        <f aca="false">W_PH(I$2,$A241)</f>
        <v>763.114397767851</v>
      </c>
      <c r="J241" s="0" t="n">
        <f aca="false">W_PH(J$2,$A241)</f>
        <v>763.114462322781</v>
      </c>
      <c r="K241" s="0" t="n">
        <f aca="false">W_PH(K$2,$A241)</f>
        <v>763.11452689884</v>
      </c>
      <c r="L241" s="0" t="n">
        <f aca="false">W_PH(L$2,$A241)</f>
        <v>763.114591496028</v>
      </c>
      <c r="M241" s="0" t="n">
        <f aca="false">W_PH(M$2,$A241)</f>
        <v>763.114656114345</v>
      </c>
      <c r="N241" s="0" t="n">
        <f aca="false">W_PH(N$2,$A241)</f>
        <v>763.114720753791</v>
      </c>
      <c r="O241" s="0" t="n">
        <f aca="false">W_PH(O$2,$A241)</f>
        <v>763.114785414367</v>
      </c>
      <c r="P241" s="0" t="n">
        <f aca="false">W_PH(P$2,$A241)</f>
        <v>763.115433182371</v>
      </c>
      <c r="Q241" s="0" t="n">
        <f aca="false">W_PH(Q$2,$A241)</f>
        <v>763.116083063845</v>
      </c>
      <c r="R241" s="0" t="n">
        <f aca="false">W_PH(R$2,$A241)</f>
        <v>763.116735059226</v>
      </c>
      <c r="S241" s="0" t="n">
        <f aca="false">W_PH(S$2,$A241)</f>
        <v>763.117389168946</v>
      </c>
      <c r="T241" s="0" t="n">
        <f aca="false">W_PH(T$2,$A241)</f>
        <v>763.118045393438</v>
      </c>
      <c r="U241" s="0" t="n">
        <f aca="false">W_PH(U$2,$A241)</f>
        <v>763.118703733135</v>
      </c>
      <c r="V241" s="0" t="n">
        <f aca="false">W_PH(V$2,$A241)</f>
        <v>763.119364188466</v>
      </c>
      <c r="W241" s="0" t="n">
        <f aca="false">W_PH(W$2,$A241)</f>
        <v>763.120026759863</v>
      </c>
      <c r="X241" s="0" t="n">
        <f aca="false">W_PH(X$2,$A241)</f>
        <v>763.120691447755</v>
      </c>
      <c r="Y241" s="0" t="n">
        <f aca="false">W_PH(Y$2,$A241)</f>
        <v>763.12745482762</v>
      </c>
      <c r="Z241" s="0" t="n">
        <f aca="false">W_PH(Z$2,$A241)</f>
        <v>763.134430322243</v>
      </c>
      <c r="AA241" s="0" t="n">
        <f aca="false">W_PH(AA$2,$A241)</f>
        <v>763.141618345851</v>
      </c>
      <c r="AB241" s="0" t="n">
        <f aca="false">W_PH(AB$2,$A241)</f>
        <v>763.149019303699</v>
      </c>
      <c r="AC241" s="0" t="n">
        <f aca="false">W_PH(AC$2,$A241)</f>
        <v>763.156633592141</v>
      </c>
      <c r="AD241" s="0" t="n">
        <f aca="false">W_PH(AD$2,$A241)</f>
        <v>763.164461598679</v>
      </c>
      <c r="AE241" s="0" t="n">
        <f aca="false">W_PH(AE$2,$A241)</f>
        <v>763.172503702025</v>
      </c>
      <c r="AF241" s="0" t="n">
        <f aca="false">W_PH(AF$2,$A241)</f>
        <v>763.180760272163</v>
      </c>
      <c r="AG241" s="0" t="n">
        <f aca="false">W_PH(AG$2,$A241)</f>
        <v>763.189231670404</v>
      </c>
      <c r="AH241" s="0" t="n">
        <f aca="false">W_PH(AH$2,$A241)</f>
        <v>763.285834605432</v>
      </c>
      <c r="AI241" s="0" t="n">
        <f aca="false">W_PH(AI$2,$A241)</f>
        <v>763.404255690719</v>
      </c>
      <c r="AJ241" s="0" t="n">
        <f aca="false">W_PH(AJ$2,$A241)</f>
        <v>763.546712479345</v>
      </c>
      <c r="AK241" s="0" t="n">
        <f aca="false">W_PH(AK$2,$A241)</f>
        <v>763.708694598381</v>
      </c>
      <c r="AL241" s="0" t="n">
        <f aca="false">W_PH(AL$2,$A241)</f>
        <v>763.892665031651</v>
      </c>
      <c r="AM241" s="0" t="n">
        <f aca="false">W_PH(AM$2,$A241)</f>
        <v>764.098658860008</v>
      </c>
      <c r="AN241" s="0" t="n">
        <f aca="false">W_PH(AN$2,$A241)</f>
        <v>764.326656599821</v>
      </c>
      <c r="AO241" s="0" t="n">
        <f aca="false">W_PH(AO$2,$A241)</f>
        <v>764.576589703397</v>
      </c>
      <c r="AP241" s="0" t="n">
        <f aca="false">W_PH(AP$2,$A241)</f>
        <v>764.84834583567</v>
      </c>
      <c r="AQ241" s="0" t="n">
        <f aca="false">W_PH(AQ$2,$A241)</f>
        <v>768.719350749364</v>
      </c>
      <c r="AR241" s="0" t="n">
        <f aca="false">W_PH(AR$2,$A241)</f>
        <v>769.764133729469</v>
      </c>
      <c r="AS241" s="0" t="n">
        <f aca="false">W_PH(AS$2,$A241)</f>
        <v>770.263756053956</v>
      </c>
    </row>
    <row r="242" customFormat="false" ht="13.8" hidden="false" customHeight="false" outlineLevel="0" collapsed="false">
      <c r="A242" s="0" t="n">
        <v>4020</v>
      </c>
      <c r="B242" s="0" t="n">
        <f aca="false">W_PH(B$2,$A242)</f>
        <v>764.630648821098</v>
      </c>
      <c r="C242" s="0" t="n">
        <f aca="false">W_PH(C$2,$A242)</f>
        <v>764.630656015766</v>
      </c>
      <c r="D242" s="0" t="n">
        <f aca="false">W_PH(D$2,$A242)</f>
        <v>764.630663210646</v>
      </c>
      <c r="E242" s="0" t="n">
        <f aca="false">W_PH(E$2,$A242)</f>
        <v>764.630670405735</v>
      </c>
      <c r="F242" s="0" t="n">
        <f aca="false">W_PH(F$2,$A242)</f>
        <v>764.630677601036</v>
      </c>
      <c r="G242" s="0" t="n">
        <f aca="false">W_PH(G$2,$A242)</f>
        <v>764.630749565625</v>
      </c>
      <c r="H242" s="0" t="n">
        <f aca="false">W_PH(H$2,$A242)</f>
        <v>764.630821551277</v>
      </c>
      <c r="I242" s="0" t="n">
        <f aca="false">W_PH(I$2,$A242)</f>
        <v>764.630893557994</v>
      </c>
      <c r="J242" s="0" t="n">
        <f aca="false">W_PH(J$2,$A242)</f>
        <v>764.630965585775</v>
      </c>
      <c r="K242" s="0" t="n">
        <f aca="false">W_PH(K$2,$A242)</f>
        <v>764.631037634621</v>
      </c>
      <c r="L242" s="0" t="n">
        <f aca="false">W_PH(L$2,$A242)</f>
        <v>764.631109704532</v>
      </c>
      <c r="M242" s="0" t="n">
        <f aca="false">W_PH(M$2,$A242)</f>
        <v>764.631181795509</v>
      </c>
      <c r="N242" s="0" t="n">
        <f aca="false">W_PH(N$2,$A242)</f>
        <v>764.631253907552</v>
      </c>
      <c r="O242" s="0" t="n">
        <f aca="false">W_PH(O$2,$A242)</f>
        <v>764.631326040662</v>
      </c>
      <c r="P242" s="0" t="n">
        <f aca="false">W_PH(P$2,$A242)</f>
        <v>764.632048530498</v>
      </c>
      <c r="Q242" s="0" t="n">
        <f aca="false">W_PH(Q$2,$A242)</f>
        <v>764.632773127421</v>
      </c>
      <c r="R242" s="0" t="n">
        <f aca="false">W_PH(R$2,$A242)</f>
        <v>764.63349983183</v>
      </c>
      <c r="S242" s="0" t="n">
        <f aca="false">W_PH(S$2,$A242)</f>
        <v>764.634228644127</v>
      </c>
      <c r="T242" s="0" t="n">
        <f aca="false">W_PH(T$2,$A242)</f>
        <v>764.634959564708</v>
      </c>
      <c r="U242" s="0" t="n">
        <f aca="false">W_PH(U$2,$A242)</f>
        <v>764.635692593972</v>
      </c>
      <c r="V242" s="0" t="n">
        <f aca="false">W_PH(V$2,$A242)</f>
        <v>764.636427732317</v>
      </c>
      <c r="W242" s="0" t="n">
        <f aca="false">W_PH(W$2,$A242)</f>
        <v>764.637164980139</v>
      </c>
      <c r="X242" s="0" t="n">
        <f aca="false">W_PH(X$2,$A242)</f>
        <v>764.637904337831</v>
      </c>
      <c r="Y242" s="0" t="n">
        <f aca="false">W_PH(Y$2,$A242)</f>
        <v>764.645414044034</v>
      </c>
      <c r="Z242" s="0" t="n">
        <f aca="false">W_PH(Z$2,$A242)</f>
        <v>764.653135165723</v>
      </c>
      <c r="AA242" s="0" t="n">
        <f aca="false">W_PH(AA$2,$A242)</f>
        <v>764.661068083819</v>
      </c>
      <c r="AB242" s="0" t="n">
        <f aca="false">W_PH(AB$2,$A242)</f>
        <v>764.669213170614</v>
      </c>
      <c r="AC242" s="0" t="n">
        <f aca="false">W_PH(AC$2,$A242)</f>
        <v>764.67757078983</v>
      </c>
      <c r="AD242" s="0" t="n">
        <f aca="false">W_PH(AD$2,$A242)</f>
        <v>764.686141296679</v>
      </c>
      <c r="AE242" s="0" t="n">
        <f aca="false">W_PH(AE$2,$A242)</f>
        <v>764.69492503792</v>
      </c>
      <c r="AF242" s="0" t="n">
        <f aca="false">W_PH(AF$2,$A242)</f>
        <v>764.703922351922</v>
      </c>
      <c r="AG242" s="0" t="n">
        <f aca="false">W_PH(AG$2,$A242)</f>
        <v>764.713133568714</v>
      </c>
      <c r="AH242" s="0" t="n">
        <f aca="false">W_PH(AH$2,$A242)</f>
        <v>764.817077155294</v>
      </c>
      <c r="AI242" s="0" t="n">
        <f aca="false">W_PH(AI$2,$A242)</f>
        <v>764.942714431426</v>
      </c>
      <c r="AJ242" s="0" t="n">
        <f aca="false">W_PH(AJ$2,$A242)</f>
        <v>765.092068821356</v>
      </c>
      <c r="AK242" s="0" t="n">
        <f aca="false">W_PH(AK$2,$A242)</f>
        <v>765.260998471257</v>
      </c>
      <c r="AL242" s="0" t="n">
        <f aca="false">W_PH(AL$2,$A242)</f>
        <v>765.451683687764</v>
      </c>
      <c r="AM242" s="0" t="n">
        <f aca="false">W_PH(AM$2,$A242)</f>
        <v>765.664139059424</v>
      </c>
      <c r="AN242" s="0" t="n">
        <f aca="false">W_PH(AN$2,$A242)</f>
        <v>765.898327279987</v>
      </c>
      <c r="AO242" s="0" t="n">
        <f aca="false">W_PH(AO$2,$A242)</f>
        <v>766.154164474984</v>
      </c>
      <c r="AP242" s="0" t="n">
        <f aca="false">W_PH(AP$2,$A242)</f>
        <v>766.431525292414</v>
      </c>
      <c r="AQ242" s="0" t="n">
        <f aca="false">W_PH(AQ$2,$A242)</f>
        <v>770.340495865834</v>
      </c>
      <c r="AR242" s="0" t="n">
        <f aca="false">W_PH(AR$2,$A242)</f>
        <v>771.388841720401</v>
      </c>
      <c r="AS242" s="0" t="n">
        <f aca="false">W_PH(AS$2,$A242)</f>
        <v>771.889589892034</v>
      </c>
    </row>
    <row r="243" customFormat="false" ht="13.8" hidden="false" customHeight="false" outlineLevel="0" collapsed="false">
      <c r="A243" s="0" t="n">
        <v>4030</v>
      </c>
      <c r="B243" s="0" t="n">
        <f aca="false">W_PH(B$2,$A243)</f>
        <v>766.141448928047</v>
      </c>
      <c r="C243" s="0" t="n">
        <f aca="false">W_PH(C$2,$A243)</f>
        <v>766.141456863235</v>
      </c>
      <c r="D243" s="0" t="n">
        <f aca="false">W_PH(D$2,$A243)</f>
        <v>766.141464798632</v>
      </c>
      <c r="E243" s="0" t="n">
        <f aca="false">W_PH(E$2,$A243)</f>
        <v>766.141472734239</v>
      </c>
      <c r="F243" s="0" t="n">
        <f aca="false">W_PH(F$2,$A243)</f>
        <v>766.141480670056</v>
      </c>
      <c r="G243" s="0" t="n">
        <f aca="false">W_PH(G$2,$A243)</f>
        <v>766.141560039776</v>
      </c>
      <c r="H243" s="0" t="n">
        <f aca="false">W_PH(H$2,$A243)</f>
        <v>766.14163943049</v>
      </c>
      <c r="I243" s="0" t="n">
        <f aca="false">W_PH(I$2,$A243)</f>
        <v>766.141718842201</v>
      </c>
      <c r="J243" s="0" t="n">
        <f aca="false">W_PH(J$2,$A243)</f>
        <v>766.141798274908</v>
      </c>
      <c r="K243" s="0" t="n">
        <f aca="false">W_PH(K$2,$A243)</f>
        <v>766.141877728612</v>
      </c>
      <c r="L243" s="0" t="n">
        <f aca="false">W_PH(L$2,$A243)</f>
        <v>766.141957203312</v>
      </c>
      <c r="M243" s="0" t="n">
        <f aca="false">W_PH(M$2,$A243)</f>
        <v>766.14203669901</v>
      </c>
      <c r="N243" s="0" t="n">
        <f aca="false">W_PH(N$2,$A243)</f>
        <v>766.142116215706</v>
      </c>
      <c r="O243" s="0" t="n">
        <f aca="false">W_PH(O$2,$A243)</f>
        <v>766.1421957534</v>
      </c>
      <c r="P243" s="0" t="n">
        <f aca="false">W_PH(P$2,$A243)</f>
        <v>766.142992285316</v>
      </c>
      <c r="Q243" s="0" t="n">
        <f aca="false">W_PH(Q$2,$A243)</f>
        <v>766.143790917449</v>
      </c>
      <c r="R243" s="0" t="n">
        <f aca="false">W_PH(R$2,$A243)</f>
        <v>766.144591650165</v>
      </c>
      <c r="S243" s="0" t="n">
        <f aca="false">W_PH(S$2,$A243)</f>
        <v>766.14539448383</v>
      </c>
      <c r="T243" s="0" t="n">
        <f aca="false">W_PH(T$2,$A243)</f>
        <v>766.146199418808</v>
      </c>
      <c r="U243" s="0" t="n">
        <f aca="false">W_PH(U$2,$A243)</f>
        <v>766.147006455465</v>
      </c>
      <c r="V243" s="0" t="n">
        <f aca="false">W_PH(V$2,$A243)</f>
        <v>766.147815594163</v>
      </c>
      <c r="W243" s="0" t="n">
        <f aca="false">W_PH(W$2,$A243)</f>
        <v>766.148626835264</v>
      </c>
      <c r="X243" s="0" t="n">
        <f aca="false">W_PH(X$2,$A243)</f>
        <v>766.14944017913</v>
      </c>
      <c r="Y243" s="0" t="n">
        <f aca="false">W_PH(Y$2,$A243)</f>
        <v>766.157689348821</v>
      </c>
      <c r="Z243" s="0" t="n">
        <f aca="false">W_PH(Z$2,$A243)</f>
        <v>766.16614918652</v>
      </c>
      <c r="AA243" s="0" t="n">
        <f aca="false">W_PH(AA$2,$A243)</f>
        <v>766.174820040002</v>
      </c>
      <c r="AB243" s="0" t="n">
        <f aca="false">W_PH(AB$2,$A243)</f>
        <v>766.183702248753</v>
      </c>
      <c r="AC243" s="0" t="n">
        <f aca="false">W_PH(AC$2,$A243)</f>
        <v>766.192796144031</v>
      </c>
      <c r="AD243" s="0" t="n">
        <f aca="false">W_PH(AD$2,$A243)</f>
        <v>766.202102048923</v>
      </c>
      <c r="AE243" s="0" t="n">
        <f aca="false">W_PH(AE$2,$A243)</f>
        <v>766.211620278405</v>
      </c>
      <c r="AF243" s="0" t="n">
        <f aca="false">W_PH(AF$2,$A243)</f>
        <v>766.221351139398</v>
      </c>
      <c r="AG243" s="0" t="n">
        <f aca="false">W_PH(AG$2,$A243)</f>
        <v>766.231294930827</v>
      </c>
      <c r="AH243" s="0" t="n">
        <f aca="false">W_PH(AH$2,$A243)</f>
        <v>766.342504181529</v>
      </c>
      <c r="AI243" s="0" t="n">
        <f aca="false">W_PH(AI$2,$A243)</f>
        <v>766.475278154243</v>
      </c>
      <c r="AJ243" s="0" t="n">
        <f aca="false">W_PH(AJ$2,$A243)</f>
        <v>766.631440548982</v>
      </c>
      <c r="AK243" s="0" t="n">
        <f aca="false">W_PH(AK$2,$A243)</f>
        <v>766.807242316315</v>
      </c>
      <c r="AL243" s="0" t="n">
        <f aca="false">W_PH(AL$2,$A243)</f>
        <v>767.0045697128</v>
      </c>
      <c r="AM243" s="0" t="n">
        <f aca="false">W_PH(AM$2,$A243)</f>
        <v>767.223417295426</v>
      </c>
      <c r="AN243" s="0" t="n">
        <f aca="false">W_PH(AN$2,$A243)</f>
        <v>767.463730346376</v>
      </c>
      <c r="AO243" s="0" t="n">
        <f aca="false">W_PH(AO$2,$A243)</f>
        <v>767.725410018083</v>
      </c>
      <c r="AP243" s="0" t="n">
        <f aca="false">W_PH(AP$2,$A243)</f>
        <v>768.008318231948</v>
      </c>
      <c r="AQ243" s="0" t="n">
        <f aca="false">W_PH(AQ$2,$A243)</f>
        <v>771.954932669242</v>
      </c>
      <c r="AR243" s="0" t="n">
        <f aca="false">W_PH(AR$2,$A243)</f>
        <v>773.006821473051</v>
      </c>
      <c r="AS243" s="0" t="n">
        <f aca="false">W_PH(AS$2,$A243)</f>
        <v>773.508689132696</v>
      </c>
    </row>
    <row r="244" customFormat="false" ht="13.8" hidden="false" customHeight="false" outlineLevel="0" collapsed="false">
      <c r="A244" s="0" t="n">
        <v>4040</v>
      </c>
      <c r="B244" s="0" t="n">
        <f aca="false">W_PH(B$2,$A244)</f>
        <v>767.646625808057</v>
      </c>
      <c r="C244" s="0" t="n">
        <f aca="false">W_PH(C$2,$A244)</f>
        <v>767.646634477067</v>
      </c>
      <c r="D244" s="0" t="n">
        <f aca="false">W_PH(D$2,$A244)</f>
        <v>767.646643146286</v>
      </c>
      <c r="E244" s="0" t="n">
        <f aca="false">W_PH(E$2,$A244)</f>
        <v>767.646651815714</v>
      </c>
      <c r="F244" s="0" t="n">
        <f aca="false">W_PH(F$2,$A244)</f>
        <v>767.646660485351</v>
      </c>
      <c r="G244" s="0" t="n">
        <f aca="false">W_PH(G$2,$A244)</f>
        <v>767.646747193232</v>
      </c>
      <c r="H244" s="0" t="n">
        <f aca="false">W_PH(H$2,$A244)</f>
        <v>767.646833922034</v>
      </c>
      <c r="I244" s="0" t="n">
        <f aca="false">W_PH(I$2,$A244)</f>
        <v>767.646920671759</v>
      </c>
      <c r="J244" s="0" t="n">
        <f aca="false">W_PH(J$2,$A244)</f>
        <v>767.647007442407</v>
      </c>
      <c r="K244" s="0" t="n">
        <f aca="false">W_PH(K$2,$A244)</f>
        <v>767.647094233977</v>
      </c>
      <c r="L244" s="0" t="n">
        <f aca="false">W_PH(L$2,$A244)</f>
        <v>767.647181046471</v>
      </c>
      <c r="M244" s="0" t="n">
        <f aca="false">W_PH(M$2,$A244)</f>
        <v>767.647267879889</v>
      </c>
      <c r="N244" s="0" t="n">
        <f aca="false">W_PH(N$2,$A244)</f>
        <v>767.647354734231</v>
      </c>
      <c r="O244" s="0" t="n">
        <f aca="false">W_PH(O$2,$A244)</f>
        <v>767.647441609497</v>
      </c>
      <c r="P244" s="0" t="n">
        <f aca="false">W_PH(P$2,$A244)</f>
        <v>767.648311513077</v>
      </c>
      <c r="Q244" s="0" t="n">
        <f aca="false">W_PH(Q$2,$A244)</f>
        <v>767.649183509466</v>
      </c>
      <c r="R244" s="0" t="n">
        <f aca="false">W_PH(R$2,$A244)</f>
        <v>767.650057598998</v>
      </c>
      <c r="S244" s="0" t="n">
        <f aca="false">W_PH(S$2,$A244)</f>
        <v>767.650933782003</v>
      </c>
      <c r="T244" s="0" t="n">
        <f aca="false">W_PH(T$2,$A244)</f>
        <v>767.651812058814</v>
      </c>
      <c r="U244" s="0" t="n">
        <f aca="false">W_PH(U$2,$A244)</f>
        <v>767.65269242976</v>
      </c>
      <c r="V244" s="0" t="n">
        <f aca="false">W_PH(V$2,$A244)</f>
        <v>767.653574895173</v>
      </c>
      <c r="W244" s="0" t="n">
        <f aca="false">W_PH(W$2,$A244)</f>
        <v>767.65445945538</v>
      </c>
      <c r="X244" s="0" t="n">
        <f aca="false">W_PH(X$2,$A244)</f>
        <v>767.655346110709</v>
      </c>
      <c r="Y244" s="0" t="n">
        <f aca="false">W_PH(Y$2,$A244)</f>
        <v>767.664327967348</v>
      </c>
      <c r="Z244" s="0" t="n">
        <f aca="false">W_PH(Z$2,$A244)</f>
        <v>767.673519691162</v>
      </c>
      <c r="AA244" s="0" t="n">
        <f aca="false">W_PH(AA$2,$A244)</f>
        <v>767.682921597005</v>
      </c>
      <c r="AB244" s="0" t="n">
        <f aca="false">W_PH(AB$2,$A244)</f>
        <v>767.692533991785</v>
      </c>
      <c r="AC244" s="0" t="n">
        <f aca="false">W_PH(AC$2,$A244)</f>
        <v>767.702357174525</v>
      </c>
      <c r="AD244" s="0" t="n">
        <f aca="false">W_PH(AD$2,$A244)</f>
        <v>767.712391436422</v>
      </c>
      <c r="AE244" s="0" t="n">
        <f aca="false">W_PH(AE$2,$A244)</f>
        <v>767.722637060899</v>
      </c>
      <c r="AF244" s="0" t="n">
        <f aca="false">W_PH(AF$2,$A244)</f>
        <v>767.733094323665</v>
      </c>
      <c r="AG244" s="0" t="n">
        <f aca="false">W_PH(AG$2,$A244)</f>
        <v>767.743763492773</v>
      </c>
      <c r="AH244" s="0" t="n">
        <f aca="false">W_PH(AH$2,$A244)</f>
        <v>767.862163644281</v>
      </c>
      <c r="AI244" s="0" t="n">
        <f aca="false">W_PH(AI$2,$A244)</f>
        <v>768.001994634201</v>
      </c>
      <c r="AJ244" s="0" t="n">
        <f aca="false">W_PH(AJ$2,$A244)</f>
        <v>768.164876653899</v>
      </c>
      <c r="AK244" s="0" t="n">
        <f aca="false">W_PH(AK$2,$A244)</f>
        <v>768.347475640153</v>
      </c>
      <c r="AL244" s="0" t="n">
        <f aca="false">W_PH(AL$2,$A244)</f>
        <v>768.551372992408</v>
      </c>
      <c r="AM244" s="0" t="n">
        <f aca="false">W_PH(AM$2,$A244)</f>
        <v>768.776543709572</v>
      </c>
      <c r="AN244" s="0" t="n">
        <f aca="false">W_PH(AN$2,$A244)</f>
        <v>769.022916081355</v>
      </c>
      <c r="AO244" s="0" t="n">
        <f aca="false">W_PH(AO$2,$A244)</f>
        <v>769.290376644933</v>
      </c>
      <c r="AP244" s="0" t="n">
        <f aca="false">W_PH(AP$2,$A244)</f>
        <v>769.578774886397</v>
      </c>
      <c r="AQ244" s="0" t="n">
        <f aca="false">W_PH(AQ$2,$A244)</f>
        <v>773.562703406178</v>
      </c>
      <c r="AR244" s="0" t="n">
        <f aca="false">W_PH(AR$2,$A244)</f>
        <v>774.618111500035</v>
      </c>
      <c r="AS244" s="0" t="n">
        <f aca="false">W_PH(AS$2,$A244)</f>
        <v>775.121090301023</v>
      </c>
    </row>
    <row r="245" customFormat="false" ht="13.8" hidden="false" customHeight="false" outlineLevel="0" collapsed="false">
      <c r="A245" s="0" t="n">
        <v>4050</v>
      </c>
      <c r="B245" s="0" t="n">
        <f aca="false">W_PH(B$2,$A245)</f>
        <v>769.146225575855</v>
      </c>
      <c r="C245" s="0" t="n">
        <f aca="false">W_PH(C$2,$A245)</f>
        <v>769.146234972071</v>
      </c>
      <c r="D245" s="0" t="n">
        <f aca="false">W_PH(D$2,$A245)</f>
        <v>769.146244368496</v>
      </c>
      <c r="E245" s="0" t="n">
        <f aca="false">W_PH(E$2,$A245)</f>
        <v>769.146253765129</v>
      </c>
      <c r="F245" s="0" t="n">
        <f aca="false">W_PH(F$2,$A245)</f>
        <v>769.146263161971</v>
      </c>
      <c r="G245" s="0" t="n">
        <f aca="false">W_PH(G$2,$A245)</f>
        <v>769.146357141851</v>
      </c>
      <c r="H245" s="0" t="n">
        <f aca="false">W_PH(H$2,$A245)</f>
        <v>769.146451142574</v>
      </c>
      <c r="I245" s="0" t="n">
        <f aca="false">W_PH(I$2,$A245)</f>
        <v>769.14654516414</v>
      </c>
      <c r="J245" s="0" t="n">
        <f aca="false">W_PH(J$2,$A245)</f>
        <v>769.146639206549</v>
      </c>
      <c r="K245" s="0" t="n">
        <f aca="false">W_PH(K$2,$A245)</f>
        <v>769.146733269802</v>
      </c>
      <c r="L245" s="0" t="n">
        <f aca="false">W_PH(L$2,$A245)</f>
        <v>769.146827353899</v>
      </c>
      <c r="M245" s="0" t="n">
        <f aca="false">W_PH(M$2,$A245)</f>
        <v>769.14692145884</v>
      </c>
      <c r="N245" s="0" t="n">
        <f aca="false">W_PH(N$2,$A245)</f>
        <v>769.147015584626</v>
      </c>
      <c r="O245" s="0" t="n">
        <f aca="false">W_PH(O$2,$A245)</f>
        <v>769.147109731257</v>
      </c>
      <c r="P245" s="0" t="n">
        <f aca="false">W_PH(P$2,$A245)</f>
        <v>769.148052344094</v>
      </c>
      <c r="Q245" s="0" t="n">
        <f aca="false">W_PH(Q$2,$A245)</f>
        <v>769.148997041744</v>
      </c>
      <c r="R245" s="0" t="n">
        <f aca="false">W_PH(R$2,$A245)</f>
        <v>769.149943824507</v>
      </c>
      <c r="S245" s="0" t="n">
        <f aca="false">W_PH(S$2,$A245)</f>
        <v>769.150892692682</v>
      </c>
      <c r="T245" s="0" t="n">
        <f aca="false">W_PH(T$2,$A245)</f>
        <v>769.151843646567</v>
      </c>
      <c r="U245" s="0" t="n">
        <f aca="false">W_PH(U$2,$A245)</f>
        <v>769.152796686458</v>
      </c>
      <c r="V245" s="0" t="n">
        <f aca="false">W_PH(V$2,$A245)</f>
        <v>769.153751812653</v>
      </c>
      <c r="W245" s="0" t="n">
        <f aca="false">W_PH(W$2,$A245)</f>
        <v>769.154709025447</v>
      </c>
      <c r="X245" s="0" t="n">
        <f aca="false">W_PH(X$2,$A245)</f>
        <v>769.155668325134</v>
      </c>
      <c r="Y245" s="0" t="n">
        <f aca="false">W_PH(Y$2,$A245)</f>
        <v>769.165376165491</v>
      </c>
      <c r="Z245" s="0" t="n">
        <f aca="false">W_PH(Z$2,$A245)</f>
        <v>769.175293013882</v>
      </c>
      <c r="AA245" s="0" t="n">
        <f aca="false">W_PH(AA$2,$A245)</f>
        <v>769.185419152532</v>
      </c>
      <c r="AB245" s="0" t="n">
        <f aca="false">W_PH(AB$2,$A245)</f>
        <v>769.195754856065</v>
      </c>
      <c r="AC245" s="0" t="n">
        <f aca="false">W_PH(AC$2,$A245)</f>
        <v>769.206300391562</v>
      </c>
      <c r="AD245" s="0" t="n">
        <f aca="false">W_PH(AD$2,$A245)</f>
        <v>769.217056018619</v>
      </c>
      <c r="AE245" s="0" t="n">
        <f aca="false">W_PH(AE$2,$A245)</f>
        <v>769.228021989401</v>
      </c>
      <c r="AF245" s="0" t="n">
        <f aca="false">W_PH(AF$2,$A245)</f>
        <v>769.239198548699</v>
      </c>
      <c r="AG245" s="0" t="n">
        <f aca="false">W_PH(AG$2,$A245)</f>
        <v>769.250585933987</v>
      </c>
      <c r="AH245" s="0" t="n">
        <f aca="false">W_PH(AH$2,$A245)</f>
        <v>769.376102341085</v>
      </c>
      <c r="AI245" s="0" t="n">
        <f aca="false">W_PH(AI$2,$A245)</f>
        <v>769.522910392069</v>
      </c>
      <c r="AJ245" s="0" t="n">
        <f aca="false">W_PH(AJ$2,$A245)</f>
        <v>769.692424982812</v>
      </c>
      <c r="AK245" s="0" t="n">
        <f aca="false">W_PH(AK$2,$A245)</f>
        <v>769.881746792782</v>
      </c>
      <c r="AL245" s="0" t="n">
        <f aca="false">W_PH(AL$2,$A245)</f>
        <v>770.092142245422</v>
      </c>
      <c r="AM245" s="0" t="n">
        <f aca="false">W_PH(AM$2,$A245)</f>
        <v>770.323567266908</v>
      </c>
      <c r="AN245" s="0" t="n">
        <f aca="false">W_PH(AN$2,$A245)</f>
        <v>770.575933581006</v>
      </c>
      <c r="AO245" s="0" t="n">
        <f aca="false">W_PH(AO$2,$A245)</f>
        <v>770.849113471195</v>
      </c>
      <c r="AP245" s="0" t="n">
        <f aca="false">W_PH(AP$2,$A245)</f>
        <v>771.142944280232</v>
      </c>
      <c r="AQ245" s="0" t="n">
        <f aca="false">W_PH(AQ$2,$A245)</f>
        <v>775.163848958152</v>
      </c>
      <c r="AR245" s="0" t="n">
        <f aca="false">W_PH(AR$2,$A245)</f>
        <v>776.222748911059</v>
      </c>
      <c r="AS245" s="0" t="n">
        <f aca="false">W_PH(AS$2,$A245)</f>
        <v>776.726828501981</v>
      </c>
    </row>
    <row r="246" customFormat="false" ht="13.8" hidden="false" customHeight="false" outlineLevel="0" collapsed="false">
      <c r="A246" s="0" t="n">
        <v>4060</v>
      </c>
      <c r="B246" s="0" t="n">
        <f aca="false">W_PH(B$2,$A246)</f>
        <v>770.640293418263</v>
      </c>
      <c r="C246" s="0" t="n">
        <f aca="false">W_PH(C$2,$A246)</f>
        <v>770.640303535138</v>
      </c>
      <c r="D246" s="0" t="n">
        <f aca="false">W_PH(D$2,$A246)</f>
        <v>770.640313652221</v>
      </c>
      <c r="E246" s="0" t="n">
        <f aca="false">W_PH(E$2,$A246)</f>
        <v>770.640323769512</v>
      </c>
      <c r="F246" s="0" t="n">
        <f aca="false">W_PH(F$2,$A246)</f>
        <v>770.640333887009</v>
      </c>
      <c r="G246" s="0" t="n">
        <f aca="false">W_PH(G$2,$A246)</f>
        <v>770.640435073406</v>
      </c>
      <c r="H246" s="0" t="n">
        <f aca="false">W_PH(H$2,$A246)</f>
        <v>770.64053628056</v>
      </c>
      <c r="I246" s="0" t="n">
        <f aca="false">W_PH(I$2,$A246)</f>
        <v>770.640637508471</v>
      </c>
      <c r="J246" s="0" t="n">
        <f aca="false">W_PH(J$2,$A246)</f>
        <v>770.640738757139</v>
      </c>
      <c r="K246" s="0" t="n">
        <f aca="false">W_PH(K$2,$A246)</f>
        <v>770.640840026565</v>
      </c>
      <c r="L246" s="0" t="n">
        <f aca="false">W_PH(L$2,$A246)</f>
        <v>770.64094131675</v>
      </c>
      <c r="M246" s="0" t="n">
        <f aca="false">W_PH(M$2,$A246)</f>
        <v>770.641042627693</v>
      </c>
      <c r="N246" s="0" t="n">
        <f aca="false">W_PH(N$2,$A246)</f>
        <v>770.641143959394</v>
      </c>
      <c r="O246" s="0" t="n">
        <f aca="false">W_PH(O$2,$A246)</f>
        <v>770.641245311854</v>
      </c>
      <c r="P246" s="0" t="n">
        <f aca="false">W_PH(P$2,$A246)</f>
        <v>770.642259978251</v>
      </c>
      <c r="Q246" s="0" t="n">
        <f aca="false">W_PH(Q$2,$A246)</f>
        <v>770.643276720829</v>
      </c>
      <c r="R246" s="0" t="n">
        <f aca="false">W_PH(R$2,$A246)</f>
        <v>770.644295539855</v>
      </c>
      <c r="S246" s="0" t="n">
        <f aca="false">W_PH(S$2,$A246)</f>
        <v>770.645316435594</v>
      </c>
      <c r="T246" s="0" t="n">
        <f aca="false">W_PH(T$2,$A246)</f>
        <v>770.64633940831</v>
      </c>
      <c r="U246" s="0" t="n">
        <f aca="false">W_PH(U$2,$A246)</f>
        <v>770.647364458269</v>
      </c>
      <c r="V246" s="0" t="n">
        <f aca="false">W_PH(V$2,$A246)</f>
        <v>770.648391585733</v>
      </c>
      <c r="W246" s="0" t="n">
        <f aca="false">W_PH(W$2,$A246)</f>
        <v>770.649420790966</v>
      </c>
      <c r="X246" s="0" t="n">
        <f aca="false">W_PH(X$2,$A246)</f>
        <v>770.65045207423</v>
      </c>
      <c r="Y246" s="0" t="n">
        <f aca="false">W_PH(Y$2,$A246)</f>
        <v>770.660879255665</v>
      </c>
      <c r="Z246" s="0" t="n">
        <f aca="false">W_PH(Z$2,$A246)</f>
        <v>770.671514522934</v>
      </c>
      <c r="AA246" s="0" t="n">
        <f aca="false">W_PH(AA$2,$A246)</f>
        <v>770.682358125983</v>
      </c>
      <c r="AB246" s="0" t="n">
        <f aca="false">W_PH(AB$2,$A246)</f>
        <v>770.693410307505</v>
      </c>
      <c r="AC246" s="0" t="n">
        <f aca="false">W_PH(AC$2,$A246)</f>
        <v>770.704671302991</v>
      </c>
      <c r="AD246" s="0" t="n">
        <f aca="false">W_PH(AD$2,$A246)</f>
        <v>770.716141340786</v>
      </c>
      <c r="AE246" s="0" t="n">
        <f aca="false">W_PH(AE$2,$A246)</f>
        <v>770.727820642148</v>
      </c>
      <c r="AF246" s="0" t="n">
        <f aca="false">W_PH(AF$2,$A246)</f>
        <v>770.739709421299</v>
      </c>
      <c r="AG246" s="0" t="n">
        <f aca="false">W_PH(AG$2,$A246)</f>
        <v>770.751807885482</v>
      </c>
      <c r="AH246" s="0" t="n">
        <f aca="false">W_PH(AH$2,$A246)</f>
        <v>770.884365917459</v>
      </c>
      <c r="AI246" s="0" t="n">
        <f aca="false">W_PH(AI$2,$A246)</f>
        <v>771.038070707165</v>
      </c>
      <c r="AJ246" s="0" t="n">
        <f aca="false">W_PH(AJ$2,$A246)</f>
        <v>771.214132250972</v>
      </c>
      <c r="AK246" s="0" t="n">
        <f aca="false">W_PH(AK$2,$A246)</f>
        <v>771.410102982264</v>
      </c>
      <c r="AL246" s="0" t="n">
        <f aca="false">W_PH(AL$2,$A246)</f>
        <v>771.626925039509</v>
      </c>
      <c r="AM246" s="0" t="n">
        <f aca="false">W_PH(AM$2,$A246)</f>
        <v>771.864535772539</v>
      </c>
      <c r="AN246" s="0" t="n">
        <f aca="false">W_PH(AN$2,$A246)</f>
        <v>772.122830772498</v>
      </c>
      <c r="AO246" s="0" t="n">
        <f aca="false">W_PH(AO$2,$A246)</f>
        <v>772.401668434036</v>
      </c>
      <c r="AP246" s="0" t="n">
        <f aca="false">W_PH(AP$2,$A246)</f>
        <v>772.700874248929</v>
      </c>
      <c r="AQ246" s="0" t="n">
        <f aca="false">W_PH(AQ$2,$A246)</f>
        <v>776.758408855081</v>
      </c>
      <c r="AR246" s="0" t="n">
        <f aca="false">W_PH(AR$2,$A246)</f>
        <v>2015</v>
      </c>
      <c r="AS246" s="0" t="n">
        <f aca="false">W_PH(AS$2,$A246)</f>
        <v>2015</v>
      </c>
    </row>
    <row r="247" customFormat="false" ht="13.8" hidden="false" customHeight="false" outlineLevel="0" collapsed="false">
      <c r="A247" s="0" t="n">
        <v>4070</v>
      </c>
      <c r="B247" s="0" t="n">
        <f aca="false">W_PH(B$2,$A247)</f>
        <v>772.128873599608</v>
      </c>
      <c r="C247" s="0" t="n">
        <f aca="false">W_PH(C$2,$A247)</f>
        <v>772.12888443065</v>
      </c>
      <c r="D247" s="0" t="n">
        <f aca="false">W_PH(D$2,$A247)</f>
        <v>772.128895261898</v>
      </c>
      <c r="E247" s="0" t="n">
        <f aca="false">W_PH(E$2,$A247)</f>
        <v>772.128906093353</v>
      </c>
      <c r="F247" s="0" t="n">
        <f aca="false">W_PH(F$2,$A247)</f>
        <v>772.128916925014</v>
      </c>
      <c r="G247" s="0" t="n">
        <f aca="false">W_PH(G$2,$A247)</f>
        <v>772.129025252994</v>
      </c>
      <c r="H247" s="0" t="n">
        <f aca="false">W_PH(H$2,$A247)</f>
        <v>772.129133601638</v>
      </c>
      <c r="I247" s="0" t="n">
        <f aca="false">W_PH(I$2,$A247)</f>
        <v>772.129241970947</v>
      </c>
      <c r="J247" s="0" t="n">
        <f aca="false">W_PH(J$2,$A247)</f>
        <v>772.129350360921</v>
      </c>
      <c r="K247" s="0" t="n">
        <f aca="false">W_PH(K$2,$A247)</f>
        <v>772.12945877156</v>
      </c>
      <c r="L247" s="0" t="n">
        <f aca="false">W_PH(L$2,$A247)</f>
        <v>772.129567202865</v>
      </c>
      <c r="M247" s="0" t="n">
        <f aca="false">W_PH(M$2,$A247)</f>
        <v>772.129675654835</v>
      </c>
      <c r="N247" s="0" t="n">
        <f aca="false">W_PH(N$2,$A247)</f>
        <v>772.12978412747</v>
      </c>
      <c r="O247" s="0" t="n">
        <f aca="false">W_PH(O$2,$A247)</f>
        <v>772.129892620773</v>
      </c>
      <c r="P247" s="0" t="n">
        <f aca="false">W_PH(P$2,$A247)</f>
        <v>772.130978690477</v>
      </c>
      <c r="Q247" s="0" t="n">
        <f aca="false">W_PH(Q$2,$A247)</f>
        <v>772.132066827045</v>
      </c>
      <c r="R247" s="0" t="n">
        <f aca="false">W_PH(R$2,$A247)</f>
        <v>772.133157030712</v>
      </c>
      <c r="S247" s="0" t="n">
        <f aca="false">W_PH(S$2,$A247)</f>
        <v>772.134249301711</v>
      </c>
      <c r="T247" s="0" t="n">
        <f aca="false">W_PH(T$2,$A247)</f>
        <v>772.135343640273</v>
      </c>
      <c r="U247" s="0" t="n">
        <f aca="false">W_PH(U$2,$A247)</f>
        <v>772.136440046631</v>
      </c>
      <c r="V247" s="0" t="n">
        <f aca="false">W_PH(V$2,$A247)</f>
        <v>772.137538521015</v>
      </c>
      <c r="W247" s="0" t="n">
        <f aca="false">W_PH(W$2,$A247)</f>
        <v>772.138639063657</v>
      </c>
      <c r="X247" s="0" t="n">
        <f aca="false">W_PH(X$2,$A247)</f>
        <v>772.139741674785</v>
      </c>
      <c r="Y247" s="0" t="n">
        <f aca="false">W_PH(Y$2,$A247)</f>
        <v>772.150881602832</v>
      </c>
      <c r="Z247" s="0" t="n">
        <f aca="false">W_PH(Z$2,$A247)</f>
        <v>772.162228626891</v>
      </c>
      <c r="AA247" s="0" t="n">
        <f aca="false">W_PH(AA$2,$A247)</f>
        <v>772.17378296504</v>
      </c>
      <c r="AB247" s="0" t="n">
        <f aca="false">W_PH(AB$2,$A247)</f>
        <v>772.185544828448</v>
      </c>
      <c r="AC247" s="0" t="n">
        <f aca="false">W_PH(AC$2,$A247)</f>
        <v>772.197514421423</v>
      </c>
      <c r="AD247" s="0" t="n">
        <f aca="false">W_PH(AD$2,$A247)</f>
        <v>772.209691941468</v>
      </c>
      <c r="AE247" s="0" t="n">
        <f aca="false">W_PH(AE$2,$A247)</f>
        <v>772.222077579334</v>
      </c>
      <c r="AF247" s="0" t="n">
        <f aca="false">W_PH(AF$2,$A247)</f>
        <v>772.234671519079</v>
      </c>
      <c r="AG247" s="0" t="n">
        <f aca="false">W_PH(AG$2,$A247)</f>
        <v>772.247473938113</v>
      </c>
      <c r="AH247" s="0" t="n">
        <f aca="false">W_PH(AH$2,$A247)</f>
        <v>772.386998877701</v>
      </c>
      <c r="AI247" s="0" t="n">
        <f aca="false">W_PH(AI$2,$A247)</f>
        <v>772.547519630476</v>
      </c>
      <c r="AJ247" s="0" t="n">
        <f aca="false">W_PH(AJ$2,$A247)</f>
        <v>772.730044055392</v>
      </c>
      <c r="AK247" s="0" t="n">
        <f aca="false">W_PH(AK$2,$A247)</f>
        <v>772.932590288989</v>
      </c>
      <c r="AL247" s="0" t="n">
        <f aca="false">W_PH(AL$2,$A247)</f>
        <v>773.15576780642</v>
      </c>
      <c r="AM247" s="0" t="n">
        <f aca="false">W_PH(AM$2,$A247)</f>
        <v>773.399495887755</v>
      </c>
      <c r="AN247" s="0" t="n">
        <f aca="false">W_PH(AN$2,$A247)</f>
        <v>773.66365443103</v>
      </c>
      <c r="AO247" s="0" t="n">
        <f aca="false">W_PH(AO$2,$A247)</f>
        <v>773.948088309766</v>
      </c>
      <c r="AP247" s="0" t="n">
        <f aca="false">W_PH(AP$2,$A247)</f>
        <v>774.25261145721</v>
      </c>
      <c r="AQ247" s="0" t="n">
        <f aca="false">W_PH(AQ$2,$A247)</f>
        <v>2015</v>
      </c>
      <c r="AR247" s="0" t="n">
        <f aca="false">W_PH(AR$2,$A247)</f>
        <v>2015</v>
      </c>
      <c r="AS247" s="0" t="n">
        <f aca="false">W_PH(AS$2,$A247)</f>
        <v>2015</v>
      </c>
    </row>
    <row r="248" customFormat="false" ht="13.8" hidden="false" customHeight="false" outlineLevel="0" collapsed="false">
      <c r="A248" s="0" t="n">
        <v>4080</v>
      </c>
      <c r="B248" s="0" t="n">
        <f aca="false">W_PH(B$2,$A248)</f>
        <v>773.61200946707</v>
      </c>
      <c r="C248" s="0" t="n">
        <f aca="false">W_PH(C$2,$A248)</f>
        <v>773.612021005828</v>
      </c>
      <c r="D248" s="0" t="n">
        <f aca="false">W_PH(D$2,$A248)</f>
        <v>773.612032544791</v>
      </c>
      <c r="E248" s="0" t="n">
        <f aca="false">W_PH(E$2,$A248)</f>
        <v>773.61204408396</v>
      </c>
      <c r="F248" s="0" t="n">
        <f aca="false">W_PH(F$2,$A248)</f>
        <v>773.612055623335</v>
      </c>
      <c r="G248" s="0" t="n">
        <f aca="false">W_PH(G$2,$A248)</f>
        <v>773.612171028392</v>
      </c>
      <c r="H248" s="0" t="n">
        <f aca="false">W_PH(H$2,$A248)</f>
        <v>773.612286454013</v>
      </c>
      <c r="I248" s="0" t="n">
        <f aca="false">W_PH(I$2,$A248)</f>
        <v>773.612401900199</v>
      </c>
      <c r="J248" s="0" t="n">
        <f aca="false">W_PH(J$2,$A248)</f>
        <v>773.61251736695</v>
      </c>
      <c r="K248" s="0" t="n">
        <f aca="false">W_PH(K$2,$A248)</f>
        <v>773.612632854266</v>
      </c>
      <c r="L248" s="0" t="n">
        <f aca="false">W_PH(L$2,$A248)</f>
        <v>773.612748362148</v>
      </c>
      <c r="M248" s="0" t="n">
        <f aca="false">W_PH(M$2,$A248)</f>
        <v>773.612863890595</v>
      </c>
      <c r="N248" s="0" t="n">
        <f aca="false">W_PH(N$2,$A248)</f>
        <v>773.612979439608</v>
      </c>
      <c r="O248" s="0" t="n">
        <f aca="false">W_PH(O$2,$A248)</f>
        <v>773.613095009187</v>
      </c>
      <c r="P248" s="0" t="n">
        <f aca="false">W_PH(P$2,$A248)</f>
        <v>773.614251836149</v>
      </c>
      <c r="Q248" s="0" t="n">
        <f aca="false">W_PH(Q$2,$A248)</f>
        <v>773.615410719932</v>
      </c>
      <c r="R248" s="0" t="n">
        <f aca="false">W_PH(R$2,$A248)</f>
        <v>773.616571660735</v>
      </c>
      <c r="S248" s="0" t="n">
        <f aca="false">W_PH(S$2,$A248)</f>
        <v>773.617734658762</v>
      </c>
      <c r="T248" s="0" t="n">
        <f aca="false">W_PH(T$2,$A248)</f>
        <v>773.618899714211</v>
      </c>
      <c r="U248" s="0" t="n">
        <f aca="false">W_PH(U$2,$A248)</f>
        <v>773.620066827283</v>
      </c>
      <c r="V248" s="0" t="n">
        <f aca="false">W_PH(V$2,$A248)</f>
        <v>773.621235998176</v>
      </c>
      <c r="W248" s="0" t="n">
        <f aca="false">W_PH(W$2,$A248)</f>
        <v>773.622407227089</v>
      </c>
      <c r="X248" s="0" t="n">
        <f aca="false">W_PH(X$2,$A248)</f>
        <v>773.623580514219</v>
      </c>
      <c r="Y248" s="0" t="n">
        <f aca="false">W_PH(Y$2,$A248)</f>
        <v>773.635426630482</v>
      </c>
      <c r="Z248" s="0" t="n">
        <f aca="false">W_PH(Z$2,$A248)</f>
        <v>773.647478780936</v>
      </c>
      <c r="AA248" s="0" t="n">
        <f aca="false">W_PH(AA$2,$A248)</f>
        <v>773.65973715226</v>
      </c>
      <c r="AB248" s="0" t="n">
        <f aca="false">W_PH(AB$2,$A248)</f>
        <v>773.672201924559</v>
      </c>
      <c r="AC248" s="0" t="n">
        <f aca="false">W_PH(AC$2,$A248)</f>
        <v>773.68487327142</v>
      </c>
      <c r="AD248" s="0" t="n">
        <f aca="false">W_PH(AD$2,$A248)</f>
        <v>773.697751359958</v>
      </c>
      <c r="AE248" s="0" t="n">
        <f aca="false">W_PH(AE$2,$A248)</f>
        <v>773.710836350876</v>
      </c>
      <c r="AF248" s="0" t="n">
        <f aca="false">W_PH(AF$2,$A248)</f>
        <v>773.724128398516</v>
      </c>
      <c r="AG248" s="0" t="n">
        <f aca="false">W_PH(AG$2,$A248)</f>
        <v>773.737627650906</v>
      </c>
      <c r="AH248" s="0" t="n">
        <f aca="false">W_PH(AH$2,$A248)</f>
        <v>773.88404459587</v>
      </c>
      <c r="AI248" s="0" t="n">
        <f aca="false">W_PH(AI$2,$A248)</f>
        <v>774.051299998053</v>
      </c>
      <c r="AJ248" s="0" t="n">
        <f aca="false">W_PH(AJ$2,$A248)</f>
        <v>774.240204887741</v>
      </c>
      <c r="AK248" s="0" t="n">
        <f aca="false">W_PH(AK$2,$A248)</f>
        <v>774.449253679587</v>
      </c>
      <c r="AL248" s="0" t="n">
        <f aca="false">W_PH(AL$2,$A248)</f>
        <v>774.678715856849</v>
      </c>
      <c r="AM248" s="0" t="n">
        <f aca="false">W_PH(AM$2,$A248)</f>
        <v>774.928493145765</v>
      </c>
      <c r="AN248" s="0" t="n">
        <f aca="false">W_PH(AN$2,$A248)</f>
        <v>775.198450196338</v>
      </c>
      <c r="AO248" s="0" t="n">
        <f aca="false">W_PH(AO$2,$A248)</f>
        <v>775.48841873106</v>
      </c>
      <c r="AP248" s="0" t="n">
        <f aca="false">W_PH(AP$2,$A248)</f>
        <v>775.798201416866</v>
      </c>
      <c r="AQ248" s="0" t="n">
        <f aca="false">W_PH(AQ$2,$A248)</f>
        <v>2015</v>
      </c>
      <c r="AR248" s="0" t="n">
        <f aca="false">W_PH(AR$2,$A248)</f>
        <v>2015</v>
      </c>
      <c r="AS248" s="0" t="n">
        <f aca="false">W_PH(AS$2,$A248)</f>
        <v>2015</v>
      </c>
    </row>
    <row r="249" customFormat="false" ht="13.8" hidden="false" customHeight="false" outlineLevel="0" collapsed="false">
      <c r="A249" s="0" t="n">
        <v>4090</v>
      </c>
      <c r="B249" s="0" t="n">
        <f aca="false">W_PH(B$2,$A249)</f>
        <v>775.089743455982</v>
      </c>
      <c r="C249" s="0" t="n">
        <f aca="false">W_PH(C$2,$A249)</f>
        <v>775.089755696036</v>
      </c>
      <c r="D249" s="0" t="n">
        <f aca="false">W_PH(D$2,$A249)</f>
        <v>775.089767936296</v>
      </c>
      <c r="E249" s="0" t="n">
        <f aca="false">W_PH(E$2,$A249)</f>
        <v>775.089780176759</v>
      </c>
      <c r="F249" s="0" t="n">
        <f aca="false">W_PH(F$2,$A249)</f>
        <v>775.089792417427</v>
      </c>
      <c r="G249" s="0" t="n">
        <f aca="false">W_PH(G$2,$A249)</f>
        <v>775.089914835361</v>
      </c>
      <c r="H249" s="0" t="n">
        <f aca="false">W_PH(H$2,$A249)</f>
        <v>775.090037273751</v>
      </c>
      <c r="I249" s="0" t="n">
        <f aca="false">W_PH(I$2,$A249)</f>
        <v>775.090159732598</v>
      </c>
      <c r="J249" s="0" t="n">
        <f aca="false">W_PH(J$2,$A249)</f>
        <v>775.090282211903</v>
      </c>
      <c r="K249" s="0" t="n">
        <f aca="false">W_PH(K$2,$A249)</f>
        <v>775.090404711665</v>
      </c>
      <c r="L249" s="0" t="n">
        <f aca="false">W_PH(L$2,$A249)</f>
        <v>775.090527231885</v>
      </c>
      <c r="M249" s="0" t="n">
        <f aca="false">W_PH(M$2,$A249)</f>
        <v>775.090649772563</v>
      </c>
      <c r="N249" s="0" t="n">
        <f aca="false">W_PH(N$2,$A249)</f>
        <v>775.090772333698</v>
      </c>
      <c r="O249" s="0" t="n">
        <f aca="false">W_PH(O$2,$A249)</f>
        <v>775.090894915292</v>
      </c>
      <c r="P249" s="0" t="n">
        <f aca="false">W_PH(P$2,$A249)</f>
        <v>775.092121856467</v>
      </c>
      <c r="Q249" s="0" t="n">
        <f aca="false">W_PH(Q$2,$A249)</f>
        <v>775.093350843646</v>
      </c>
      <c r="R249" s="0" t="n">
        <f aca="false">W_PH(R$2,$A249)</f>
        <v>775.094581876998</v>
      </c>
      <c r="S249" s="0" t="n">
        <f aca="false">W_PH(S$2,$A249)</f>
        <v>775.095814956695</v>
      </c>
      <c r="T249" s="0" t="n">
        <f aca="false">W_PH(T$2,$A249)</f>
        <v>775.097050082903</v>
      </c>
      <c r="U249" s="0" t="n">
        <f aca="false">W_PH(U$2,$A249)</f>
        <v>775.098287255792</v>
      </c>
      <c r="V249" s="0" t="n">
        <f aca="false">W_PH(V$2,$A249)</f>
        <v>775.099526475528</v>
      </c>
      <c r="W249" s="0" t="n">
        <f aca="false">W_PH(W$2,$A249)</f>
        <v>775.100767742279</v>
      </c>
      <c r="X249" s="0" t="n">
        <f aca="false">W_PH(X$2,$A249)</f>
        <v>775.102011056211</v>
      </c>
      <c r="Y249" s="0" t="n">
        <f aca="false">W_PH(Y$2,$A249)</f>
        <v>775.114556826576</v>
      </c>
      <c r="Z249" s="0" t="n">
        <f aca="false">W_PH(Z$2,$A249)</f>
        <v>775.127307493128</v>
      </c>
      <c r="AA249" s="0" t="n">
        <f aca="false">W_PH(AA$2,$A249)</f>
        <v>775.140263211659</v>
      </c>
      <c r="AB249" s="0" t="n">
        <f aca="false">W_PH(AB$2,$A249)</f>
        <v>775.153424131725</v>
      </c>
      <c r="AC249" s="0" t="n">
        <f aca="false">W_PH(AC$2,$A249)</f>
        <v>775.166790396696</v>
      </c>
      <c r="AD249" s="0" t="n">
        <f aca="false">W_PH(AD$2,$A249)</f>
        <v>775.18036214381</v>
      </c>
      <c r="AE249" s="0" t="n">
        <f aca="false">W_PH(AE$2,$A249)</f>
        <v>775.194139504223</v>
      </c>
      <c r="AF249" s="0" t="n">
        <f aca="false">W_PH(AF$2,$A249)</f>
        <v>775.208122603058</v>
      </c>
      <c r="AG249" s="0" t="n">
        <f aca="false">W_PH(AG$2,$A249)</f>
        <v>775.22231155946</v>
      </c>
      <c r="AH249" s="0" t="n">
        <f aca="false">W_PH(AH$2,$A249)</f>
        <v>775.375545326933</v>
      </c>
      <c r="AI249" s="0" t="n">
        <f aca="false">W_PH(AI$2,$A249)</f>
        <v>775.549453444652</v>
      </c>
      <c r="AJ249" s="0" t="n">
        <f aca="false">W_PH(AJ$2,$A249)</f>
        <v>775.744658146949</v>
      </c>
      <c r="AK249" s="0" t="n">
        <f aca="false">W_PH(AK$2,$A249)</f>
        <v>775.960137020514</v>
      </c>
      <c r="AL249" s="0" t="n">
        <f aca="false">W_PH(AL$2,$A249)</f>
        <v>776.19581339491</v>
      </c>
      <c r="AM249" s="0" t="n">
        <f aca="false">W_PH(AM$2,$A249)</f>
        <v>776.45157196701</v>
      </c>
      <c r="AN249" s="0" t="n">
        <f aca="false">W_PH(AN$2,$A249)</f>
        <v>776.727262588791</v>
      </c>
      <c r="AO249" s="0" t="n">
        <f aca="false">W_PH(AO$2,$A249)</f>
        <v>777.022704203754</v>
      </c>
      <c r="AP249" s="0" t="n">
        <f aca="false">W_PH(AP$2,$A249)</f>
        <v>777.337688504179</v>
      </c>
      <c r="AQ249" s="0" t="n">
        <f aca="false">W_PH(AQ$2,$A249)</f>
        <v>2015</v>
      </c>
      <c r="AR249" s="0" t="n">
        <f aca="false">W_PH(AR$2,$A249)</f>
        <v>2015</v>
      </c>
      <c r="AS249" s="0" t="n">
        <f aca="false">W_PH(AS$2,$A249)</f>
        <v>2015</v>
      </c>
    </row>
    <row r="250" customFormat="false" ht="13.8" hidden="false" customHeight="false" outlineLevel="0" collapsed="false">
      <c r="A250" s="0" t="n">
        <v>4100</v>
      </c>
      <c r="B250" s="0" t="n">
        <f aca="false">W_PH(B$2,$A250)</f>
        <v>776.562117095084</v>
      </c>
      <c r="C250" s="0" t="n">
        <f aca="false">W_PH(C$2,$A250)</f>
        <v>776.562130030035</v>
      </c>
      <c r="D250" s="0" t="n">
        <f aca="false">W_PH(D$2,$A250)</f>
        <v>776.562142965189</v>
      </c>
      <c r="E250" s="0" t="n">
        <f aca="false">W_PH(E$2,$A250)</f>
        <v>776.562155900547</v>
      </c>
      <c r="F250" s="0" t="n">
        <f aca="false">W_PH(F$2,$A250)</f>
        <v>776.562168836108</v>
      </c>
      <c r="G250" s="0" t="n">
        <f aca="false">W_PH(G$2,$A250)</f>
        <v>776.562298202906</v>
      </c>
      <c r="H250" s="0" t="n">
        <f aca="false">W_PH(H$2,$A250)</f>
        <v>776.562427590045</v>
      </c>
      <c r="I250" s="0" t="n">
        <f aca="false">W_PH(I$2,$A250)</f>
        <v>776.562556997526</v>
      </c>
      <c r="J250" s="0" t="n">
        <f aca="false">W_PH(J$2,$A250)</f>
        <v>776.562686425349</v>
      </c>
      <c r="K250" s="0" t="n">
        <f aca="false">W_PH(K$2,$A250)</f>
        <v>776.562815873513</v>
      </c>
      <c r="L250" s="0" t="n">
        <f aca="false">W_PH(L$2,$A250)</f>
        <v>776.562945342019</v>
      </c>
      <c r="M250" s="0" t="n">
        <f aca="false">W_PH(M$2,$A250)</f>
        <v>776.563074830866</v>
      </c>
      <c r="N250" s="0" t="n">
        <f aca="false">W_PH(N$2,$A250)</f>
        <v>776.563204340056</v>
      </c>
      <c r="O250" s="0" t="n">
        <f aca="false">W_PH(O$2,$A250)</f>
        <v>776.563333869588</v>
      </c>
      <c r="P250" s="0" t="n">
        <f aca="false">W_PH(P$2,$A250)</f>
        <v>776.564630283762</v>
      </c>
      <c r="Q250" s="0" t="n">
        <f aca="false">W_PH(Q$2,$A250)</f>
        <v>776.565928732312</v>
      </c>
      <c r="R250" s="0" t="n">
        <f aca="false">W_PH(R$2,$A250)</f>
        <v>776.567229215377</v>
      </c>
      <c r="S250" s="0" t="n">
        <f aca="false">W_PH(S$2,$A250)</f>
        <v>776.568531733096</v>
      </c>
      <c r="T250" s="0" t="n">
        <f aca="false">W_PH(T$2,$A250)</f>
        <v>776.569836285605</v>
      </c>
      <c r="U250" s="0" t="n">
        <f aca="false">W_PH(U$2,$A250)</f>
        <v>776.571142873042</v>
      </c>
      <c r="V250" s="0" t="n">
        <f aca="false">W_PH(V$2,$A250)</f>
        <v>776.572451495544</v>
      </c>
      <c r="W250" s="0" t="n">
        <f aca="false">W_PH(W$2,$A250)</f>
        <v>776.573762153247</v>
      </c>
      <c r="X250" s="0" t="n">
        <f aca="false">W_PH(X$2,$A250)</f>
        <v>776.575074846285</v>
      </c>
      <c r="Y250" s="0" t="n">
        <f aca="false">W_PH(Y$2,$A250)</f>
        <v>776.588313749482</v>
      </c>
      <c r="Z250" s="0" t="n">
        <f aca="false">W_PH(Z$2,$A250)</f>
        <v>776.601756330663</v>
      </c>
      <c r="AA250" s="0" t="n">
        <f aca="false">W_PH(AA$2,$A250)</f>
        <v>776.615402715298</v>
      </c>
      <c r="AB250" s="0" t="n">
        <f aca="false">W_PH(AB$2,$A250)</f>
        <v>776.629253022953</v>
      </c>
      <c r="AC250" s="0" t="n">
        <f aca="false">W_PH(AC$2,$A250)</f>
        <v>776.64330736734</v>
      </c>
      <c r="AD250" s="0" t="n">
        <f aca="false">W_PH(AD$2,$A250)</f>
        <v>776.65756585637</v>
      </c>
      <c r="AE250" s="0" t="n">
        <f aca="false">W_PH(AE$2,$A250)</f>
        <v>776.672028592196</v>
      </c>
      <c r="AF250" s="0" t="n">
        <f aca="false">W_PH(AF$2,$A250)</f>
        <v>776.686695671271</v>
      </c>
      <c r="AG250" s="0" t="n">
        <f aca="false">W_PH(AG$2,$A250)</f>
        <v>776.70156718439</v>
      </c>
      <c r="AH250" s="0" t="n">
        <f aca="false">W_PH(AH$2,$A250)</f>
        <v>776.861542218056</v>
      </c>
      <c r="AI250" s="0" t="n">
        <f aca="false">W_PH(AI$2,$A250)</f>
        <v>777.042020417604</v>
      </c>
      <c r="AJ250" s="0" t="n">
        <f aca="false">W_PH(AJ$2,$A250)</f>
        <v>777.243446151526</v>
      </c>
      <c r="AK250" s="0" t="n">
        <f aca="false">W_PH(AK$2,$A250)</f>
        <v>777.46528309129</v>
      </c>
      <c r="AL250" s="0" t="n">
        <f aca="false">W_PH(AL$2,$A250)</f>
        <v>777.707103532252</v>
      </c>
      <c r="AM250" s="0" t="n">
        <f aca="false">W_PH(AM$2,$A250)</f>
        <v>777.968775674089</v>
      </c>
      <c r="AN250" s="0" t="n">
        <f aca="false">W_PH(AN$2,$A250)</f>
        <v>778.250135025072</v>
      </c>
      <c r="AO250" s="0" t="n">
        <f aca="false">W_PH(AO$2,$A250)</f>
        <v>778.550988123221</v>
      </c>
      <c r="AP250" s="0" t="n">
        <f aca="false">W_PH(AP$2,$A250)</f>
        <v>778.871115976932</v>
      </c>
      <c r="AQ250" s="0" t="n">
        <f aca="false">W_PH(AQ$2,$A250)</f>
        <v>2015</v>
      </c>
      <c r="AR250" s="0" t="n">
        <f aca="false">W_PH(AR$2,$A250)</f>
        <v>2015</v>
      </c>
      <c r="AS250" s="0" t="n">
        <f aca="false">W_PH(AS$2,$A250)</f>
        <v>2015</v>
      </c>
    </row>
    <row r="251" customFormat="false" ht="13.8" hidden="false" customHeight="false" outlineLevel="0" collapsed="false">
      <c r="A251" s="0" t="n">
        <v>4110</v>
      </c>
      <c r="B251" s="0" t="n">
        <f aca="false">W_PH(B$2,$A251)</f>
        <v>778.029171011729</v>
      </c>
      <c r="C251" s="0" t="n">
        <f aca="false">W_PH(C$2,$A251)</f>
        <v>778.029184635183</v>
      </c>
      <c r="D251" s="0" t="n">
        <f aca="false">W_PH(D$2,$A251)</f>
        <v>778.02919825884</v>
      </c>
      <c r="E251" s="0" t="n">
        <f aca="false">W_PH(E$2,$A251)</f>
        <v>778.029211882698</v>
      </c>
      <c r="F251" s="0" t="n">
        <f aca="false">W_PH(F$2,$A251)</f>
        <v>778.029225506759</v>
      </c>
      <c r="G251" s="0" t="n">
        <f aca="false">W_PH(G$2,$A251)</f>
        <v>778.029361758486</v>
      </c>
      <c r="H251" s="0" t="n">
        <f aca="false">W_PH(H$2,$A251)</f>
        <v>778.02949803043</v>
      </c>
      <c r="I251" s="0" t="n">
        <f aca="false">W_PH(I$2,$A251)</f>
        <v>778.02963432259</v>
      </c>
      <c r="J251" s="0" t="n">
        <f aca="false">W_PH(J$2,$A251)</f>
        <v>778.029770634968</v>
      </c>
      <c r="K251" s="0" t="n">
        <f aca="false">W_PH(K$2,$A251)</f>
        <v>778.029906967564</v>
      </c>
      <c r="L251" s="0" t="n">
        <f aca="false">W_PH(L$2,$A251)</f>
        <v>778.030043320377</v>
      </c>
      <c r="M251" s="0" t="n">
        <f aca="false">W_PH(M$2,$A251)</f>
        <v>778.030179693407</v>
      </c>
      <c r="N251" s="0" t="n">
        <f aca="false">W_PH(N$2,$A251)</f>
        <v>778.030316086655</v>
      </c>
      <c r="O251" s="0" t="n">
        <f aca="false">W_PH(O$2,$A251)</f>
        <v>778.030452500121</v>
      </c>
      <c r="P251" s="0" t="n">
        <f aca="false">W_PH(P$2,$A251)</f>
        <v>778.03181774678</v>
      </c>
      <c r="Q251" s="0" t="n">
        <f aca="false">W_PH(Q$2,$A251)</f>
        <v>778.033185015336</v>
      </c>
      <c r="R251" s="0" t="n">
        <f aca="false">W_PH(R$2,$A251)</f>
        <v>778.034554305896</v>
      </c>
      <c r="S251" s="0" t="n">
        <f aca="false">W_PH(S$2,$A251)</f>
        <v>778.03592561857</v>
      </c>
      <c r="T251" s="0" t="n">
        <f aca="false">W_PH(T$2,$A251)</f>
        <v>778.037298953464</v>
      </c>
      <c r="U251" s="0" t="n">
        <f aca="false">W_PH(U$2,$A251)</f>
        <v>778.038674310685</v>
      </c>
      <c r="V251" s="0" t="n">
        <f aca="false">W_PH(V$2,$A251)</f>
        <v>778.04005169034</v>
      </c>
      <c r="W251" s="0" t="n">
        <f aca="false">W_PH(W$2,$A251)</f>
        <v>778.041431092533</v>
      </c>
      <c r="X251" s="0" t="n">
        <f aca="false">W_PH(X$2,$A251)</f>
        <v>778.04281251737</v>
      </c>
      <c r="Y251" s="0" t="n">
        <f aca="false">W_PH(Y$2,$A251)</f>
        <v>778.056738033861</v>
      </c>
      <c r="Z251" s="0" t="n">
        <f aca="false">W_PH(Z$2,$A251)</f>
        <v>778.070865926102</v>
      </c>
      <c r="AA251" s="0" t="n">
        <f aca="false">W_PH(AA$2,$A251)</f>
        <v>778.085196289847</v>
      </c>
      <c r="AB251" s="0" t="n">
        <f aca="false">W_PH(AB$2,$A251)</f>
        <v>778.099729215277</v>
      </c>
      <c r="AC251" s="0" t="n">
        <f aca="false">W_PH(AC$2,$A251)</f>
        <v>778.114464787044</v>
      </c>
      <c r="AD251" s="0" t="n">
        <f aca="false">W_PH(AD$2,$A251)</f>
        <v>778.129403084324</v>
      </c>
      <c r="AE251" s="0" t="n">
        <f aca="false">W_PH(AE$2,$A251)</f>
        <v>778.144544180862</v>
      </c>
      <c r="AF251" s="0" t="n">
        <f aca="false">W_PH(AF$2,$A251)</f>
        <v>778.159888145021</v>
      </c>
      <c r="AG251" s="0" t="n">
        <f aca="false">W_PH(AG$2,$A251)</f>
        <v>778.175435039829</v>
      </c>
      <c r="AH251" s="0" t="n">
        <f aca="false">W_PH(AH$2,$A251)</f>
        <v>778.342075320019</v>
      </c>
      <c r="AI251" s="0" t="n">
        <f aca="false">W_PH(AI$2,$A251)</f>
        <v>778.529040190868</v>
      </c>
      <c r="AJ251" s="0" t="n">
        <f aca="false">W_PH(AJ$2,$A251)</f>
        <v>778.736610151605</v>
      </c>
      <c r="AK251" s="0" t="n">
        <f aca="false">W_PH(AK$2,$A251)</f>
        <v>778.964733597432</v>
      </c>
      <c r="AL251" s="0" t="n">
        <f aca="false">W_PH(AL$2,$A251)</f>
        <v>779.212628301813</v>
      </c>
      <c r="AM251" s="0" t="n">
        <f aca="false">W_PH(AM$2,$A251)</f>
        <v>779.480146506298</v>
      </c>
      <c r="AN251" s="0" t="n">
        <f aca="false">W_PH(AN$2,$A251)</f>
        <v>779.767109833459</v>
      </c>
      <c r="AO251" s="0" t="n">
        <f aca="false">W_PH(AO$2,$A251)</f>
        <v>780.073312790345</v>
      </c>
      <c r="AP251" s="0" t="n">
        <f aca="false">W_PH(AP$2,$A251)</f>
        <v>780.398525991014</v>
      </c>
      <c r="AQ251" s="0" t="n">
        <f aca="false">W_PH(AQ$2,$A251)</f>
        <v>2015</v>
      </c>
      <c r="AR251" s="0" t="n">
        <f aca="false">W_PH(AR$2,$A251)</f>
        <v>2015</v>
      </c>
      <c r="AS251" s="0" t="n">
        <f aca="false">W_PH(AS$2,$A251)</f>
        <v>2015</v>
      </c>
    </row>
    <row r="252" customFormat="false" ht="13.8" hidden="false" customHeight="false" outlineLevel="0" collapsed="false">
      <c r="A252" s="0" t="n">
        <v>4120</v>
      </c>
      <c r="B252" s="0" t="n">
        <f aca="false">W_PH(B$2,$A252)</f>
        <v>779.490944937047</v>
      </c>
      <c r="C252" s="0" t="n">
        <f aca="false">W_PH(C$2,$A252)</f>
        <v>779.490959242608</v>
      </c>
      <c r="D252" s="0" t="n">
        <f aca="false">W_PH(D$2,$A252)</f>
        <v>779.49097354837</v>
      </c>
      <c r="E252" s="0" t="n">
        <f aca="false">W_PH(E$2,$A252)</f>
        <v>779.490987854333</v>
      </c>
      <c r="F252" s="0" t="n">
        <f aca="false">W_PH(F$2,$A252)</f>
        <v>779.491002160497</v>
      </c>
      <c r="G252" s="0" t="n">
        <f aca="false">W_PH(G$2,$A252)</f>
        <v>779.49114523318</v>
      </c>
      <c r="H252" s="0" t="n">
        <f aca="false">W_PH(H$2,$A252)</f>
        <v>779.491288325948</v>
      </c>
      <c r="I252" s="0" t="n">
        <f aca="false">W_PH(I$2,$A252)</f>
        <v>779.4914314388</v>
      </c>
      <c r="J252" s="0" t="n">
        <f aca="false">W_PH(J$2,$A252)</f>
        <v>779.491574571736</v>
      </c>
      <c r="K252" s="0" t="n">
        <f aca="false">W_PH(K$2,$A252)</f>
        <v>779.491717724756</v>
      </c>
      <c r="L252" s="0" t="n">
        <f aca="false">W_PH(L$2,$A252)</f>
        <v>779.49186089786</v>
      </c>
      <c r="M252" s="0" t="n">
        <f aca="false">W_PH(M$2,$A252)</f>
        <v>779.492004091048</v>
      </c>
      <c r="N252" s="0" t="n">
        <f aca="false">W_PH(N$2,$A252)</f>
        <v>779.492147304321</v>
      </c>
      <c r="O252" s="0" t="n">
        <f aca="false">W_PH(O$2,$A252)</f>
        <v>779.492290537678</v>
      </c>
      <c r="P252" s="0" t="n">
        <f aca="false">W_PH(P$2,$A252)</f>
        <v>779.493723975908</v>
      </c>
      <c r="Q252" s="0" t="n">
        <f aca="false">W_PH(Q$2,$A252)</f>
        <v>779.495159422666</v>
      </c>
      <c r="R252" s="0" t="n">
        <f aca="false">W_PH(R$2,$A252)</f>
        <v>779.496596878032</v>
      </c>
      <c r="S252" s="0" t="n">
        <f aca="false">W_PH(S$2,$A252)</f>
        <v>779.498036342082</v>
      </c>
      <c r="T252" s="0" t="n">
        <f aca="false">W_PH(T$2,$A252)</f>
        <v>779.499477814895</v>
      </c>
      <c r="U252" s="0" t="n">
        <f aca="false">W_PH(U$2,$A252)</f>
        <v>779.500921296548</v>
      </c>
      <c r="V252" s="0" t="n">
        <f aca="false">W_PH(V$2,$A252)</f>
        <v>779.502366787118</v>
      </c>
      <c r="W252" s="0" t="n">
        <f aca="false">W_PH(W$2,$A252)</f>
        <v>779.50381428668</v>
      </c>
      <c r="X252" s="0" t="n">
        <f aca="false">W_PH(X$2,$A252)</f>
        <v>779.505263795309</v>
      </c>
      <c r="Y252" s="0" t="n">
        <f aca="false">W_PH(Y$2,$A252)</f>
        <v>779.519869396545</v>
      </c>
      <c r="Z252" s="0" t="n">
        <f aca="false">W_PH(Z$2,$A252)</f>
        <v>779.534675983596</v>
      </c>
      <c r="AA252" s="0" t="n">
        <f aca="false">W_PH(AA$2,$A252)</f>
        <v>779.54968362315</v>
      </c>
      <c r="AB252" s="0" t="n">
        <f aca="false">W_PH(AB$2,$A252)</f>
        <v>779.56489237665</v>
      </c>
      <c r="AC252" s="0" t="n">
        <f aca="false">W_PH(AC$2,$A252)</f>
        <v>779.580302300329</v>
      </c>
      <c r="AD252" s="0" t="n">
        <f aca="false">W_PH(AD$2,$A252)</f>
        <v>779.595913445262</v>
      </c>
      <c r="AE252" s="0" t="n">
        <f aca="false">W_PH(AE$2,$A252)</f>
        <v>779.611725857415</v>
      </c>
      <c r="AF252" s="0" t="n">
        <f aca="false">W_PH(AF$2,$A252)</f>
        <v>779.627739577683</v>
      </c>
      <c r="AG252" s="0" t="n">
        <f aca="false">W_PH(AG$2,$A252)</f>
        <v>779.643954641945</v>
      </c>
      <c r="AH252" s="0" t="n">
        <f aca="false">W_PH(AH$2,$A252)</f>
        <v>779.817183598727</v>
      </c>
      <c r="AI252" s="0" t="n">
        <f aca="false">W_PH(AI$2,$A252)</f>
        <v>780.010550879241</v>
      </c>
      <c r="AJ252" s="0" t="n">
        <f aca="false">W_PH(AJ$2,$A252)</f>
        <v>780.224190340722</v>
      </c>
      <c r="AK252" s="0" t="n">
        <f aca="false">W_PH(AK$2,$A252)</f>
        <v>780.458529183064</v>
      </c>
      <c r="AL252" s="0" t="n">
        <f aca="false">W_PH(AL$2,$A252)</f>
        <v>780.712428671228</v>
      </c>
      <c r="AM252" s="0" t="n">
        <f aca="false">W_PH(AM$2,$A252)</f>
        <v>780.985725633794</v>
      </c>
      <c r="AN252" s="0" t="n">
        <f aca="false">W_PH(AN$2,$A252)</f>
        <v>781.278228268708</v>
      </c>
      <c r="AO252" s="0" t="n">
        <f aca="false">W_PH(AO$2,$A252)</f>
        <v>781.70832964649</v>
      </c>
      <c r="AP252" s="0" t="n">
        <f aca="false">W_PH(AP$2,$A252)</f>
        <v>2015</v>
      </c>
      <c r="AQ252" s="0" t="n">
        <f aca="false">W_PH(AQ$2,$A252)</f>
        <v>2015</v>
      </c>
      <c r="AR252" s="0" t="n">
        <f aca="false">W_PH(AR$2,$A252)</f>
        <v>2015</v>
      </c>
      <c r="AS252" s="0" t="n">
        <f aca="false">W_PH(AS$2,$A252)</f>
        <v>2015</v>
      </c>
    </row>
    <row r="253" customFormat="false" ht="13.8" hidden="false" customHeight="false" outlineLevel="0" collapsed="false">
      <c r="A253" s="0" t="n">
        <v>4130</v>
      </c>
      <c r="B253" s="0" t="n">
        <f aca="false">W_PH(B$2,$A253)</f>
        <v>780.947477711064</v>
      </c>
      <c r="C253" s="0" t="n">
        <f aca="false">W_PH(C$2,$A253)</f>
        <v>780.947492692321</v>
      </c>
      <c r="D253" s="0" t="n">
        <f aca="false">W_PH(D$2,$A253)</f>
        <v>780.947507673779</v>
      </c>
      <c r="E253" s="0" t="n">
        <f aca="false">W_PH(E$2,$A253)</f>
        <v>780.947522655435</v>
      </c>
      <c r="F253" s="0" t="n">
        <f aca="false">W_PH(F$2,$A253)</f>
        <v>780.947537637291</v>
      </c>
      <c r="G253" s="0" t="n">
        <f aca="false">W_PH(G$2,$A253)</f>
        <v>780.94768746682</v>
      </c>
      <c r="H253" s="0" t="n">
        <f aca="false">W_PH(H$2,$A253)</f>
        <v>780.94783731629</v>
      </c>
      <c r="I253" s="0" t="n">
        <f aca="false">W_PH(I$2,$A253)</f>
        <v>780.947987185701</v>
      </c>
      <c r="J253" s="0" t="n">
        <f aca="false">W_PH(J$2,$A253)</f>
        <v>780.948137075054</v>
      </c>
      <c r="K253" s="0" t="n">
        <f aca="false">W_PH(K$2,$A253)</f>
        <v>780.948286984349</v>
      </c>
      <c r="L253" s="0" t="n">
        <f aca="false">W_PH(L$2,$A253)</f>
        <v>780.948436913585</v>
      </c>
      <c r="M253" s="0" t="n">
        <f aca="false">W_PH(M$2,$A253)</f>
        <v>780.948586862763</v>
      </c>
      <c r="N253" s="0" t="n">
        <f aca="false">W_PH(N$2,$A253)</f>
        <v>780.948736831883</v>
      </c>
      <c r="O253" s="0" t="n">
        <f aca="false">W_PH(O$2,$A253)</f>
        <v>780.948886820944</v>
      </c>
      <c r="P253" s="0" t="n">
        <f aca="false">W_PH(P$2,$A253)</f>
        <v>780.950387808369</v>
      </c>
      <c r="Q253" s="0" t="n">
        <f aca="false">W_PH(Q$2,$A253)</f>
        <v>780.95189079003</v>
      </c>
      <c r="R253" s="0" t="n">
        <f aca="false">W_PH(R$2,$A253)</f>
        <v>780.953395765976</v>
      </c>
      <c r="S253" s="0" t="n">
        <f aca="false">W_PH(S$2,$A253)</f>
        <v>780.954902736255</v>
      </c>
      <c r="T253" s="0" t="n">
        <f aca="false">W_PH(T$2,$A253)</f>
        <v>780.956411700918</v>
      </c>
      <c r="U253" s="0" t="n">
        <f aca="false">W_PH(U$2,$A253)</f>
        <v>780.957922660011</v>
      </c>
      <c r="V253" s="0" t="n">
        <f aca="false">W_PH(V$2,$A253)</f>
        <v>780.959435613582</v>
      </c>
      <c r="W253" s="0" t="n">
        <f aca="false">W_PH(W$2,$A253)</f>
        <v>780.960950561679</v>
      </c>
      <c r="X253" s="0" t="n">
        <f aca="false">W_PH(X$2,$A253)</f>
        <v>780.962467504348</v>
      </c>
      <c r="Y253" s="0" t="n">
        <f aca="false">W_PH(Y$2,$A253)</f>
        <v>780.97774664237</v>
      </c>
      <c r="Z253" s="0" t="n">
        <f aca="false">W_PH(Z$2,$A253)</f>
        <v>780.99322528507</v>
      </c>
      <c r="AA253" s="0" t="n">
        <f aca="false">W_PH(AA$2,$A253)</f>
        <v>781.008903470763</v>
      </c>
      <c r="AB253" s="0" t="n">
        <f aca="false">W_PH(AB$2,$A253)</f>
        <v>781.024781232834</v>
      </c>
      <c r="AC253" s="0" t="n">
        <f aca="false">W_PH(AC$2,$A253)</f>
        <v>781.040858599776</v>
      </c>
      <c r="AD253" s="0" t="n">
        <f aca="false">W_PH(AD$2,$A253)</f>
        <v>781.057135595237</v>
      </c>
      <c r="AE253" s="0" t="n">
        <f aca="false">W_PH(AE$2,$A253)</f>
        <v>781.073612238068</v>
      </c>
      <c r="AF253" s="0" t="n">
        <f aca="false">W_PH(AF$2,$A253)</f>
        <v>781.09028854236</v>
      </c>
      <c r="AG253" s="0" t="n">
        <f aca="false">W_PH(AG$2,$A253)</f>
        <v>781.107164517492</v>
      </c>
      <c r="AH253" s="0" t="n">
        <f aca="false">W_PH(AH$2,$A253)</f>
        <v>781.286904946797</v>
      </c>
      <c r="AI253" s="0" t="n">
        <f aca="false">W_PH(AI$2,$A253)</f>
        <v>781.486589452688</v>
      </c>
      <c r="AJ253" s="0" t="n">
        <f aca="false">W_PH(AJ$2,$A253)</f>
        <v>781.706225867343</v>
      </c>
      <c r="AK253" s="0" t="n">
        <f aca="false">W_PH(AK$2,$A253)</f>
        <v>781.946709443246</v>
      </c>
      <c r="AL253" s="0" t="n">
        <f aca="false">W_PH(AL$2,$A253)</f>
        <v>782.206544555909</v>
      </c>
      <c r="AM253" s="0" t="n">
        <f aca="false">W_PH(AM$2,$A253)</f>
        <v>782.550447470948</v>
      </c>
      <c r="AN253" s="0" t="n">
        <f aca="false">W_PH(AN$2,$A253)</f>
        <v>782.871356648013</v>
      </c>
      <c r="AO253" s="0" t="n">
        <f aca="false">W_PH(AO$2,$A253)</f>
        <v>783.218982181544</v>
      </c>
      <c r="AP253" s="0" t="n">
        <f aca="false">W_PH(AP$2,$A253)</f>
        <v>2015</v>
      </c>
      <c r="AQ253" s="0" t="n">
        <f aca="false">W_PH(AQ$2,$A253)</f>
        <v>2015</v>
      </c>
      <c r="AR253" s="0" t="n">
        <f aca="false">W_PH(AR$2,$A253)</f>
        <v>2015</v>
      </c>
      <c r="AS253" s="0" t="n">
        <f aca="false">W_PH(AS$2,$A253)</f>
        <v>2015</v>
      </c>
    </row>
    <row r="254" customFormat="false" ht="13.8" hidden="false" customHeight="false" outlineLevel="0" collapsed="false">
      <c r="A254" s="0" t="n">
        <v>4140</v>
      </c>
      <c r="B254" s="0" t="n">
        <f aca="false">W_PH(B$2,$A254)</f>
        <v>782.398807287792</v>
      </c>
      <c r="C254" s="0" t="n">
        <f aca="false">W_PH(C$2,$A254)</f>
        <v>782.398822938311</v>
      </c>
      <c r="D254" s="0" t="n">
        <f aca="false">W_PH(D$2,$A254)</f>
        <v>782.398838589028</v>
      </c>
      <c r="E254" s="0" t="n">
        <f aca="false">W_PH(E$2,$A254)</f>
        <v>782.398854239944</v>
      </c>
      <c r="F254" s="0" t="n">
        <f aca="false">W_PH(F$2,$A254)</f>
        <v>782.398869891057</v>
      </c>
      <c r="G254" s="0" t="n">
        <f aca="false">W_PH(G$2,$A254)</f>
        <v>782.399026413073</v>
      </c>
      <c r="H254" s="0" t="n">
        <f aca="false">W_PH(H$2,$A254)</f>
        <v>782.399182954879</v>
      </c>
      <c r="I254" s="0" t="n">
        <f aca="false">W_PH(I$2,$A254)</f>
        <v>782.399339516474</v>
      </c>
      <c r="J254" s="0" t="n">
        <f aca="false">W_PH(J$2,$A254)</f>
        <v>782.399496097859</v>
      </c>
      <c r="K254" s="0" t="n">
        <f aca="false">W_PH(K$2,$A254)</f>
        <v>782.399652699033</v>
      </c>
      <c r="L254" s="0" t="n">
        <f aca="false">W_PH(L$2,$A254)</f>
        <v>782.399809319996</v>
      </c>
      <c r="M254" s="0" t="n">
        <f aca="false">W_PH(M$2,$A254)</f>
        <v>782.39996596075</v>
      </c>
      <c r="N254" s="0" t="n">
        <f aca="false">W_PH(N$2,$A254)</f>
        <v>782.400122621293</v>
      </c>
      <c r="O254" s="0" t="n">
        <f aca="false">W_PH(O$2,$A254)</f>
        <v>782.400279301625</v>
      </c>
      <c r="P254" s="0" t="n">
        <f aca="false">W_PH(P$2,$A254)</f>
        <v>782.401847193382</v>
      </c>
      <c r="Q254" s="0" t="n">
        <f aca="false">W_PH(Q$2,$A254)</f>
        <v>782.403417064123</v>
      </c>
      <c r="R254" s="0" t="n">
        <f aca="false">W_PH(R$2,$A254)</f>
        <v>782.404988913869</v>
      </c>
      <c r="S254" s="0" t="n">
        <f aca="false">W_PH(S$2,$A254)</f>
        <v>782.406562742641</v>
      </c>
      <c r="T254" s="0" t="n">
        <f aca="false">W_PH(T$2,$A254)</f>
        <v>782.408138550459</v>
      </c>
      <c r="U254" s="0" t="n">
        <f aca="false">W_PH(U$2,$A254)</f>
        <v>782.409716337343</v>
      </c>
      <c r="V254" s="0" t="n">
        <f aca="false">W_PH(V$2,$A254)</f>
        <v>782.411296103313</v>
      </c>
      <c r="W254" s="0" t="n">
        <f aca="false">W_PH(W$2,$A254)</f>
        <v>782.412877848386</v>
      </c>
      <c r="X254" s="0" t="n">
        <f aca="false">W_PH(X$2,$A254)</f>
        <v>782.414461572582</v>
      </c>
      <c r="Y254" s="0" t="n">
        <f aca="false">W_PH(Y$2,$A254)</f>
        <v>782.430407669992</v>
      </c>
      <c r="Z254" s="0" t="n">
        <f aca="false">W_PH(Z$2,$A254)</f>
        <v>782.446551696399</v>
      </c>
      <c r="AA254" s="0" t="n">
        <f aca="false">W_PH(AA$2,$A254)</f>
        <v>782.462893662474</v>
      </c>
      <c r="AB254" s="0" t="n">
        <f aca="false">W_PH(AB$2,$A254)</f>
        <v>782.479433574264</v>
      </c>
      <c r="AC254" s="0" t="n">
        <f aca="false">W_PH(AC$2,$A254)</f>
        <v>782.496171433236</v>
      </c>
      <c r="AD254" s="0" t="n">
        <f aca="false">W_PH(AD$2,$A254)</f>
        <v>782.513107236319</v>
      </c>
      <c r="AE254" s="0" t="n">
        <f aca="false">W_PH(AE$2,$A254)</f>
        <v>782.530240975949</v>
      </c>
      <c r="AF254" s="0" t="n">
        <f aca="false">W_PH(AF$2,$A254)</f>
        <v>782.547572640103</v>
      </c>
      <c r="AG254" s="0" t="n">
        <f aca="false">W_PH(AG$2,$A254)</f>
        <v>782.565102212355</v>
      </c>
      <c r="AH254" s="0" t="n">
        <f aca="false">W_PH(AH$2,$A254)</f>
        <v>782.751276195186</v>
      </c>
      <c r="AI254" s="0" t="n">
        <f aca="false">W_PH(AI$2,$A254)</f>
        <v>782.957191750748</v>
      </c>
      <c r="AJ254" s="0" t="n">
        <f aca="false">W_PH(AJ$2,$A254)</f>
        <v>783.182754846154</v>
      </c>
      <c r="AK254" s="0" t="n">
        <f aca="false">W_PH(AK$2,$A254)</f>
        <v>783.466258756766</v>
      </c>
      <c r="AL254" s="0" t="n">
        <f aca="false">W_PH(AL$2,$A254)</f>
        <v>783.745481531353</v>
      </c>
      <c r="AM254" s="0" t="n">
        <f aca="false">W_PH(AM$2,$A254)</f>
        <v>784.046622302399</v>
      </c>
      <c r="AN254" s="0" t="n">
        <f aca="false">W_PH(AN$2,$A254)</f>
        <v>784.371934455033</v>
      </c>
      <c r="AO254" s="0" t="n">
        <f aca="false">W_PH(AO$2,$A254)</f>
        <v>784.723639767868</v>
      </c>
      <c r="AP254" s="0" t="n">
        <f aca="false">W_PH(AP$2,$A254)</f>
        <v>2015</v>
      </c>
      <c r="AQ254" s="0" t="n">
        <f aca="false">W_PH(AQ$2,$A254)</f>
        <v>2015</v>
      </c>
      <c r="AR254" s="0" t="n">
        <f aca="false">W_PH(AR$2,$A254)</f>
        <v>2015</v>
      </c>
      <c r="AS254" s="0" t="n">
        <f aca="false">W_PH(AS$2,$A254)</f>
        <v>2015</v>
      </c>
    </row>
    <row r="255" customFormat="false" ht="13.8" hidden="false" customHeight="false" outlineLevel="0" collapsed="false">
      <c r="A255" s="0" t="n">
        <v>4150</v>
      </c>
      <c r="B255" s="0" t="n">
        <f aca="false">W_PH(B$2,$A255)</f>
        <v>783.844970740272</v>
      </c>
      <c r="C255" s="0" t="n">
        <f aca="false">W_PH(C$2,$A255)</f>
        <v>783.844987053584</v>
      </c>
      <c r="D255" s="0" t="n">
        <f aca="false">W_PH(D$2,$A255)</f>
        <v>783.845003367092</v>
      </c>
      <c r="E255" s="0" t="n">
        <f aca="false">W_PH(E$2,$A255)</f>
        <v>783.845019680797</v>
      </c>
      <c r="F255" s="0" t="n">
        <f aca="false">W_PH(F$2,$A255)</f>
        <v>783.845035994698</v>
      </c>
      <c r="G255" s="0" t="n">
        <f aca="false">W_PH(G$2,$A255)</f>
        <v>783.845199144502</v>
      </c>
      <c r="H255" s="0" t="n">
        <f aca="false">W_PH(H$2,$A255)</f>
        <v>783.845362313933</v>
      </c>
      <c r="I255" s="0" t="n">
        <f aca="false">W_PH(I$2,$A255)</f>
        <v>783.845525502993</v>
      </c>
      <c r="J255" s="0" t="n">
        <f aca="false">W_PH(J$2,$A255)</f>
        <v>783.845688711679</v>
      </c>
      <c r="K255" s="0" t="n">
        <f aca="false">W_PH(K$2,$A255)</f>
        <v>783.845851939993</v>
      </c>
      <c r="L255" s="0" t="n">
        <f aca="false">W_PH(L$2,$A255)</f>
        <v>783.846015187935</v>
      </c>
      <c r="M255" s="0" t="n">
        <f aca="false">W_PH(M$2,$A255)</f>
        <v>783.846178455504</v>
      </c>
      <c r="N255" s="0" t="n">
        <f aca="false">W_PH(N$2,$A255)</f>
        <v>783.846341742701</v>
      </c>
      <c r="O255" s="0" t="n">
        <f aca="false">W_PH(O$2,$A255)</f>
        <v>783.846505049524</v>
      </c>
      <c r="P255" s="0" t="n">
        <f aca="false">W_PH(P$2,$A255)</f>
        <v>783.848139197275</v>
      </c>
      <c r="Q255" s="0" t="n">
        <f aca="false">W_PH(Q$2,$A255)</f>
        <v>783.849775307767</v>
      </c>
      <c r="R255" s="0" t="n">
        <f aca="false">W_PH(R$2,$A255)</f>
        <v>783.851413380993</v>
      </c>
      <c r="S255" s="0" t="n">
        <f aca="false">W_PH(S$2,$A255)</f>
        <v>783.853053416947</v>
      </c>
      <c r="T255" s="0" t="n">
        <f aca="false">W_PH(T$2,$A255)</f>
        <v>783.854695415623</v>
      </c>
      <c r="U255" s="0" t="n">
        <f aca="false">W_PH(U$2,$A255)</f>
        <v>783.856339377011</v>
      </c>
      <c r="V255" s="0" t="n">
        <f aca="false">W_PH(V$2,$A255)</f>
        <v>783.857985301105</v>
      </c>
      <c r="W255" s="0" t="n">
        <f aca="false">W_PH(W$2,$A255)</f>
        <v>783.859633187895</v>
      </c>
      <c r="X255" s="0" t="n">
        <f aca="false">W_PH(X$2,$A255)</f>
        <v>783.861283037373</v>
      </c>
      <c r="Y255" s="0" t="n">
        <f aca="false">W_PH(Y$2,$A255)</f>
        <v>783.877889477665</v>
      </c>
      <c r="Z255" s="0" t="n">
        <f aca="false">W_PH(Z$2,$A255)</f>
        <v>783.894692173547</v>
      </c>
      <c r="AA255" s="0" t="n">
        <f aca="false">W_PH(AA$2,$A255)</f>
        <v>783.911691108803</v>
      </c>
      <c r="AB255" s="0" t="n">
        <f aca="false">W_PH(AB$2,$A255)</f>
        <v>783.928886262901</v>
      </c>
      <c r="AC255" s="0" t="n">
        <f aca="false">W_PH(AC$2,$A255)</f>
        <v>783.946277611028</v>
      </c>
      <c r="AD255" s="0" t="n">
        <f aca="false">W_PH(AD$2,$A255)</f>
        <v>783.963865124133</v>
      </c>
      <c r="AE255" s="0" t="n">
        <f aca="false">W_PH(AE$2,$A255)</f>
        <v>783.981648768968</v>
      </c>
      <c r="AF255" s="0" t="n">
        <f aca="false">W_PH(AF$2,$A255)</f>
        <v>783.999628508127</v>
      </c>
      <c r="AG255" s="0" t="n">
        <f aca="false">W_PH(AG$2,$A255)</f>
        <v>784.01780430009</v>
      </c>
      <c r="AH255" s="0" t="n">
        <f aca="false">W_PH(AH$2,$A255)</f>
        <v>784.210333124843</v>
      </c>
      <c r="AI255" s="0" t="n">
        <f aca="false">W_PH(AI$2,$A255)</f>
        <v>784.434627261688</v>
      </c>
      <c r="AJ255" s="0" t="n">
        <f aca="false">W_PH(AJ$2,$A255)</f>
        <v>784.682293248227</v>
      </c>
      <c r="AK255" s="0" t="n">
        <f aca="false">W_PH(AK$2,$A255)</f>
        <v>784.947055519408</v>
      </c>
      <c r="AL255" s="0" t="n">
        <f aca="false">W_PH(AL$2,$A255)</f>
        <v>785.231199473818</v>
      </c>
      <c r="AM255" s="0" t="n">
        <f aca="false">W_PH(AM$2,$A255)</f>
        <v>785.536980994127</v>
      </c>
      <c r="AN255" s="0" t="n">
        <f aca="false">W_PH(AN$2,$A255)</f>
        <v>785.866635448849</v>
      </c>
      <c r="AO255" s="0" t="n">
        <f aca="false">W_PH(AO$2,$A255)</f>
        <v>786.222364136878</v>
      </c>
      <c r="AP255" s="0" t="n">
        <f aca="false">W_PH(AP$2,$A255)</f>
        <v>2015</v>
      </c>
      <c r="AQ255" s="0" t="n">
        <f aca="false">W_PH(AQ$2,$A255)</f>
        <v>2015</v>
      </c>
      <c r="AR255" s="0" t="n">
        <f aca="false">W_PH(AR$2,$A255)</f>
        <v>2015</v>
      </c>
      <c r="AS255" s="0" t="n">
        <f aca="false">W_PH(AS$2,$A255)</f>
        <v>2015</v>
      </c>
    </row>
    <row r="256" customFormat="false" ht="13.8" hidden="false" customHeight="false" outlineLevel="0" collapsed="false">
      <c r="A256" s="0" t="n">
        <v>4160</v>
      </c>
      <c r="B256" s="0" t="n">
        <f aca="false">W_PH(B$2,$A256)</f>
        <v>785.286004265592</v>
      </c>
      <c r="C256" s="0" t="n">
        <f aca="false">W_PH(C$2,$A256)</f>
        <v>785.286021235184</v>
      </c>
      <c r="D256" s="0" t="n">
        <f aca="false">W_PH(D$2,$A256)</f>
        <v>785.28603820497</v>
      </c>
      <c r="E256" s="0" t="n">
        <f aca="false">W_PH(E$2,$A256)</f>
        <v>785.286055174951</v>
      </c>
      <c r="F256" s="0" t="n">
        <f aca="false">W_PH(F$2,$A256)</f>
        <v>785.286072145126</v>
      </c>
      <c r="G256" s="0" t="n">
        <f aca="false">W_PH(G$2,$A256)</f>
        <v>785.28624185758</v>
      </c>
      <c r="H256" s="0" t="n">
        <f aca="false">W_PH(H$2,$A256)</f>
        <v>785.286411589488</v>
      </c>
      <c r="I256" s="0" t="n">
        <f aca="false">W_PH(I$2,$A256)</f>
        <v>785.286581340853</v>
      </c>
      <c r="J256" s="0" t="n">
        <f aca="false">W_PH(J$2,$A256)</f>
        <v>785.286751111672</v>
      </c>
      <c r="K256" s="0" t="n">
        <f aca="false">W_PH(K$2,$A256)</f>
        <v>785.286920901947</v>
      </c>
      <c r="L256" s="0" t="n">
        <f aca="false">W_PH(L$2,$A256)</f>
        <v>785.287090711677</v>
      </c>
      <c r="M256" s="0" t="n">
        <f aca="false">W_PH(M$2,$A256)</f>
        <v>785.287260540862</v>
      </c>
      <c r="N256" s="0" t="n">
        <f aca="false">W_PH(N$2,$A256)</f>
        <v>785.287430389502</v>
      </c>
      <c r="O256" s="0" t="n">
        <f aca="false">W_PH(O$2,$A256)</f>
        <v>785.287600257598</v>
      </c>
      <c r="P256" s="0" t="n">
        <f aca="false">W_PH(P$2,$A256)</f>
        <v>785.289300008577</v>
      </c>
      <c r="Q256" s="0" t="n">
        <f aca="false">W_PH(Q$2,$A256)</f>
        <v>785.291001705032</v>
      </c>
      <c r="R256" s="0" t="n">
        <f aca="false">W_PH(R$2,$A256)</f>
        <v>785.292705346931</v>
      </c>
      <c r="S256" s="0" t="n">
        <f aca="false">W_PH(S$2,$A256)</f>
        <v>785.29441093424</v>
      </c>
      <c r="T256" s="0" t="n">
        <f aca="false">W_PH(T$2,$A256)</f>
        <v>785.296118466924</v>
      </c>
      <c r="U256" s="0" t="n">
        <f aca="false">W_PH(U$2,$A256)</f>
        <v>785.297827944951</v>
      </c>
      <c r="V256" s="0" t="n">
        <f aca="false">W_PH(V$2,$A256)</f>
        <v>785.299539368283</v>
      </c>
      <c r="W256" s="0" t="n">
        <f aca="false">W_PH(W$2,$A256)</f>
        <v>785.301252736887</v>
      </c>
      <c r="X256" s="0" t="n">
        <f aca="false">W_PH(X$2,$A256)</f>
        <v>785.302968050728</v>
      </c>
      <c r="Y256" s="0" t="n">
        <f aca="false">W_PH(Y$2,$A256)</f>
        <v>785.260827578407</v>
      </c>
      <c r="Z256" s="0" t="n">
        <f aca="false">W_PH(Z$2,$A256)</f>
        <v>785.282248013617</v>
      </c>
      <c r="AA256" s="0" t="n">
        <f aca="false">W_PH(AA$2,$A256)</f>
        <v>785.303751306226</v>
      </c>
      <c r="AB256" s="0" t="n">
        <f aca="false">W_PH(AB$2,$A256)</f>
        <v>785.325336976295</v>
      </c>
      <c r="AC256" s="0" t="n">
        <f aca="false">W_PH(AC$2,$A256)</f>
        <v>785.347010616876</v>
      </c>
      <c r="AD256" s="0" t="n">
        <f aca="false">W_PH(AD$2,$A256)</f>
        <v>785.368771734639</v>
      </c>
      <c r="AE256" s="0" t="n">
        <f aca="false">W_PH(AE$2,$A256)</f>
        <v>785.390624395538</v>
      </c>
      <c r="AF256" s="0" t="n">
        <f aca="false">W_PH(AF$2,$A256)</f>
        <v>785.412572667102</v>
      </c>
      <c r="AG256" s="0" t="n">
        <f aca="false">W_PH(AG$2,$A256)</f>
        <v>785.434614508595</v>
      </c>
      <c r="AH256" s="0" t="n">
        <f aca="false">W_PH(AH$2,$A256)</f>
        <v>785.660863976969</v>
      </c>
      <c r="AI256" s="0" t="n">
        <f aca="false">W_PH(AI$2,$A256)</f>
        <v>785.899332598998</v>
      </c>
      <c r="AJ256" s="0" t="n">
        <f aca="false">W_PH(AJ$2,$A256)</f>
        <v>786.152356375607</v>
      </c>
      <c r="AK256" s="0" t="n">
        <f aca="false">W_PH(AK$2,$A256)</f>
        <v>786.422231920428</v>
      </c>
      <c r="AL256" s="0" t="n">
        <f aca="false">W_PH(AL$2,$A256)</f>
        <v>786.711228062418</v>
      </c>
      <c r="AM256" s="0" t="n">
        <f aca="false">W_PH(AM$2,$A256)</f>
        <v>787.021585132382</v>
      </c>
      <c r="AN256" s="0" t="n">
        <f aca="false">W_PH(AN$2,$A256)</f>
        <v>787.355520629046</v>
      </c>
      <c r="AO256" s="0" t="n">
        <f aca="false">W_PH(AO$2,$A256)</f>
        <v>787.715222038339</v>
      </c>
      <c r="AP256" s="0" t="n">
        <f aca="false">W_PH(AP$2,$A256)</f>
        <v>2015</v>
      </c>
      <c r="AQ256" s="0" t="n">
        <f aca="false">W_PH(AQ$2,$A256)</f>
        <v>2015</v>
      </c>
      <c r="AR256" s="0" t="n">
        <f aca="false">W_PH(AR$2,$A256)</f>
        <v>2015</v>
      </c>
      <c r="AS256" s="0" t="n">
        <f aca="false">W_PH(AS$2,$A256)</f>
        <v>2015</v>
      </c>
    </row>
    <row r="257" customFormat="false" ht="13.8" hidden="false" customHeight="false" outlineLevel="0" collapsed="false">
      <c r="A257" s="0" t="n">
        <v>4170</v>
      </c>
      <c r="B257" s="0" t="n">
        <f aca="false">W_PH(B$2,$A257)</f>
        <v>786.66057998203</v>
      </c>
      <c r="C257" s="0" t="n">
        <f aca="false">W_PH(C$2,$A257)</f>
        <v>786.660600766565</v>
      </c>
      <c r="D257" s="0" t="n">
        <f aca="false">W_PH(D$2,$A257)</f>
        <v>786.660621551204</v>
      </c>
      <c r="E257" s="0" t="n">
        <f aca="false">W_PH(E$2,$A257)</f>
        <v>786.660645356362</v>
      </c>
      <c r="F257" s="0" t="n">
        <f aca="false">W_PH(F$2,$A257)</f>
        <v>786.660666141213</v>
      </c>
      <c r="G257" s="0" t="n">
        <f aca="false">W_PH(G$2,$A257)</f>
        <v>786.660886077238</v>
      </c>
      <c r="H257" s="0" t="n">
        <f aca="false">W_PH(H$2,$A257)</f>
        <v>786.66110300345</v>
      </c>
      <c r="I257" s="0" t="n">
        <f aca="false">W_PH(I$2,$A257)</f>
        <v>786.661319940266</v>
      </c>
      <c r="J257" s="0" t="n">
        <f aca="false">W_PH(J$2,$A257)</f>
        <v>786.661539908217</v>
      </c>
      <c r="K257" s="0" t="n">
        <f aca="false">W_PH(K$2,$A257)</f>
        <v>786.66175686628</v>
      </c>
      <c r="L257" s="0" t="n">
        <f aca="false">W_PH(L$2,$A257)</f>
        <v>786.661976855536</v>
      </c>
      <c r="M257" s="0" t="n">
        <f aca="false">W_PH(M$2,$A257)</f>
        <v>786.662193834856</v>
      </c>
      <c r="N257" s="0" t="n">
        <f aca="false">W_PH(N$2,$A257)</f>
        <v>786.662413845428</v>
      </c>
      <c r="O257" s="0" t="n">
        <f aca="false">W_PH(O$2,$A257)</f>
        <v>786.662630846015</v>
      </c>
      <c r="P257" s="0" t="n">
        <f aca="false">W_PH(P$2,$A257)</f>
        <v>786.664813520369</v>
      </c>
      <c r="Q257" s="0" t="n">
        <f aca="false">W_PH(Q$2,$A257)</f>
        <v>786.666997261931</v>
      </c>
      <c r="R257" s="0" t="n">
        <f aca="false">W_PH(R$2,$A257)</f>
        <v>786.669182073338</v>
      </c>
      <c r="S257" s="0" t="n">
        <f aca="false">W_PH(S$2,$A257)</f>
        <v>786.671367957228</v>
      </c>
      <c r="T257" s="0" t="n">
        <f aca="false">W_PH(T$2,$A257)</f>
        <v>786.673554916238</v>
      </c>
      <c r="U257" s="0" t="n">
        <f aca="false">W_PH(U$2,$A257)</f>
        <v>786.675742953002</v>
      </c>
      <c r="V257" s="0" t="n">
        <f aca="false">W_PH(V$2,$A257)</f>
        <v>786.677929047596</v>
      </c>
      <c r="W257" s="0" t="n">
        <f aca="false">W_PH(W$2,$A257)</f>
        <v>786.680119247507</v>
      </c>
      <c r="X257" s="0" t="n">
        <f aca="false">W_PH(X$2,$A257)</f>
        <v>786.682307509975</v>
      </c>
      <c r="Y257" s="0" t="n">
        <f aca="false">W_PH(Y$2,$A257)</f>
        <v>786.704241318157</v>
      </c>
      <c r="Z257" s="0" t="n">
        <f aca="false">W_PH(Z$2,$A257)</f>
        <v>786.726253203705</v>
      </c>
      <c r="AA257" s="0" t="n">
        <f aca="false">W_PH(AA$2,$A257)</f>
        <v>786.74834570567</v>
      </c>
      <c r="AB257" s="0" t="n">
        <f aca="false">W_PH(AB$2,$A257)</f>
        <v>786.770521359244</v>
      </c>
      <c r="AC257" s="0" t="n">
        <f aca="false">W_PH(AC$2,$A257)</f>
        <v>786.792779659125</v>
      </c>
      <c r="AD257" s="0" t="n">
        <f aca="false">W_PH(AD$2,$A257)</f>
        <v>786.81512616407</v>
      </c>
      <c r="AE257" s="0" t="n">
        <f aca="false">W_PH(AE$2,$A257)</f>
        <v>786.837563397789</v>
      </c>
      <c r="AF257" s="0" t="n">
        <f aca="false">W_PH(AF$2,$A257)</f>
        <v>786.860093880192</v>
      </c>
      <c r="AG257" s="0" t="n">
        <f aca="false">W_PH(AG$2,$A257)</f>
        <v>786.882717079974</v>
      </c>
      <c r="AH257" s="0" t="n">
        <f aca="false">W_PH(AH$2,$A257)</f>
        <v>787.114662201166</v>
      </c>
      <c r="AI257" s="0" t="n">
        <f aca="false">W_PH(AI$2,$A257)</f>
        <v>787.358627195608</v>
      </c>
      <c r="AJ257" s="0" t="n">
        <f aca="false">W_PH(AJ$2,$A257)</f>
        <v>787.616926510649</v>
      </c>
      <c r="AK257" s="0" t="n">
        <f aca="false">W_PH(AK$2,$A257)</f>
        <v>787.891842556434</v>
      </c>
      <c r="AL257" s="0" t="n">
        <f aca="false">W_PH(AL$2,$A257)</f>
        <v>788.185621576135</v>
      </c>
      <c r="AM257" s="0" t="n">
        <f aca="false">W_PH(AM$2,$A257)</f>
        <v>788.500491704987</v>
      </c>
      <c r="AN257" s="0" t="n">
        <f aca="false">W_PH(AN$2,$A257)</f>
        <v>788.838652790228</v>
      </c>
      <c r="AO257" s="0" t="n">
        <f aca="false">W_PH(AO$2,$A257)</f>
        <v>789.202275424683</v>
      </c>
      <c r="AP257" s="0" t="n">
        <f aca="false">W_PH(AP$2,$A257)</f>
        <v>2015</v>
      </c>
      <c r="AQ257" s="0" t="n">
        <f aca="false">W_PH(AQ$2,$A257)</f>
        <v>2015</v>
      </c>
      <c r="AR257" s="0" t="n">
        <f aca="false">W_PH(AR$2,$A257)</f>
        <v>2015</v>
      </c>
      <c r="AS257" s="0" t="n">
        <f aca="false">W_PH(AS$2,$A257)</f>
        <v>2015</v>
      </c>
    </row>
    <row r="258" customFormat="false" ht="13.8" hidden="false" customHeight="false" outlineLevel="0" collapsed="false">
      <c r="A258" s="0" t="n">
        <v>4180</v>
      </c>
      <c r="B258" s="0" t="n">
        <f aca="false">W_PH(B$2,$A258)</f>
        <v>788.097710997456</v>
      </c>
      <c r="C258" s="0" t="n">
        <f aca="false">W_PH(C$2,$A258)</f>
        <v>788.097733067281</v>
      </c>
      <c r="D258" s="0" t="n">
        <f aca="false">W_PH(D$2,$A258)</f>
        <v>788.09775513721</v>
      </c>
      <c r="E258" s="0" t="n">
        <f aca="false">W_PH(E$2,$A258)</f>
        <v>788.097777207241</v>
      </c>
      <c r="F258" s="0" t="n">
        <f aca="false">W_PH(F$2,$A258)</f>
        <v>788.097799277377</v>
      </c>
      <c r="G258" s="0" t="n">
        <f aca="false">W_PH(G$2,$A258)</f>
        <v>788.098022997864</v>
      </c>
      <c r="H258" s="0" t="n">
        <f aca="false">W_PH(H$2,$A258)</f>
        <v>788.098246728752</v>
      </c>
      <c r="I258" s="0" t="n">
        <f aca="false">W_PH(I$2,$A258)</f>
        <v>788.098470470044</v>
      </c>
      <c r="J258" s="0" t="n">
        <f aca="false">W_PH(J$2,$A258)</f>
        <v>788.098695728504</v>
      </c>
      <c r="K258" s="0" t="n">
        <f aca="false">W_PH(K$2,$A258)</f>
        <v>788.098920997399</v>
      </c>
      <c r="L258" s="0" t="n">
        <f aca="false">W_PH(L$2,$A258)</f>
        <v>788.099144769944</v>
      </c>
      <c r="M258" s="0" t="n">
        <f aca="false">W_PH(M$2,$A258)</f>
        <v>788.099368552902</v>
      </c>
      <c r="N258" s="0" t="n">
        <f aca="false">W_PH(N$2,$A258)</f>
        <v>788.099592346276</v>
      </c>
      <c r="O258" s="0" t="n">
        <f aca="false">W_PH(O$2,$A258)</f>
        <v>788.09981615007</v>
      </c>
      <c r="P258" s="0" t="n">
        <f aca="false">W_PH(P$2,$A258)</f>
        <v>788.102057775561</v>
      </c>
      <c r="Q258" s="0" t="n">
        <f aca="false">W_PH(Q$2,$A258)</f>
        <v>788.104300446369</v>
      </c>
      <c r="R258" s="0" t="n">
        <f aca="false">W_PH(R$2,$A258)</f>
        <v>788.106544165106</v>
      </c>
      <c r="S258" s="0" t="n">
        <f aca="false">W_PH(S$2,$A258)</f>
        <v>788.108788934381</v>
      </c>
      <c r="T258" s="0" t="n">
        <f aca="false">W_PH(T$2,$A258)</f>
        <v>788.111034756803</v>
      </c>
      <c r="U258" s="0" t="n">
        <f aca="false">W_PH(U$2,$A258)</f>
        <v>788.113278619718</v>
      </c>
      <c r="V258" s="0" t="n">
        <f aca="false">W_PH(V$2,$A258)</f>
        <v>788.115526555993</v>
      </c>
      <c r="W258" s="0" t="n">
        <f aca="false">W_PH(W$2,$A258)</f>
        <v>788.117772537444</v>
      </c>
      <c r="X258" s="0" t="n">
        <f aca="false">W_PH(X$2,$A258)</f>
        <v>788.120019581941</v>
      </c>
      <c r="Y258" s="0" t="n">
        <f aca="false">W_PH(Y$2,$A258)</f>
        <v>788.142540011651</v>
      </c>
      <c r="Z258" s="0" t="n">
        <f aca="false">W_PH(Z$2,$A258)</f>
        <v>788.165133338709</v>
      </c>
      <c r="AA258" s="0" t="n">
        <f aca="false">W_PH(AA$2,$A258)</f>
        <v>788.187808116586</v>
      </c>
      <c r="AB258" s="0" t="n">
        <f aca="false">W_PH(AB$2,$A258)</f>
        <v>788.210560809382</v>
      </c>
      <c r="AC258" s="0" t="n">
        <f aca="false">W_PH(AC$2,$A258)</f>
        <v>788.233399973764</v>
      </c>
      <c r="AD258" s="0" t="n">
        <f aca="false">W_PH(AD$2,$A258)</f>
        <v>788.256322055719</v>
      </c>
      <c r="AE258" s="0" t="n">
        <f aca="false">W_PH(AE$2,$A258)</f>
        <v>788.279332580425</v>
      </c>
      <c r="AF258" s="0" t="n">
        <f aca="false">W_PH(AF$2,$A258)</f>
        <v>788.302434042633</v>
      </c>
      <c r="AG258" s="0" t="n">
        <f aca="false">W_PH(AG$2,$A258)</f>
        <v>788.325628933426</v>
      </c>
      <c r="AH258" s="0" t="n">
        <f aca="false">W_PH(AH$2,$A258)</f>
        <v>788.563185197706</v>
      </c>
      <c r="AI258" s="0" t="n">
        <f aca="false">W_PH(AI$2,$A258)</f>
        <v>788.812564620823</v>
      </c>
      <c r="AJ258" s="0" t="n">
        <f aca="false">W_PH(AJ$2,$A258)</f>
        <v>789.076063480783</v>
      </c>
      <c r="AK258" s="0" t="n">
        <f aca="false">W_PH(AK$2,$A258)</f>
        <v>789.355947112862</v>
      </c>
      <c r="AL258" s="0" t="n">
        <f aca="false">W_PH(AL$2,$A258)</f>
        <v>789.654442557639</v>
      </c>
      <c r="AM258" s="0" t="n">
        <f aca="false">W_PH(AM$2,$A258)</f>
        <v>789.973762766944</v>
      </c>
      <c r="AN258" s="0" t="n">
        <f aca="false">W_PH(AN$2,$A258)</f>
        <v>790.316090076981</v>
      </c>
      <c r="AO258" s="0" t="n">
        <f aca="false">W_PH(AO$2,$A258)</f>
        <v>790.683584786706</v>
      </c>
      <c r="AP258" s="0" t="n">
        <f aca="false">W_PH(AP$2,$A258)</f>
        <v>2015</v>
      </c>
      <c r="AQ258" s="0" t="n">
        <f aca="false">W_PH(AQ$2,$A258)</f>
        <v>2015</v>
      </c>
      <c r="AR258" s="0" t="n">
        <f aca="false">W_PH(AR$2,$A258)</f>
        <v>2015</v>
      </c>
      <c r="AS258" s="0" t="n">
        <f aca="false">W_PH(AS$2,$A258)</f>
        <v>2015</v>
      </c>
    </row>
    <row r="259" customFormat="false" ht="13.8" hidden="false" customHeight="false" outlineLevel="0" collapsed="false">
      <c r="A259" s="0" t="n">
        <v>4190</v>
      </c>
      <c r="B259" s="0" t="n">
        <f aca="false">W_PH(B$2,$A259)</f>
        <v>789.52979274461</v>
      </c>
      <c r="C259" s="0" t="n">
        <f aca="false">W_PH(C$2,$A259)</f>
        <v>789.529816077696</v>
      </c>
      <c r="D259" s="0" t="n">
        <f aca="false">W_PH(D$2,$A259)</f>
        <v>789.529839410883</v>
      </c>
      <c r="E259" s="0" t="n">
        <f aca="false">W_PH(E$2,$A259)</f>
        <v>789.529862744174</v>
      </c>
      <c r="F259" s="0" t="n">
        <f aca="false">W_PH(F$2,$A259)</f>
        <v>789.529886077567</v>
      </c>
      <c r="G259" s="0" t="n">
        <f aca="false">W_PH(G$2,$A259)</f>
        <v>789.530113404089</v>
      </c>
      <c r="H259" s="0" t="n">
        <f aca="false">W_PH(H$2,$A259)</f>
        <v>789.530343747309</v>
      </c>
      <c r="I259" s="0" t="n">
        <f aca="false">W_PH(I$2,$A259)</f>
        <v>789.530574100734</v>
      </c>
      <c r="J259" s="0" t="n">
        <f aca="false">W_PH(J$2,$A259)</f>
        <v>789.530804464365</v>
      </c>
      <c r="K259" s="0" t="n">
        <f aca="false">W_PH(K$2,$A259)</f>
        <v>789.531034838206</v>
      </c>
      <c r="L259" s="0" t="n">
        <f aca="false">W_PH(L$2,$A259)</f>
        <v>789.531265222259</v>
      </c>
      <c r="M259" s="0" t="n">
        <f aca="false">W_PH(M$2,$A259)</f>
        <v>789.531492609845</v>
      </c>
      <c r="N259" s="0" t="n">
        <f aca="false">W_PH(N$2,$A259)</f>
        <v>789.531723014304</v>
      </c>
      <c r="O259" s="0" t="n">
        <f aca="false">W_PH(O$2,$A259)</f>
        <v>789.531953428982</v>
      </c>
      <c r="P259" s="0" t="n">
        <f aca="false">W_PH(P$2,$A259)</f>
        <v>789.534252124427</v>
      </c>
      <c r="Q259" s="0" t="n">
        <f aca="false">W_PH(Q$2,$A259)</f>
        <v>789.5365548509</v>
      </c>
      <c r="R259" s="0" t="n">
        <f aca="false">W_PH(R$2,$A259)</f>
        <v>789.538855596727</v>
      </c>
      <c r="S259" s="0" t="n">
        <f aca="false">W_PH(S$2,$A259)</f>
        <v>789.541157371487</v>
      </c>
      <c r="T259" s="0" t="n">
        <f aca="false">W_PH(T$2,$A259)</f>
        <v>789.543460177763</v>
      </c>
      <c r="U259" s="0" t="n">
        <f aca="false">W_PH(U$2,$A259)</f>
        <v>789.54576251398</v>
      </c>
      <c r="V259" s="0" t="n">
        <f aca="false">W_PH(V$2,$A259)</f>
        <v>789.548065886614</v>
      </c>
      <c r="W259" s="0" t="n">
        <f aca="false">W_PH(W$2,$A259)</f>
        <v>789.550371802667</v>
      </c>
      <c r="X259" s="0" t="n">
        <f aca="false">W_PH(X$2,$A259)</f>
        <v>789.552675751457</v>
      </c>
      <c r="Y259" s="0" t="n">
        <f aca="false">W_PH(Y$2,$A259)</f>
        <v>789.575770067546</v>
      </c>
      <c r="Z259" s="0" t="n">
        <f aca="false">W_PH(Z$2,$A259)</f>
        <v>789.59893818825</v>
      </c>
      <c r="AA259" s="0" t="n">
        <f aca="false">W_PH(AA$2,$A259)</f>
        <v>789.622185618649</v>
      </c>
      <c r="AB259" s="0" t="n">
        <f aca="false">W_PH(AB$2,$A259)</f>
        <v>789.645508811818</v>
      </c>
      <c r="AC259" s="0" t="n">
        <f aca="false">W_PH(AC$2,$A259)</f>
        <v>789.668916285197</v>
      </c>
      <c r="AD259" s="0" t="n">
        <f aca="false">W_PH(AD$2,$A259)</f>
        <v>789.692407498997</v>
      </c>
      <c r="AE259" s="0" t="n">
        <f aca="false">W_PH(AE$2,$A259)</f>
        <v>789.715984926835</v>
      </c>
      <c r="AF259" s="0" t="n">
        <f aca="false">W_PH(AF$2,$A259)</f>
        <v>789.739651038749</v>
      </c>
      <c r="AG259" s="0" t="n">
        <f aca="false">W_PH(AG$2,$A259)</f>
        <v>789.763405268487</v>
      </c>
      <c r="AH259" s="0" t="n">
        <f aca="false">W_PH(AH$2,$A259)</f>
        <v>790.00648537429</v>
      </c>
      <c r="AI259" s="0" t="n">
        <f aca="false">W_PH(AI$2,$A259)</f>
        <v>790.261200461763</v>
      </c>
      <c r="AJ259" s="0" t="n">
        <f aca="false">W_PH(AJ$2,$A259)</f>
        <v>790.52982281542</v>
      </c>
      <c r="AK259" s="0" t="n">
        <f aca="false">W_PH(AK$2,$A259)</f>
        <v>790.814600901738</v>
      </c>
      <c r="AL259" s="0" t="n">
        <f aca="false">W_PH(AL$2,$A259)</f>
        <v>791.117749069859</v>
      </c>
      <c r="AM259" s="0" t="n">
        <f aca="false">W_PH(AM$2,$A259)</f>
        <v>791.441459012965</v>
      </c>
      <c r="AN259" s="0" t="n">
        <f aca="false">W_PH(AN$2,$A259)</f>
        <v>791.787895694073</v>
      </c>
      <c r="AO259" s="0" t="n">
        <f aca="false">W_PH(AO$2,$A259)</f>
        <v>792.159209194034</v>
      </c>
      <c r="AP259" s="0" t="n">
        <f aca="false">W_PH(AP$2,$A259)</f>
        <v>2015</v>
      </c>
      <c r="AQ259" s="0" t="n">
        <f aca="false">W_PH(AQ$2,$A259)</f>
        <v>2015</v>
      </c>
      <c r="AR259" s="0" t="n">
        <f aca="false">W_PH(AR$2,$A259)</f>
        <v>2015</v>
      </c>
      <c r="AS259" s="0" t="n">
        <f aca="false">W_PH(AS$2,$A259)</f>
        <v>2015</v>
      </c>
    </row>
    <row r="260" customFormat="false" ht="13.8" hidden="false" customHeight="false" outlineLevel="0" collapsed="false">
      <c r="A260" s="0" t="n">
        <v>4200</v>
      </c>
      <c r="B260" s="0" t="n">
        <f aca="false">W_PH(B$2,$A260)</f>
        <v>790.956879132361</v>
      </c>
      <c r="C260" s="0" t="n">
        <f aca="false">W_PH(C$2,$A260)</f>
        <v>790.956900707496</v>
      </c>
      <c r="D260" s="0" t="n">
        <f aca="false">W_PH(D$2,$A260)</f>
        <v>790.956925282374</v>
      </c>
      <c r="E260" s="0" t="n">
        <f aca="false">W_PH(E$2,$A260)</f>
        <v>790.956949857353</v>
      </c>
      <c r="F260" s="0" t="n">
        <f aca="false">W_PH(F$2,$A260)</f>
        <v>790.956971432782</v>
      </c>
      <c r="G260" s="0" t="n">
        <f aca="false">W_PH(G$2,$A260)</f>
        <v>790.95720819012</v>
      </c>
      <c r="H260" s="0" t="n">
        <f aca="false">W_PH(H$2,$A260)</f>
        <v>790.95744195776</v>
      </c>
      <c r="I260" s="0" t="n">
        <f aca="false">W_PH(I$2,$A260)</f>
        <v>790.957678735086</v>
      </c>
      <c r="J260" s="0" t="n">
        <f aca="false">W_PH(J$2,$A260)</f>
        <v>790.957915522422</v>
      </c>
      <c r="K260" s="0" t="n">
        <f aca="false">W_PH(K$2,$A260)</f>
        <v>790.958149319989</v>
      </c>
      <c r="L260" s="0" t="n">
        <f aca="false">W_PH(L$2,$A260)</f>
        <v>790.958386127329</v>
      </c>
      <c r="M260" s="0" t="n">
        <f aca="false">W_PH(M$2,$A260)</f>
        <v>790.958619944852</v>
      </c>
      <c r="N260" s="0" t="n">
        <f aca="false">W_PH(N$2,$A260)</f>
        <v>790.958856772204</v>
      </c>
      <c r="O260" s="0" t="n">
        <f aca="false">W_PH(O$2,$A260)</f>
        <v>790.95909360958</v>
      </c>
      <c r="P260" s="0" t="n">
        <f aca="false">W_PH(P$2,$A260)</f>
        <v>790.961447534457</v>
      </c>
      <c r="Q260" s="0" t="n">
        <f aca="false">W_PH(Q$2,$A260)</f>
        <v>790.963805462293</v>
      </c>
      <c r="R260" s="0" t="n">
        <f aca="false">W_PH(R$2,$A260)</f>
        <v>790.966164395759</v>
      </c>
      <c r="S260" s="0" t="n">
        <f aca="false">W_PH(S$2,$A260)</f>
        <v>790.968521336487</v>
      </c>
      <c r="T260" s="0" t="n">
        <f aca="false">W_PH(T$2,$A260)</f>
        <v>790.970882288622</v>
      </c>
      <c r="U260" s="0" t="n">
        <f aca="false">W_PH(U$2,$A260)</f>
        <v>790.973241252612</v>
      </c>
      <c r="V260" s="0" t="n">
        <f aca="false">W_PH(V$2,$A260)</f>
        <v>790.97560273279</v>
      </c>
      <c r="W260" s="0" t="n">
        <f aca="false">W_PH(W$2,$A260)</f>
        <v>790.977965231116</v>
      </c>
      <c r="X260" s="0" t="n">
        <f aca="false">W_PH(X$2,$A260)</f>
        <v>790.980327249036</v>
      </c>
      <c r="Y260" s="0" t="n">
        <f aca="false">W_PH(Y$2,$A260)</f>
        <v>791.003986085605</v>
      </c>
      <c r="Z260" s="0" t="n">
        <f aca="false">W_PH(Z$2,$A260)</f>
        <v>791.027719669028</v>
      </c>
      <c r="AA260" s="0" t="n">
        <f aca="false">W_PH(AA$2,$A260)</f>
        <v>791.051530470373</v>
      </c>
      <c r="AB260" s="0" t="n">
        <f aca="false">W_PH(AB$2,$A260)</f>
        <v>791.075414931988</v>
      </c>
      <c r="AC260" s="0" t="n">
        <f aca="false">W_PH(AC$2,$A260)</f>
        <v>791.099383040285</v>
      </c>
      <c r="AD260" s="0" t="n">
        <f aca="false">W_PH(AD$2,$A260)</f>
        <v>791.123432732997</v>
      </c>
      <c r="AE260" s="0" t="n">
        <f aca="false">W_PH(AE$2,$A260)</f>
        <v>791.147564949195</v>
      </c>
      <c r="AF260" s="0" t="n">
        <f aca="false">W_PH(AF$2,$A260)</f>
        <v>791.171786665161</v>
      </c>
      <c r="AG260" s="0" t="n">
        <f aca="false">W_PH(AG$2,$A260)</f>
        <v>791.196097305444</v>
      </c>
      <c r="AH260" s="0" t="n">
        <f aca="false">W_PH(AH$2,$A260)</f>
        <v>791.444620256115</v>
      </c>
      <c r="AI260" s="0" t="n">
        <f aca="false">W_PH(AI$2,$A260)</f>
        <v>791.704586156569</v>
      </c>
      <c r="AJ260" s="0" t="n">
        <f aca="false">W_PH(AJ$2,$A260)</f>
        <v>791.978258919506</v>
      </c>
      <c r="AK260" s="0" t="n">
        <f aca="false">W_PH(AK$2,$A260)</f>
        <v>792.26786118979</v>
      </c>
      <c r="AL260" s="0" t="n">
        <f aca="false">W_PH(AL$2,$A260)</f>
        <v>792.575594776447</v>
      </c>
      <c r="AM260" s="0" t="n">
        <f aca="false">W_PH(AM$2,$A260)</f>
        <v>792.903633465843</v>
      </c>
      <c r="AN260" s="0" t="n">
        <f aca="false">W_PH(AN$2,$A260)</f>
        <v>793.254128253308</v>
      </c>
      <c r="AO260" s="0" t="n">
        <f aca="false">W_PH(AO$2,$A260)</f>
        <v>793.629212774168</v>
      </c>
      <c r="AP260" s="0" t="n">
        <f aca="false">W_PH(AP$2,$A260)</f>
        <v>2015</v>
      </c>
      <c r="AQ260" s="0" t="n">
        <f aca="false">W_PH(AQ$2,$A260)</f>
        <v>2015</v>
      </c>
      <c r="AR260" s="0" t="n">
        <f aca="false">W_PH(AR$2,$A260)</f>
        <v>2015</v>
      </c>
      <c r="AS260" s="0" t="n">
        <f aca="false">W_PH(AS$2,$A260)</f>
        <v>2015</v>
      </c>
    </row>
    <row r="261" customFormat="false" ht="13.8" hidden="false" customHeight="false" outlineLevel="0" collapsed="false">
      <c r="A261" s="0" t="n">
        <v>4210</v>
      </c>
      <c r="B261" s="0" t="n">
        <f aca="false">W_PH(B$2,$A261)</f>
        <v>792.379014222274</v>
      </c>
      <c r="C261" s="0" t="n">
        <f aca="false">W_PH(C$2,$A261)</f>
        <v>792.379037024747</v>
      </c>
      <c r="D261" s="0" t="n">
        <f aca="false">W_PH(D$2,$A261)</f>
        <v>792.379062820194</v>
      </c>
      <c r="E261" s="0" t="n">
        <f aca="false">W_PH(E$2,$A261)</f>
        <v>792.379085622861</v>
      </c>
      <c r="F261" s="0" t="n">
        <f aca="false">W_PH(F$2,$A261)</f>
        <v>792.379109922065</v>
      </c>
      <c r="G261" s="0" t="n">
        <f aca="false">W_PH(G$2,$A261)</f>
        <v>792.379351423047</v>
      </c>
      <c r="H261" s="0" t="n">
        <f aca="false">W_PH(H$2,$A261)</f>
        <v>792.379591437348</v>
      </c>
      <c r="I261" s="0" t="n">
        <f aca="false">W_PH(I$2,$A261)</f>
        <v>792.379834454374</v>
      </c>
      <c r="J261" s="0" t="n">
        <f aca="false">W_PH(J$2,$A261)</f>
        <v>792.38007448823</v>
      </c>
      <c r="K261" s="0" t="n">
        <f aca="false">W_PH(K$2,$A261)</f>
        <v>792.380314531855</v>
      </c>
      <c r="L261" s="0" t="n">
        <f aca="false">W_PH(L$2,$A261)</f>
        <v>792.380557578288</v>
      </c>
      <c r="M261" s="0" t="n">
        <f aca="false">W_PH(M$2,$A261)</f>
        <v>792.380797641483</v>
      </c>
      <c r="N261" s="0" t="n">
        <f aca="false">W_PH(N$2,$A261)</f>
        <v>792.381040707543</v>
      </c>
      <c r="O261" s="0" t="n">
        <f aca="false">W_PH(O$2,$A261)</f>
        <v>792.381280790319</v>
      </c>
      <c r="P261" s="0" t="n">
        <f aca="false">W_PH(P$2,$A261)</f>
        <v>792.383694129937</v>
      </c>
      <c r="Q261" s="0" t="n">
        <f aca="false">W_PH(Q$2,$A261)</f>
        <v>792.386105458629</v>
      </c>
      <c r="R261" s="0" t="n">
        <f aca="false">W_PH(R$2,$A261)</f>
        <v>792.388520765919</v>
      </c>
      <c r="S261" s="0" t="n">
        <f aca="false">W_PH(S$2,$A261)</f>
        <v>792.390934066832</v>
      </c>
      <c r="T261" s="0" t="n">
        <f aca="false">W_PH(T$2,$A261)</f>
        <v>792.393351351918</v>
      </c>
      <c r="U261" s="0" t="n">
        <f aca="false">W_PH(U$2,$A261)</f>
        <v>792.395766635174</v>
      </c>
      <c r="V261" s="0" t="n">
        <f aca="false">W_PH(V$2,$A261)</f>
        <v>792.39818291327</v>
      </c>
      <c r="W261" s="0" t="n">
        <f aca="false">W_PH(W$2,$A261)</f>
        <v>792.400600188734</v>
      </c>
      <c r="X261" s="0" t="n">
        <f aca="false">W_PH(X$2,$A261)</f>
        <v>792.403018464094</v>
      </c>
      <c r="Y261" s="0" t="n">
        <f aca="false">W_PH(Y$2,$A261)</f>
        <v>792.42723578237</v>
      </c>
      <c r="Z261" s="0" t="n">
        <f aca="false">W_PH(Z$2,$A261)</f>
        <v>792.451525828612</v>
      </c>
      <c r="AA261" s="0" t="n">
        <f aca="false">W_PH(AA$2,$A261)</f>
        <v>792.475888046345</v>
      </c>
      <c r="AB261" s="0" t="n">
        <f aca="false">W_PH(AB$2,$A261)</f>
        <v>792.50032937953</v>
      </c>
      <c r="AC261" s="0" t="n">
        <f aca="false">W_PH(AC$2,$A261)</f>
        <v>792.524847759467</v>
      </c>
      <c r="AD261" s="0" t="n">
        <f aca="false">W_PH(AD$2,$A261)</f>
        <v>792.549447120207</v>
      </c>
      <c r="AE261" s="0" t="n">
        <f aca="false">W_PH(AE$2,$A261)</f>
        <v>792.574128384235</v>
      </c>
      <c r="AF261" s="0" t="n">
        <f aca="false">W_PH(AF$2,$A261)</f>
        <v>792.59889698929</v>
      </c>
      <c r="AG261" s="0" t="n">
        <f aca="false">W_PH(AG$2,$A261)</f>
        <v>792.623752343206</v>
      </c>
      <c r="AH261" s="0" t="n">
        <f aca="false">W_PH(AH$2,$A261)</f>
        <v>792.877634172351</v>
      </c>
      <c r="AI261" s="0" t="n">
        <f aca="false">W_PH(AI$2,$A261)</f>
        <v>793.142778266067</v>
      </c>
      <c r="AJ261" s="0" t="n">
        <f aca="false">W_PH(AJ$2,$A261)</f>
        <v>793.421425101786</v>
      </c>
      <c r="AK261" s="0" t="n">
        <f aca="false">W_PH(AK$2,$A261)</f>
        <v>793.71578406785</v>
      </c>
      <c r="AL261" s="0" t="n">
        <f aca="false">W_PH(AL$2,$A261)</f>
        <v>794.028038443665</v>
      </c>
      <c r="AM261" s="0" t="n">
        <f aca="false">W_PH(AM$2,$A261)</f>
        <v>794.360347429101</v>
      </c>
      <c r="AN261" s="0" t="n">
        <f aca="false">W_PH(AN$2,$A261)</f>
        <v>794.714845047495</v>
      </c>
      <c r="AO261" s="0" t="n">
        <f aca="false">W_PH(AO$2,$A261)</f>
        <v>795.093648600499</v>
      </c>
      <c r="AP261" s="0" t="n">
        <f aca="false">W_PH(AP$2,$A261)</f>
        <v>2015</v>
      </c>
      <c r="AQ261" s="0" t="n">
        <f aca="false">W_PH(AQ$2,$A261)</f>
        <v>2015</v>
      </c>
      <c r="AR261" s="0" t="n">
        <f aca="false">W_PH(AR$2,$A261)</f>
        <v>2015</v>
      </c>
      <c r="AS261" s="0" t="n">
        <f aca="false">W_PH(AS$2,$A261)</f>
        <v>2015</v>
      </c>
    </row>
    <row r="262" customFormat="false" ht="13.8" hidden="false" customHeight="false" outlineLevel="0" collapsed="false">
      <c r="A262" s="0" t="n">
        <v>4220</v>
      </c>
      <c r="B262" s="0" t="n">
        <f aca="false">W_PH(B$2,$A262)</f>
        <v>793.796247279356</v>
      </c>
      <c r="C262" s="0" t="n">
        <f aca="false">W_PH(C$2,$A262)</f>
        <v>793.796271288407</v>
      </c>
      <c r="D262" s="0" t="n">
        <f aca="false">W_PH(D$2,$A262)</f>
        <v>793.796298283736</v>
      </c>
      <c r="E262" s="0" t="n">
        <f aca="false">W_PH(E$2,$A262)</f>
        <v>793.79632229298</v>
      </c>
      <c r="F262" s="0" t="n">
        <f aca="false">W_PH(F$2,$A262)</f>
        <v>793.796346302318</v>
      </c>
      <c r="G262" s="0" t="n">
        <f aca="false">W_PH(G$2,$A262)</f>
        <v>793.796592373332</v>
      </c>
      <c r="H262" s="0" t="n">
        <f aca="false">W_PH(H$2,$A262)</f>
        <v>793.796838453917</v>
      </c>
      <c r="I262" s="0" t="n">
        <f aca="false">W_PH(I$2,$A262)</f>
        <v>793.797087530341</v>
      </c>
      <c r="J262" s="0" t="n">
        <f aca="false">W_PH(J$2,$A262)</f>
        <v>793.797333630101</v>
      </c>
      <c r="K262" s="0" t="n">
        <f aca="false">W_PH(K$2,$A262)</f>
        <v>793.797579739441</v>
      </c>
      <c r="L262" s="0" t="n">
        <f aca="false">W_PH(L$2,$A262)</f>
        <v>793.797825858361</v>
      </c>
      <c r="M262" s="0" t="n">
        <f aca="false">W_PH(M$2,$A262)</f>
        <v>793.798071986866</v>
      </c>
      <c r="N262" s="0" t="n">
        <f aca="false">W_PH(N$2,$A262)</f>
        <v>793.798321111347</v>
      </c>
      <c r="O262" s="0" t="n">
        <f aca="false">W_PH(O$2,$A262)</f>
        <v>793.798567259052</v>
      </c>
      <c r="P262" s="0" t="n">
        <f aca="false">W_PH(P$2,$A262)</f>
        <v>793.801035237366</v>
      </c>
      <c r="Q262" s="0" t="n">
        <f aca="false">W_PH(Q$2,$A262)</f>
        <v>793.803501191401</v>
      </c>
      <c r="R262" s="0" t="n">
        <f aca="false">W_PH(R$2,$A262)</f>
        <v>793.805971097251</v>
      </c>
      <c r="S262" s="0" t="n">
        <f aca="false">W_PH(S$2,$A262)</f>
        <v>793.808441970752</v>
      </c>
      <c r="T262" s="0" t="n">
        <f aca="false">W_PH(T$2,$A262)</f>
        <v>793.810910826735</v>
      </c>
      <c r="U262" s="0" t="n">
        <f aca="false">W_PH(U$2,$A262)</f>
        <v>793.813383642804</v>
      </c>
      <c r="V262" s="0" t="n">
        <f aca="false">W_PH(V$2,$A262)</f>
        <v>793.815854445858</v>
      </c>
      <c r="W262" s="0" t="n">
        <f aca="false">W_PH(W$2,$A262)</f>
        <v>793.818326226079</v>
      </c>
      <c r="X262" s="0" t="n">
        <f aca="false">W_PH(X$2,$A262)</f>
        <v>793.82079898597</v>
      </c>
      <c r="Y262" s="0" t="n">
        <f aca="false">W_PH(Y$2,$A262)</f>
        <v>793.84556606128</v>
      </c>
      <c r="Z262" s="0" t="n">
        <f aca="false">W_PH(Z$2,$A262)</f>
        <v>793.870403892735</v>
      </c>
      <c r="AA262" s="0" t="n">
        <f aca="false">W_PH(AA$2,$A262)</f>
        <v>793.895314902912</v>
      </c>
      <c r="AB262" s="0" t="n">
        <f aca="false">W_PH(AB$2,$A262)</f>
        <v>793.920298512297</v>
      </c>
      <c r="AC262" s="0" t="n">
        <f aca="false">W_PH(AC$2,$A262)</f>
        <v>793.945360130527</v>
      </c>
      <c r="AD262" s="0" t="n">
        <f aca="false">W_PH(AD$2,$A262)</f>
        <v>793.970502170199</v>
      </c>
      <c r="AE262" s="0" t="n">
        <f aca="false">W_PH(AE$2,$A262)</f>
        <v>793.995724034331</v>
      </c>
      <c r="AF262" s="0" t="n">
        <f aca="false">W_PH(AF$2,$A262)</f>
        <v>794.021031130201</v>
      </c>
      <c r="AG262" s="0" t="n">
        <f aca="false">W_PH(AG$2,$A262)</f>
        <v>794.046422849259</v>
      </c>
      <c r="AH262" s="0" t="n">
        <f aca="false">W_PH(AH$2,$A262)</f>
        <v>794.305582718844</v>
      </c>
      <c r="AI262" s="0" t="n">
        <f aca="false">W_PH(AI$2,$A262)</f>
        <v>794.575826177187</v>
      </c>
      <c r="AJ262" s="0" t="n">
        <f aca="false">W_PH(AJ$2,$A262)</f>
        <v>794.859376687378</v>
      </c>
      <c r="AK262" s="0" t="n">
        <f aca="false">W_PH(AK$2,$A262)</f>
        <v>795.158424481047</v>
      </c>
      <c r="AL262" s="0" t="n">
        <f aca="false">W_PH(AL$2,$A262)</f>
        <v>795.475137617302</v>
      </c>
      <c r="AM262" s="0" t="n">
        <f aca="false">W_PH(AM$2,$A262)</f>
        <v>795.811657758488</v>
      </c>
      <c r="AN262" s="0" t="n">
        <f aca="false">W_PH(AN$2,$A262)</f>
        <v>796.170103675034</v>
      </c>
      <c r="AO262" s="0" t="n">
        <f aca="false">W_PH(AO$2,$A262)</f>
        <v>796.552578080073</v>
      </c>
      <c r="AP262" s="0" t="n">
        <f aca="false">W_PH(AP$2,$A262)</f>
        <v>2015</v>
      </c>
      <c r="AQ262" s="0" t="n">
        <f aca="false">W_PH(AQ$2,$A262)</f>
        <v>2015</v>
      </c>
      <c r="AR262" s="0" t="n">
        <f aca="false">W_PH(AR$2,$A262)</f>
        <v>2015</v>
      </c>
      <c r="AS262" s="0" t="n">
        <f aca="false">W_PH(AS$2,$A262)</f>
        <v>2015</v>
      </c>
    </row>
    <row r="263" customFormat="false" ht="13.8" hidden="false" customHeight="false" outlineLevel="0" collapsed="false">
      <c r="A263" s="0" t="n">
        <v>4230</v>
      </c>
      <c r="B263" s="0" t="n">
        <f aca="false">W_PH(B$2,$A263)</f>
        <v>795.208626763499</v>
      </c>
      <c r="C263" s="0" t="n">
        <f aca="false">W_PH(C$2,$A263)</f>
        <v>795.208651958795</v>
      </c>
      <c r="D263" s="0" t="n">
        <f aca="false">W_PH(D$2,$A263)</f>
        <v>795.208677154185</v>
      </c>
      <c r="E263" s="0" t="n">
        <f aca="false">W_PH(E$2,$A263)</f>
        <v>795.208702349669</v>
      </c>
      <c r="F263" s="0" t="n">
        <f aca="false">W_PH(F$2,$A263)</f>
        <v>795.208727545246</v>
      </c>
      <c r="G263" s="0" t="n">
        <f aca="false">W_PH(G$2,$A263)</f>
        <v>795.208979506182</v>
      </c>
      <c r="H263" s="0" t="n">
        <f aca="false">W_PH(H$2,$A263)</f>
        <v>795.209231476501</v>
      </c>
      <c r="I263" s="0" t="n">
        <f aca="false">W_PH(I$2,$A263)</f>
        <v>795.209484946029</v>
      </c>
      <c r="J263" s="0" t="n">
        <f aca="false">W_PH(J$2,$A263)</f>
        <v>795.20973842497</v>
      </c>
      <c r="K263" s="0" t="n">
        <f aca="false">W_PH(K$2,$A263)</f>
        <v>795.209990423483</v>
      </c>
      <c r="L263" s="0" t="n">
        <f aca="false">W_PH(L$2,$A263)</f>
        <v>795.21024243139</v>
      </c>
      <c r="M263" s="0" t="n">
        <f aca="false">W_PH(M$2,$A263)</f>
        <v>795.210494448693</v>
      </c>
      <c r="N263" s="0" t="n">
        <f aca="false">W_PH(N$2,$A263)</f>
        <v>795.210746475396</v>
      </c>
      <c r="O263" s="0" t="n">
        <f aca="false">W_PH(O$2,$A263)</f>
        <v>795.2109985115</v>
      </c>
      <c r="P263" s="0" t="n">
        <f aca="false">W_PH(P$2,$A263)</f>
        <v>795.213519390183</v>
      </c>
      <c r="Q263" s="0" t="n">
        <f aca="false">W_PH(Q$2,$A263)</f>
        <v>795.216041211764</v>
      </c>
      <c r="R263" s="0" t="n">
        <f aca="false">W_PH(R$2,$A263)</f>
        <v>795.218563978725</v>
      </c>
      <c r="S263" s="0" t="n">
        <f aca="false">W_PH(S$2,$A263)</f>
        <v>795.221087693547</v>
      </c>
      <c r="T263" s="0" t="n">
        <f aca="false">W_PH(T$2,$A263)</f>
        <v>795.223612358708</v>
      </c>
      <c r="U263" s="0" t="n">
        <f aca="false">W_PH(U$2,$A263)</f>
        <v>795.22613797669</v>
      </c>
      <c r="V263" s="0" t="n">
        <f aca="false">W_PH(V$2,$A263)</f>
        <v>795.228664549972</v>
      </c>
      <c r="W263" s="0" t="n">
        <f aca="false">W_PH(W$2,$A263)</f>
        <v>795.231192081033</v>
      </c>
      <c r="X263" s="0" t="n">
        <f aca="false">W_PH(X$2,$A263)</f>
        <v>795.233717590325</v>
      </c>
      <c r="Y263" s="0" t="n">
        <f aca="false">W_PH(Y$2,$A263)</f>
        <v>795.259026015219</v>
      </c>
      <c r="Z263" s="0" t="n">
        <f aca="false">W_PH(Z$2,$A263)</f>
        <v>795.284403270601</v>
      </c>
      <c r="AA263" s="0" t="n">
        <f aca="false">W_PH(AA$2,$A263)</f>
        <v>795.309850260703</v>
      </c>
      <c r="AB263" s="0" t="n">
        <f aca="false">W_PH(AB$2,$A263)</f>
        <v>795.335370873506</v>
      </c>
      <c r="AC263" s="0" t="n">
        <f aca="false">W_PH(AC$2,$A263)</f>
        <v>795.360968998713</v>
      </c>
      <c r="AD263" s="0" t="n">
        <f aca="false">W_PH(AD$2,$A263)</f>
        <v>795.38664253396</v>
      </c>
      <c r="AE263" s="0" t="n">
        <f aca="false">W_PH(AE$2,$A263)</f>
        <v>795.412396857261</v>
      </c>
      <c r="AF263" s="0" t="n">
        <f aca="false">W_PH(AF$2,$A263)</f>
        <v>795.438234351488</v>
      </c>
      <c r="AG263" s="0" t="n">
        <f aca="false">W_PH(AG$2,$A263)</f>
        <v>795.464154392025</v>
      </c>
      <c r="AH263" s="0" t="n">
        <f aca="false">W_PH(AH$2,$A263)</f>
        <v>795.728514458519</v>
      </c>
      <c r="AI263" s="0" t="n">
        <f aca="false">W_PH(AI$2,$A263)</f>
        <v>796.003782891733</v>
      </c>
      <c r="AJ263" s="0" t="n">
        <f aca="false">W_PH(AJ$2,$A263)</f>
        <v>796.292164849972</v>
      </c>
      <c r="AK263" s="0" t="n">
        <f aca="false">W_PH(AK$2,$A263)</f>
        <v>796.595836258073</v>
      </c>
      <c r="AL263" s="0" t="n">
        <f aca="false">W_PH(AL$2,$A263)</f>
        <v>796.916942406842</v>
      </c>
      <c r="AM263" s="0" t="n">
        <f aca="false">W_PH(AM$2,$A263)</f>
        <v>797.257616941728</v>
      </c>
      <c r="AN263" s="0" t="n">
        <f aca="false">W_PH(AN$2,$A263)</f>
        <v>797.619960466367</v>
      </c>
      <c r="AO263" s="0" t="n">
        <f aca="false">W_PH(AO$2,$A263)</f>
        <v>798.006054889614</v>
      </c>
      <c r="AP263" s="0" t="n">
        <f aca="false">W_PH(AP$2,$A263)</f>
        <v>2015</v>
      </c>
      <c r="AQ263" s="0" t="n">
        <f aca="false">W_PH(AQ$2,$A263)</f>
        <v>2015</v>
      </c>
      <c r="AR263" s="0" t="n">
        <f aca="false">W_PH(AR$2,$A263)</f>
        <v>2015</v>
      </c>
      <c r="AS263" s="0" t="n">
        <f aca="false">W_PH(AS$2,$A263)</f>
        <v>2015</v>
      </c>
    </row>
    <row r="264" customFormat="false" ht="13.8" hidden="false" customHeight="false" outlineLevel="0" collapsed="false">
      <c r="A264" s="0" t="n">
        <v>4240</v>
      </c>
      <c r="B264" s="0" t="n">
        <f aca="false">W_PH(B$2,$A264)</f>
        <v>796.616200347291</v>
      </c>
      <c r="C264" s="0" t="n">
        <f aca="false">W_PH(C$2,$A264)</f>
        <v>796.616226708915</v>
      </c>
      <c r="D264" s="0" t="n">
        <f aca="false">W_PH(D$2,$A264)</f>
        <v>796.616253070632</v>
      </c>
      <c r="E264" s="0" t="n">
        <f aca="false">W_PH(E$2,$A264)</f>
        <v>796.616276459427</v>
      </c>
      <c r="F264" s="0" t="n">
        <f aca="false">W_PH(F$2,$A264)</f>
        <v>796.616302821328</v>
      </c>
      <c r="G264" s="0" t="n">
        <f aca="false">W_PH(G$2,$A264)</f>
        <v>796.616560499362</v>
      </c>
      <c r="H264" s="0" t="n">
        <f aca="false">W_PH(H$2,$A264)</f>
        <v>796.616818186597</v>
      </c>
      <c r="I264" s="0" t="n">
        <f aca="false">W_PH(I$2,$A264)</f>
        <v>796.617075883035</v>
      </c>
      <c r="J264" s="0" t="n">
        <f aca="false">W_PH(J$2,$A264)</f>
        <v>796.617333588677</v>
      </c>
      <c r="K264" s="0" t="n">
        <f aca="false">W_PH(K$2,$A264)</f>
        <v>796.617591303528</v>
      </c>
      <c r="L264" s="0" t="n">
        <f aca="false">W_PH(L$2,$A264)</f>
        <v>796.617849027588</v>
      </c>
      <c r="M264" s="0" t="n">
        <f aca="false">W_PH(M$2,$A264)</f>
        <v>796.618106760861</v>
      </c>
      <c r="N264" s="0" t="n">
        <f aca="false">W_PH(N$2,$A264)</f>
        <v>796.618363016743</v>
      </c>
      <c r="O264" s="0" t="n">
        <f aca="false">W_PH(O$2,$A264)</f>
        <v>796.618619281817</v>
      </c>
      <c r="P264" s="0" t="n">
        <f aca="false">W_PH(P$2,$A264)</f>
        <v>796.621195819387</v>
      </c>
      <c r="Q264" s="0" t="n">
        <f aca="false">W_PH(Q$2,$A264)</f>
        <v>796.623771794298</v>
      </c>
      <c r="R264" s="0" t="n">
        <f aca="false">W_PH(R$2,$A264)</f>
        <v>796.626347208638</v>
      </c>
      <c r="S264" s="0" t="n">
        <f aca="false">W_PH(S$2,$A264)</f>
        <v>796.628925038713</v>
      </c>
      <c r="T264" s="0" t="n">
        <f aca="false">W_PH(T$2,$A264)</f>
        <v>796.631503800116</v>
      </c>
      <c r="U264" s="0" t="n">
        <f aca="false">W_PH(U$2,$A264)</f>
        <v>796.634080520594</v>
      </c>
      <c r="V264" s="0" t="n">
        <f aca="false">W_PH(V$2,$A264)</f>
        <v>796.636661151773</v>
      </c>
      <c r="W264" s="0" t="n">
        <f aca="false">W_PH(W$2,$A264)</f>
        <v>796.639239746448</v>
      </c>
      <c r="X264" s="0" t="n">
        <f aca="false">W_PH(X$2,$A264)</f>
        <v>796.641822257221</v>
      </c>
      <c r="Y264" s="0" t="n">
        <f aca="false">W_PH(Y$2,$A264)</f>
        <v>796.667660955234</v>
      </c>
      <c r="Z264" s="0" t="n">
        <f aca="false">W_PH(Z$2,$A264)</f>
        <v>796.693569578789</v>
      </c>
      <c r="AA264" s="0" t="n">
        <f aca="false">W_PH(AA$2,$A264)</f>
        <v>796.719547528209</v>
      </c>
      <c r="AB264" s="0" t="n">
        <f aca="false">W_PH(AB$2,$A264)</f>
        <v>796.745594190884</v>
      </c>
      <c r="AC264" s="0" t="n">
        <f aca="false">W_PH(AC$2,$A264)</f>
        <v>796.771717904281</v>
      </c>
      <c r="AD264" s="0" t="n">
        <f aca="false">W_PH(AD$2,$A264)</f>
        <v>796.797918051962</v>
      </c>
      <c r="AE264" s="0" t="n">
        <f aca="false">W_PH(AE$2,$A264)</f>
        <v>796.824196997148</v>
      </c>
      <c r="AF264" s="0" t="n">
        <f aca="false">W_PH(AF$2,$A264)</f>
        <v>796.850557099957</v>
      </c>
      <c r="AG264" s="0" t="n">
        <f aca="false">W_PH(AG$2,$A264)</f>
        <v>796.876997720015</v>
      </c>
      <c r="AH264" s="0" t="n">
        <f aca="false">W_PH(AH$2,$A264)</f>
        <v>797.146478571214</v>
      </c>
      <c r="AI264" s="0" t="n">
        <f aca="false">W_PH(AI$2,$A264)</f>
        <v>797.426697378773</v>
      </c>
      <c r="AJ264" s="0" t="n">
        <f aca="false">W_PH(AJ$2,$A264)</f>
        <v>797.719842816664</v>
      </c>
      <c r="AK264" s="0" t="n">
        <f aca="false">W_PH(AK$2,$A264)</f>
        <v>798.028069047171</v>
      </c>
      <c r="AL264" s="0" t="n">
        <f aca="false">W_PH(AL$2,$A264)</f>
        <v>798.353511178717</v>
      </c>
      <c r="AM264" s="0" t="n">
        <f aca="false">W_PH(AM$2,$A264)</f>
        <v>798.698282588268</v>
      </c>
      <c r="AN264" s="0" t="n">
        <f aca="false">W_PH(AN$2,$A264)</f>
        <v>799.064467358282</v>
      </c>
      <c r="AO264" s="0" t="n">
        <f aca="false">W_PH(AO$2,$A264)</f>
        <v>799.454141012363</v>
      </c>
      <c r="AP264" s="0" t="n">
        <f aca="false">W_PH(AP$2,$A264)</f>
        <v>2015</v>
      </c>
      <c r="AQ264" s="0" t="n">
        <f aca="false">W_PH(AQ$2,$A264)</f>
        <v>2015</v>
      </c>
      <c r="AR264" s="0" t="n">
        <f aca="false">W_PH(AR$2,$A264)</f>
        <v>2015</v>
      </c>
      <c r="AS264" s="0" t="n">
        <f aca="false">W_PH(AS$2,$A264)</f>
        <v>2015</v>
      </c>
    </row>
    <row r="265" customFormat="false" ht="13.8" hidden="false" customHeight="false" outlineLevel="0" collapsed="false">
      <c r="A265" s="0" t="n">
        <v>4250</v>
      </c>
      <c r="B265" s="0" t="n">
        <f aca="false">W_PH(B$2,$A265)</f>
        <v>798.019011966857</v>
      </c>
      <c r="C265" s="0" t="n">
        <f aca="false">W_PH(C$2,$A265)</f>
        <v>798.019036508766</v>
      </c>
      <c r="D265" s="0" t="n">
        <f aca="false">W_PH(D$2,$A265)</f>
        <v>798.019064017294</v>
      </c>
      <c r="E265" s="0" t="n">
        <f aca="false">W_PH(E$2,$A265)</f>
        <v>798.019091525914</v>
      </c>
      <c r="F265" s="0" t="n">
        <f aca="false">W_PH(F$2,$A265)</f>
        <v>798.01911606809</v>
      </c>
      <c r="G265" s="0" t="n">
        <f aca="false">W_PH(G$2,$A265)</f>
        <v>798.019379294014</v>
      </c>
      <c r="H265" s="0" t="n">
        <f aca="false">W_PH(H$2,$A265)</f>
        <v>798.019642528956</v>
      </c>
      <c r="I265" s="0" t="n">
        <f aca="false">W_PH(I$2,$A265)</f>
        <v>798.01990577292</v>
      </c>
      <c r="J265" s="0" t="n">
        <f aca="false">W_PH(J$2,$A265)</f>
        <v>798.020166059274</v>
      </c>
      <c r="K265" s="0" t="n">
        <f aca="false">W_PH(K$2,$A265)</f>
        <v>798.020429321264</v>
      </c>
      <c r="L265" s="0" t="n">
        <f aca="false">W_PH(L$2,$A265)</f>
        <v>798.020692592282</v>
      </c>
      <c r="M265" s="0" t="n">
        <f aca="false">W_PH(M$2,$A265)</f>
        <v>798.020955872332</v>
      </c>
      <c r="N265" s="0" t="n">
        <f aca="false">W_PH(N$2,$A265)</f>
        <v>798.021219161416</v>
      </c>
      <c r="O265" s="0" t="n">
        <f aca="false">W_PH(O$2,$A265)</f>
        <v>798.021480976158</v>
      </c>
      <c r="P265" s="0" t="n">
        <f aca="false">W_PH(P$2,$A265)</f>
        <v>798.024110004257</v>
      </c>
      <c r="Q265" s="0" t="n">
        <f aca="false">W_PH(Q$2,$A265)</f>
        <v>798.026738454295</v>
      </c>
      <c r="R265" s="0" t="n">
        <f aca="false">W_PH(R$2,$A265)</f>
        <v>798.029367812081</v>
      </c>
      <c r="S265" s="0" t="n">
        <f aca="false">W_PH(S$2,$A265)</f>
        <v>798.031995112327</v>
      </c>
      <c r="T265" s="0" t="n">
        <f aca="false">W_PH(T$2,$A265)</f>
        <v>798.034626292663</v>
      </c>
      <c r="U265" s="0" t="n">
        <f aca="false">W_PH(U$2,$A265)</f>
        <v>798.037258388043</v>
      </c>
      <c r="V265" s="0" t="n">
        <f aca="false">W_PH(V$2,$A265)</f>
        <v>798.039888432452</v>
      </c>
      <c r="W265" s="0" t="n">
        <f aca="false">W_PH(W$2,$A265)</f>
        <v>798.042522364969</v>
      </c>
      <c r="X265" s="0" t="n">
        <f aca="false">W_PH(X$2,$A265)</f>
        <v>798.045154250895</v>
      </c>
      <c r="Y265" s="0" t="n">
        <f aca="false">W_PH(Y$2,$A265)</f>
        <v>798.071518403848</v>
      </c>
      <c r="Z265" s="0" t="n">
        <f aca="false">W_PH(Z$2,$A265)</f>
        <v>798.097950639825</v>
      </c>
      <c r="AA265" s="0" t="n">
        <f aca="false">W_PH(AA$2,$A265)</f>
        <v>798.124447366693</v>
      </c>
      <c r="AB265" s="0" t="n">
        <f aca="false">W_PH(AB$2,$A265)</f>
        <v>798.151016884249</v>
      </c>
      <c r="AC265" s="0" t="n">
        <f aca="false">W_PH(AC$2,$A265)</f>
        <v>798.177658565577</v>
      </c>
      <c r="AD265" s="0" t="n">
        <f aca="false">W_PH(AD$2,$A265)</f>
        <v>798.204377737844</v>
      </c>
      <c r="AE265" s="0" t="n">
        <f aca="false">W_PH(AE$2,$A265)</f>
        <v>798.231170777469</v>
      </c>
      <c r="AF265" s="0" t="n">
        <f aca="false">W_PH(AF$2,$A265)</f>
        <v>798.258045991342</v>
      </c>
      <c r="AG265" s="0" t="n">
        <f aca="false">W_PH(AG$2,$A265)</f>
        <v>798.284999740255</v>
      </c>
      <c r="AH265" s="0" t="n">
        <f aca="false">W_PH(AH$2,$A265)</f>
        <v>798.559526363882</v>
      </c>
      <c r="AI265" s="0" t="n">
        <f aca="false">W_PH(AI$2,$A265)</f>
        <v>798.844623750169</v>
      </c>
      <c r="AJ265" s="0" t="n">
        <f aca="false">W_PH(AJ$2,$A265)</f>
        <v>799.142459731193</v>
      </c>
      <c r="AK265" s="0" t="n">
        <f aca="false">W_PH(AK$2,$A265)</f>
        <v>799.455180721348</v>
      </c>
      <c r="AL265" s="0" t="n">
        <f aca="false">W_PH(AL$2,$A265)</f>
        <v>799.784898029449</v>
      </c>
      <c r="AM265" s="0" t="n">
        <f aca="false">W_PH(AM$2,$A265)</f>
        <v>800.133707984514</v>
      </c>
      <c r="AN265" s="0" t="n">
        <f aca="false">W_PH(AN$2,$A265)</f>
        <v>800.503684573854</v>
      </c>
      <c r="AO265" s="0" t="n">
        <f aca="false">W_PH(AO$2,$A265)</f>
        <v>800.89688760068</v>
      </c>
      <c r="AP265" s="0" t="n">
        <f aca="false">W_PH(AP$2,$A265)</f>
        <v>2015</v>
      </c>
      <c r="AQ265" s="0" t="n">
        <f aca="false">W_PH(AQ$2,$A265)</f>
        <v>2015</v>
      </c>
      <c r="AR265" s="0" t="n">
        <f aca="false">W_PH(AR$2,$A265)</f>
        <v>2015</v>
      </c>
      <c r="AS265" s="0" t="n">
        <f aca="false">W_PH(AS$2,$A265)</f>
        <v>2015</v>
      </c>
    </row>
    <row r="266" customFormat="false" ht="13.8" hidden="false" customHeight="false" outlineLevel="0" collapsed="false">
      <c r="A266" s="0" t="n">
        <v>4260</v>
      </c>
      <c r="B266" s="0" t="n">
        <f aca="false">W_PH(B$2,$A266)</f>
        <v>799.417106311039</v>
      </c>
      <c r="C266" s="0" t="n">
        <f aca="false">W_PH(C$2,$A266)</f>
        <v>799.417133467115</v>
      </c>
      <c r="D266" s="0" t="n">
        <f aca="false">W_PH(D$2,$A266)</f>
        <v>799.417159143219</v>
      </c>
      <c r="E266" s="0" t="n">
        <f aca="false">W_PH(E$2,$A266)</f>
        <v>799.417187779533</v>
      </c>
      <c r="F266" s="0" t="n">
        <f aca="false">W_PH(F$2,$A266)</f>
        <v>799.417213455812</v>
      </c>
      <c r="G266" s="0" t="n">
        <f aca="false">W_PH(G$2,$A266)</f>
        <v>799.417482063959</v>
      </c>
      <c r="H266" s="0" t="n">
        <f aca="false">W_PH(H$2,$A266)</f>
        <v>799.417750680947</v>
      </c>
      <c r="I266" s="0" t="n">
        <f aca="false">W_PH(I$2,$A266)</f>
        <v>799.41801634658</v>
      </c>
      <c r="J266" s="0" t="n">
        <f aca="false">W_PH(J$2,$A266)</f>
        <v>799.418284981232</v>
      </c>
      <c r="K266" s="0" t="n">
        <f aca="false">W_PH(K$2,$A266)</f>
        <v>799.418553624732</v>
      </c>
      <c r="L266" s="0" t="n">
        <f aca="false">W_PH(L$2,$A266)</f>
        <v>799.418822277082</v>
      </c>
      <c r="M266" s="0" t="n">
        <f aca="false">W_PH(M$2,$A266)</f>
        <v>799.419087977993</v>
      </c>
      <c r="N266" s="0" t="n">
        <f aca="false">W_PH(N$2,$A266)</f>
        <v>799.419356648027</v>
      </c>
      <c r="O266" s="0" t="n">
        <f aca="false">W_PH(O$2,$A266)</f>
        <v>799.419625326918</v>
      </c>
      <c r="P266" s="0" t="n">
        <f aca="false">W_PH(P$2,$A266)</f>
        <v>799.422303721789</v>
      </c>
      <c r="Q266" s="0" t="n">
        <f aca="false">W_PH(Q$2,$A266)</f>
        <v>799.424985964441</v>
      </c>
      <c r="R266" s="0" t="n">
        <f aca="false">W_PH(R$2,$A266)</f>
        <v>799.42766613589</v>
      </c>
      <c r="S266" s="0" t="n">
        <f aca="false">W_PH(S$2,$A266)</f>
        <v>799.430347199121</v>
      </c>
      <c r="T266" s="0" t="n">
        <f aca="false">W_PH(T$2,$A266)</f>
        <v>799.433029156543</v>
      </c>
      <c r="U266" s="0" t="n">
        <f aca="false">W_PH(U$2,$A266)</f>
        <v>799.435712010564</v>
      </c>
      <c r="V266" s="0" t="n">
        <f aca="false">W_PH(V$2,$A266)</f>
        <v>799.438395763591</v>
      </c>
      <c r="W266" s="0" t="n">
        <f aca="false">W_PH(W$2,$A266)</f>
        <v>799.441080418031</v>
      </c>
      <c r="X266" s="0" t="n">
        <f aca="false">W_PH(X$2,$A266)</f>
        <v>799.443763013811</v>
      </c>
      <c r="Y266" s="0" t="n">
        <f aca="false">W_PH(Y$2,$A266)</f>
        <v>799.470645114545</v>
      </c>
      <c r="Z266" s="0" t="n">
        <f aca="false">W_PH(Z$2,$A266)</f>
        <v>799.497590532123</v>
      </c>
      <c r="AA266" s="0" t="n">
        <f aca="false">W_PH(AA$2,$A266)</f>
        <v>799.524601597071</v>
      </c>
      <c r="AB266" s="0" t="n">
        <f aca="false">W_PH(AB$2,$A266)</f>
        <v>799.551683608919</v>
      </c>
      <c r="AC266" s="0" t="n">
        <f aca="false">W_PH(AC$2,$A266)</f>
        <v>799.578837412184</v>
      </c>
      <c r="AD266" s="0" t="n">
        <f aca="false">W_PH(AD$2,$A266)</f>
        <v>799.606063843679</v>
      </c>
      <c r="AE266" s="0" t="n">
        <f aca="false">W_PH(AE$2,$A266)</f>
        <v>799.63336671162</v>
      </c>
      <c r="AF266" s="0" t="n">
        <f aca="false">W_PH(AF$2,$A266)</f>
        <v>799.660746844568</v>
      </c>
      <c r="AG266" s="0" t="n">
        <f aca="false">W_PH(AG$2,$A266)</f>
        <v>799.688206555338</v>
      </c>
      <c r="AH266" s="0" t="n">
        <f aca="false">W_PH(AH$2,$A266)</f>
        <v>799.967702233959</v>
      </c>
      <c r="AI266" s="0" t="n">
        <f aca="false">W_PH(AI$2,$A266)</f>
        <v>800.257606055825</v>
      </c>
      <c r="AJ266" s="0" t="n">
        <f aca="false">W_PH(AJ$2,$A266)</f>
        <v>800.560069878545</v>
      </c>
      <c r="AK266" s="0" t="n">
        <f aca="false">W_PH(AK$2,$A266)</f>
        <v>800.877218826101</v>
      </c>
      <c r="AL266" s="0" t="n">
        <f aca="false">W_PH(AL$2,$A266)</f>
        <v>801.211149759473</v>
      </c>
      <c r="AM266" s="0" t="n">
        <f aca="false">W_PH(AM$2,$A266)</f>
        <v>801.563945288774</v>
      </c>
      <c r="AN266" s="0" t="n">
        <f aca="false">W_PH(AN$2,$A266)</f>
        <v>801.93766638144</v>
      </c>
      <c r="AO266" s="0" t="n">
        <f aca="false">W_PH(AO$2,$A266)</f>
        <v>802.334347799923</v>
      </c>
      <c r="AP266" s="0" t="n">
        <f aca="false">W_PH(AP$2,$A266)</f>
        <v>2015</v>
      </c>
      <c r="AQ266" s="0" t="n">
        <f aca="false">W_PH(AQ$2,$A266)</f>
        <v>2015</v>
      </c>
      <c r="AR266" s="0" t="n">
        <f aca="false">W_PH(AR$2,$A266)</f>
        <v>2015</v>
      </c>
      <c r="AS266" s="0" t="n">
        <f aca="false">W_PH(AS$2,$A266)</f>
        <v>2015</v>
      </c>
    </row>
    <row r="267" customFormat="false" ht="13.8" hidden="false" customHeight="false" outlineLevel="0" collapsed="false">
      <c r="A267" s="0" t="n">
        <v>4270</v>
      </c>
      <c r="B267" s="0" t="n">
        <f aca="false">W_PH(B$2,$A267)</f>
        <v>800.810530298286</v>
      </c>
      <c r="C267" s="0" t="n">
        <f aca="false">W_PH(C$2,$A267)</f>
        <v>800.81055708961</v>
      </c>
      <c r="D267" s="0" t="n">
        <f aca="false">W_PH(D$2,$A267)</f>
        <v>800.81058388102</v>
      </c>
      <c r="E267" s="0" t="n">
        <f aca="false">W_PH(E$2,$A267)</f>
        <v>800.810610672516</v>
      </c>
      <c r="F267" s="0" t="n">
        <f aca="false">W_PH(F$2,$A267)</f>
        <v>800.81064041788</v>
      </c>
      <c r="G267" s="0" t="n">
        <f aca="false">W_PH(G$2,$A267)</f>
        <v>800.810911292236</v>
      </c>
      <c r="H267" s="0" t="n">
        <f aca="false">W_PH(H$2,$A267)</f>
        <v>800.811185129039</v>
      </c>
      <c r="I267" s="0" t="n">
        <f aca="false">W_PH(I$2,$A267)</f>
        <v>800.81145897451</v>
      </c>
      <c r="J267" s="0" t="n">
        <f aca="false">W_PH(J$2,$A267)</f>
        <v>800.811731351713</v>
      </c>
      <c r="K267" s="0" t="n">
        <f aca="false">W_PH(K$2,$A267)</f>
        <v>800.812003737564</v>
      </c>
      <c r="L267" s="0" t="n">
        <f aca="false">W_PH(L$2,$A267)</f>
        <v>800.812277609027</v>
      </c>
      <c r="M267" s="0" t="n">
        <f aca="false">W_PH(M$2,$A267)</f>
        <v>800.812551489167</v>
      </c>
      <c r="N267" s="0" t="n">
        <f aca="false">W_PH(N$2,$A267)</f>
        <v>800.812822424016</v>
      </c>
      <c r="O267" s="0" t="n">
        <f aca="false">W_PH(O$2,$A267)</f>
        <v>800.813096321494</v>
      </c>
      <c r="P267" s="0" t="n">
        <f aca="false">W_PH(P$2,$A267)</f>
        <v>800.815826911598</v>
      </c>
      <c r="Q267" s="0" t="n">
        <f aca="false">W_PH(Q$2,$A267)</f>
        <v>800.818558371079</v>
      </c>
      <c r="R267" s="0" t="n">
        <f aca="false">W_PH(R$2,$A267)</f>
        <v>800.82129070232</v>
      </c>
      <c r="S267" s="0" t="n">
        <f aca="false">W_PH(S$2,$A267)</f>
        <v>800.824023907709</v>
      </c>
      <c r="T267" s="0" t="n">
        <f aca="false">W_PH(T$2,$A267)</f>
        <v>800.826755034461</v>
      </c>
      <c r="U267" s="0" t="n">
        <f aca="false">W_PH(U$2,$A267)</f>
        <v>800.829489995063</v>
      </c>
      <c r="V267" s="0" t="n">
        <f aca="false">W_PH(V$2,$A267)</f>
        <v>800.832222881328</v>
      </c>
      <c r="W267" s="0" t="n">
        <f aca="false">W_PH(W$2,$A267)</f>
        <v>800.834959606679</v>
      </c>
      <c r="X267" s="0" t="n">
        <f aca="false">W_PH(X$2,$A267)</f>
        <v>800.837694261993</v>
      </c>
      <c r="Y267" s="0" t="n">
        <f aca="false">W_PH(Y$2,$A267)</f>
        <v>800.865084130344</v>
      </c>
      <c r="Z267" s="0" t="n">
        <f aca="false">W_PH(Z$2,$A267)</f>
        <v>800.892535561054</v>
      </c>
      <c r="AA267" s="0" t="n">
        <f aca="false">W_PH(AA$2,$A267)</f>
        <v>800.920053825728</v>
      </c>
      <c r="AB267" s="0" t="n">
        <f aca="false">W_PH(AB$2,$A267)</f>
        <v>800.947641236957</v>
      </c>
      <c r="AC267" s="0" t="n">
        <f aca="false">W_PH(AC$2,$A267)</f>
        <v>800.975297136633</v>
      </c>
      <c r="AD267" s="0" t="n">
        <f aca="false">W_PH(AD$2,$A267)</f>
        <v>801.003026794707</v>
      </c>
      <c r="AE267" s="0" t="n">
        <f aca="false">W_PH(AE$2,$A267)</f>
        <v>801.030829542647</v>
      </c>
      <c r="AF267" s="0" t="n">
        <f aca="false">W_PH(AF$2,$A267)</f>
        <v>801.058707674544</v>
      </c>
      <c r="AG267" s="0" t="n">
        <f aca="false">W_PH(AG$2,$A267)</f>
        <v>801.086666458779</v>
      </c>
      <c r="AH267" s="0" t="n">
        <f aca="false">W_PH(AH$2,$A267)</f>
        <v>801.37105876205</v>
      </c>
      <c r="AI267" s="0" t="n">
        <f aca="false">W_PH(AI$2,$A267)</f>
        <v>801.665698068272</v>
      </c>
      <c r="AJ267" s="0" t="n">
        <f aca="false">W_PH(AJ$2,$A267)</f>
        <v>801.972720448506</v>
      </c>
      <c r="AK267" s="0" t="n">
        <f aca="false">W_PH(AK$2,$A267)</f>
        <v>802.294232999575</v>
      </c>
      <c r="AL267" s="0" t="n">
        <f aca="false">W_PH(AL$2,$A267)</f>
        <v>802.632321434251</v>
      </c>
      <c r="AM267" s="0" t="n">
        <f aca="false">W_PH(AM$2,$A267)</f>
        <v>802.989050227588</v>
      </c>
      <c r="AN267" s="0" t="n">
        <f aca="false">W_PH(AN$2,$A267)</f>
        <v>803.366459628319</v>
      </c>
      <c r="AO267" s="0" t="n">
        <f aca="false">W_PH(AO$2,$A267)</f>
        <v>803.766579886019</v>
      </c>
      <c r="AP267" s="0" t="n">
        <f aca="false">W_PH(AP$2,$A267)</f>
        <v>2015</v>
      </c>
      <c r="AQ267" s="0" t="n">
        <f aca="false">W_PH(AQ$2,$A267)</f>
        <v>2015</v>
      </c>
      <c r="AR267" s="0" t="n">
        <f aca="false">W_PH(AR$2,$A267)</f>
        <v>2015</v>
      </c>
      <c r="AS267" s="0" t="n">
        <f aca="false">W_PH(AS$2,$A267)</f>
        <v>2015</v>
      </c>
    </row>
    <row r="268" customFormat="false" ht="13.8" hidden="false" customHeight="false" outlineLevel="0" collapsed="false">
      <c r="A268" s="0" t="n">
        <v>4280</v>
      </c>
      <c r="B268" s="0" t="n">
        <f aca="false">W_PH(B$2,$A268)</f>
        <v>802.199327166079</v>
      </c>
      <c r="C268" s="0" t="n">
        <f aca="false">W_PH(C$2,$A268)</f>
        <v>802.199355054289</v>
      </c>
      <c r="D268" s="0" t="n">
        <f aca="false">W_PH(D$2,$A268)</f>
        <v>802.199382942583</v>
      </c>
      <c r="E268" s="0" t="n">
        <f aca="false">W_PH(E$2,$A268)</f>
        <v>802.199410830963</v>
      </c>
      <c r="F268" s="0" t="n">
        <f aca="false">W_PH(F$2,$A268)</f>
        <v>802.199438719428</v>
      </c>
      <c r="G268" s="0" t="n">
        <f aca="false">W_PH(G$2,$A268)</f>
        <v>802.199716134978</v>
      </c>
      <c r="H268" s="0" t="n">
        <f aca="false">W_PH(H$2,$A268)</f>
        <v>802.199993558998</v>
      </c>
      <c r="I268" s="0" t="n">
        <f aca="false">W_PH(I$2,$A268)</f>
        <v>802.200272465276</v>
      </c>
      <c r="J268" s="0" t="n">
        <f aca="false">W_PH(J$2,$A268)</f>
        <v>802.200551380052</v>
      </c>
      <c r="K268" s="0" t="n">
        <f aca="false">W_PH(K$2,$A268)</f>
        <v>802.200827355704</v>
      </c>
      <c r="L268" s="0" t="n">
        <f aca="false">W_PH(L$2,$A268)</f>
        <v>802.201106287456</v>
      </c>
      <c r="M268" s="0" t="n">
        <f aca="false">W_PH(M$2,$A268)</f>
        <v>802.201385227713</v>
      </c>
      <c r="N268" s="0" t="n">
        <f aca="false">W_PH(N$2,$A268)</f>
        <v>802.201661228784</v>
      </c>
      <c r="O268" s="0" t="n">
        <f aca="false">W_PH(O$2,$A268)</f>
        <v>802.201940186031</v>
      </c>
      <c r="P268" s="0" t="n">
        <f aca="false">W_PH(P$2,$A268)</f>
        <v>802.20472138316</v>
      </c>
      <c r="Q268" s="0" t="n">
        <f aca="false">W_PH(Q$2,$A268)</f>
        <v>802.207503432349</v>
      </c>
      <c r="R268" s="0" t="n">
        <f aca="false">W_PH(R$2,$A268)</f>
        <v>802.210286335963</v>
      </c>
      <c r="S268" s="0" t="n">
        <f aca="false">W_PH(S$2,$A268)</f>
        <v>802.213067147723</v>
      </c>
      <c r="T268" s="0" t="n">
        <f aca="false">W_PH(T$2,$A268)</f>
        <v>802.21585176704</v>
      </c>
      <c r="U268" s="0" t="n">
        <f aca="false">W_PH(U$2,$A268)</f>
        <v>802.218634298765</v>
      </c>
      <c r="V268" s="0" t="n">
        <f aca="false">W_PH(V$2,$A268)</f>
        <v>802.221420643231</v>
      </c>
      <c r="W268" s="0" t="n">
        <f aca="false">W_PH(W$2,$A268)</f>
        <v>802.224204904366</v>
      </c>
      <c r="X268" s="0" t="n">
        <f aca="false">W_PH(X$2,$A268)</f>
        <v>802.226990033631</v>
      </c>
      <c r="Y268" s="0" t="n">
        <f aca="false">W_PH(Y$2,$A268)</f>
        <v>802.254880736324</v>
      </c>
      <c r="Z268" s="0" t="n">
        <f aca="false">W_PH(Z$2,$A268)</f>
        <v>802.2828312888</v>
      </c>
      <c r="AA268" s="0" t="n">
        <f aca="false">W_PH(AA$2,$A268)</f>
        <v>802.310849891281</v>
      </c>
      <c r="AB268" s="0" t="n">
        <f aca="false">W_PH(AB$2,$A268)</f>
        <v>802.338932923507</v>
      </c>
      <c r="AC268" s="0" t="n">
        <f aca="false">W_PH(AC$2,$A268)</f>
        <v>802.367082666626</v>
      </c>
      <c r="AD268" s="0" t="n">
        <f aca="false">W_PH(AD$2,$A268)</f>
        <v>802.395307326256</v>
      </c>
      <c r="AE268" s="0" t="n">
        <f aca="false">W_PH(AE$2,$A268)</f>
        <v>802.423603259901</v>
      </c>
      <c r="AF268" s="0" t="n">
        <f aca="false">W_PH(AF$2,$A268)</f>
        <v>802.451972740347</v>
      </c>
      <c r="AG268" s="0" t="n">
        <f aca="false">W_PH(AG$2,$A268)</f>
        <v>802.480421008145</v>
      </c>
      <c r="AH268" s="0" t="n">
        <f aca="false">W_PH(AH$2,$A268)</f>
        <v>802.769637169893</v>
      </c>
      <c r="AI268" s="0" t="n">
        <f aca="false">W_PH(AI$2,$A268)</f>
        <v>803.068946588106</v>
      </c>
      <c r="AJ268" s="0" t="n">
        <f aca="false">W_PH(AJ$2,$A268)</f>
        <v>803.380463789221</v>
      </c>
      <c r="AK268" s="0" t="n">
        <f aca="false">W_PH(AK$2,$A268)</f>
        <v>803.706279547526</v>
      </c>
      <c r="AL268" s="0" t="n">
        <f aca="false">W_PH(AL$2,$A268)</f>
        <v>804.048467041021</v>
      </c>
      <c r="AM268" s="0" t="n">
        <f aca="false">W_PH(AM$2,$A268)</f>
        <v>804.409071199895</v>
      </c>
      <c r="AN268" s="0" t="n">
        <f aca="false">W_PH(AN$2,$A268)</f>
        <v>804.790122600628</v>
      </c>
      <c r="AO268" s="0" t="n">
        <f aca="false">W_PH(AO$2,$A268)</f>
        <v>805.193634630368</v>
      </c>
      <c r="AP268" s="0" t="n">
        <f aca="false">W_PH(AP$2,$A268)</f>
        <v>2015</v>
      </c>
      <c r="AQ268" s="0" t="n">
        <f aca="false">W_PH(AQ$2,$A268)</f>
        <v>2015</v>
      </c>
      <c r="AR268" s="0" t="n">
        <f aca="false">W_PH(AR$2,$A268)</f>
        <v>2015</v>
      </c>
      <c r="AS268" s="0" t="n">
        <f aca="false">W_PH(AS$2,$A268)</f>
        <v>2015</v>
      </c>
    </row>
    <row r="269" customFormat="false" ht="13.8" hidden="false" customHeight="false" outlineLevel="0" collapsed="false">
      <c r="A269" s="0" t="n">
        <v>4290</v>
      </c>
      <c r="B269" s="0" t="n">
        <f aca="false">W_PH(B$2,$A269)</f>
        <v>803.583539459354</v>
      </c>
      <c r="C269" s="0" t="n">
        <f aca="false">W_PH(C$2,$A269)</f>
        <v>803.583568426395</v>
      </c>
      <c r="D269" s="0" t="n">
        <f aca="false">W_PH(D$2,$A269)</f>
        <v>803.583597393519</v>
      </c>
      <c r="E269" s="0" t="n">
        <f aca="false">W_PH(E$2,$A269)</f>
        <v>803.583626360728</v>
      </c>
      <c r="F269" s="0" t="n">
        <f aca="false">W_PH(F$2,$A269)</f>
        <v>803.583652386725</v>
      </c>
      <c r="G269" s="0" t="n">
        <f aca="false">W_PH(G$2,$A269)</f>
        <v>803.583936181619</v>
      </c>
      <c r="H269" s="0" t="n">
        <f aca="false">W_PH(H$2,$A269)</f>
        <v>803.584219984835</v>
      </c>
      <c r="I269" s="0" t="n">
        <f aca="false">W_PH(I$2,$A269)</f>
        <v>803.584502325693</v>
      </c>
      <c r="J269" s="0" t="n">
        <f aca="false">W_PH(J$2,$A269)</f>
        <v>803.584784674854</v>
      </c>
      <c r="K269" s="0" t="n">
        <f aca="false">W_PH(K$2,$A269)</f>
        <v>803.585068503026</v>
      </c>
      <c r="L269" s="0" t="n">
        <f aca="false">W_PH(L$2,$A269)</f>
        <v>803.58535233953</v>
      </c>
      <c r="M269" s="0" t="n">
        <f aca="false">W_PH(M$2,$A269)</f>
        <v>803.585633242911</v>
      </c>
      <c r="N269" s="0" t="n">
        <f aca="false">W_PH(N$2,$A269)</f>
        <v>803.585917096061</v>
      </c>
      <c r="O269" s="0" t="n">
        <f aca="false">W_PH(O$2,$A269)</f>
        <v>803.586200957549</v>
      </c>
      <c r="P269" s="0" t="n">
        <f aca="false">W_PH(P$2,$A269)</f>
        <v>803.589031206354</v>
      </c>
      <c r="Q269" s="0" t="n">
        <f aca="false">W_PH(Q$2,$A269)</f>
        <v>803.591862290179</v>
      </c>
      <c r="R269" s="0" t="n">
        <f aca="false">W_PH(R$2,$A269)</f>
        <v>803.594694211363</v>
      </c>
      <c r="S269" s="0" t="n">
        <f aca="false">W_PH(S$2,$A269)</f>
        <v>803.59752550104</v>
      </c>
      <c r="T269" s="0" t="n">
        <f aca="false">W_PH(T$2,$A269)</f>
        <v>803.600357632528</v>
      </c>
      <c r="U269" s="0" t="n">
        <f aca="false">W_PH(U$2,$A269)</f>
        <v>803.6031920796</v>
      </c>
      <c r="V269" s="0" t="n">
        <f aca="false">W_PH(V$2,$A269)</f>
        <v>803.606024430292</v>
      </c>
      <c r="W269" s="0" t="n">
        <f aca="false">W_PH(W$2,$A269)</f>
        <v>803.608860572908</v>
      </c>
      <c r="X269" s="0" t="n">
        <f aca="false">W_PH(X$2,$A269)</f>
        <v>803.611694623366</v>
      </c>
      <c r="Y269" s="0" t="n">
        <f aca="false">W_PH(Y$2,$A269)</f>
        <v>803.640076552109</v>
      </c>
      <c r="Z269" s="0" t="n">
        <f aca="false">W_PH(Z$2,$A269)</f>
        <v>803.668522550775</v>
      </c>
      <c r="AA269" s="0" t="n">
        <f aca="false">W_PH(AA$2,$A269)</f>
        <v>803.697028997687</v>
      </c>
      <c r="AB269" s="0" t="n">
        <f aca="false">W_PH(AB$2,$A269)</f>
        <v>803.725601108186</v>
      </c>
      <c r="AC269" s="0" t="n">
        <f aca="false">W_PH(AC$2,$A269)</f>
        <v>803.75424114905</v>
      </c>
      <c r="AD269" s="0" t="n">
        <f aca="false">W_PH(AD$2,$A269)</f>
        <v>803.782951384322</v>
      </c>
      <c r="AE269" s="0" t="n">
        <f aca="false">W_PH(AE$2,$A269)</f>
        <v>803.811734075335</v>
      </c>
      <c r="AF269" s="0" t="n">
        <f aca="false">W_PH(AF$2,$A269)</f>
        <v>803.840588518982</v>
      </c>
      <c r="AG269" s="0" t="n">
        <f aca="false">W_PH(AG$2,$A269)</f>
        <v>803.869519928387</v>
      </c>
      <c r="AH269" s="0" t="n">
        <f aca="false">W_PH(AH$2,$A269)</f>
        <v>804.163486873388</v>
      </c>
      <c r="AI269" s="0" t="n">
        <f aca="false">W_PH(AI$2,$A269)</f>
        <v>804.46739454717</v>
      </c>
      <c r="AJ269" s="0" t="n">
        <f aca="false">W_PH(AJ$2,$A269)</f>
        <v>804.783342200686</v>
      </c>
      <c r="AK269" s="0" t="n">
        <f aca="false">W_PH(AK$2,$A269)</f>
        <v>805.11340152947</v>
      </c>
      <c r="AL269" s="0" t="n">
        <f aca="false">W_PH(AL$2,$A269)</f>
        <v>805.459630295172</v>
      </c>
      <c r="AM269" s="0" t="n">
        <f aca="false">W_PH(AM$2,$A269)</f>
        <v>805.824061768144</v>
      </c>
      <c r="AN269" s="0" t="n">
        <f aca="false">W_PH(AN$2,$A269)</f>
        <v>806.208706187005</v>
      </c>
      <c r="AO269" s="0" t="n">
        <f aca="false">W_PH(AO$2,$A269)</f>
        <v>806.61556169149</v>
      </c>
      <c r="AP269" s="0" t="n">
        <f aca="false">W_PH(AP$2,$A269)</f>
        <v>2015</v>
      </c>
      <c r="AQ269" s="0" t="n">
        <f aca="false">W_PH(AQ$2,$A269)</f>
        <v>2015</v>
      </c>
      <c r="AR269" s="0" t="n">
        <f aca="false">W_PH(AR$2,$A269)</f>
        <v>2015</v>
      </c>
      <c r="AS269" s="0" t="n">
        <f aca="false">W_PH(AS$2,$A269)</f>
        <v>2015</v>
      </c>
    </row>
    <row r="270" customFormat="false" ht="13.8" hidden="false" customHeight="false" outlineLevel="0" collapsed="false">
      <c r="A270" s="0" t="n">
        <v>4300</v>
      </c>
      <c r="B270" s="0" t="n">
        <f aca="false">W_PH(B$2,$A270)</f>
        <v>804.963213448253</v>
      </c>
      <c r="C270" s="0" t="n">
        <f aca="false">W_PH(C$2,$A270)</f>
        <v>804.963243476431</v>
      </c>
      <c r="D270" s="0" t="n">
        <f aca="false">W_PH(D$2,$A270)</f>
        <v>804.963270569547</v>
      </c>
      <c r="E270" s="0" t="n">
        <f aca="false">W_PH(E$2,$A270)</f>
        <v>804.963300597889</v>
      </c>
      <c r="F270" s="0" t="n">
        <f aca="false">W_PH(F$2,$A270)</f>
        <v>804.963327691165</v>
      </c>
      <c r="G270" s="0" t="n">
        <f aca="false">W_PH(G$2,$A270)</f>
        <v>804.963616239292</v>
      </c>
      <c r="H270" s="0" t="n">
        <f aca="false">W_PH(H$2,$A270)</f>
        <v>804.963904795573</v>
      </c>
      <c r="I270" s="0" t="n">
        <f aca="false">W_PH(I$2,$A270)</f>
        <v>804.96419336001</v>
      </c>
      <c r="J270" s="0" t="n">
        <f aca="false">W_PH(J$2,$A270)</f>
        <v>804.964478997367</v>
      </c>
      <c r="K270" s="0" t="n">
        <f aca="false">W_PH(K$2,$A270)</f>
        <v>804.964767578102</v>
      </c>
      <c r="L270" s="0" t="n">
        <f aca="false">W_PH(L$2,$A270)</f>
        <v>804.965056167</v>
      </c>
      <c r="M270" s="0" t="n">
        <f aca="false">W_PH(M$2,$A270)</f>
        <v>804.965344764064</v>
      </c>
      <c r="N270" s="0" t="n">
        <f aca="false">W_PH(N$2,$A270)</f>
        <v>804.965630433968</v>
      </c>
      <c r="O270" s="0" t="n">
        <f aca="false">W_PH(O$2,$A270)</f>
        <v>804.965919047348</v>
      </c>
      <c r="P270" s="0" t="n">
        <f aca="false">W_PH(P$2,$A270)</f>
        <v>804.968799759885</v>
      </c>
      <c r="Q270" s="0" t="n">
        <f aca="false">W_PH(Q$2,$A270)</f>
        <v>804.971678355317</v>
      </c>
      <c r="R270" s="0" t="n">
        <f aca="false">W_PH(R$2,$A270)</f>
        <v>804.974557771315</v>
      </c>
      <c r="S270" s="0" t="n">
        <f aca="false">W_PH(S$2,$A270)</f>
        <v>804.977438010197</v>
      </c>
      <c r="T270" s="0" t="n">
        <f aca="false">W_PH(T$2,$A270)</f>
        <v>804.980322010754</v>
      </c>
      <c r="U270" s="0" t="n">
        <f aca="false">W_PH(U$2,$A270)</f>
        <v>804.983203902578</v>
      </c>
      <c r="V270" s="0" t="n">
        <f aca="false">W_PH(V$2,$A270)</f>
        <v>804.986085155774</v>
      </c>
      <c r="W270" s="0" t="n">
        <f aca="false">W_PH(W$2,$A270)</f>
        <v>804.988967240896</v>
      </c>
      <c r="X270" s="0" t="n">
        <f aca="false">W_PH(X$2,$A270)</f>
        <v>804.991851628948</v>
      </c>
      <c r="Y270" s="0" t="n">
        <f aca="false">W_PH(Y$2,$A270)</f>
        <v>805.020721337199</v>
      </c>
      <c r="Z270" s="0" t="n">
        <f aca="false">W_PH(Z$2,$A270)</f>
        <v>805.049650529782</v>
      </c>
      <c r="AA270" s="0" t="n">
        <f aca="false">W_PH(AA$2,$A270)</f>
        <v>805.078641457855</v>
      </c>
      <c r="AB270" s="0" t="n">
        <f aca="false">W_PH(AB$2,$A270)</f>
        <v>805.107696369903</v>
      </c>
      <c r="AC270" s="0" t="n">
        <f aca="false">W_PH(AC$2,$A270)</f>
        <v>805.136816037455</v>
      </c>
      <c r="AD270" s="0" t="n">
        <f aca="false">W_PH(AD$2,$A270)</f>
        <v>805.166005651147</v>
      </c>
      <c r="AE270" s="0" t="n">
        <f aca="false">W_PH(AE$2,$A270)</f>
        <v>805.195264501802</v>
      </c>
      <c r="AF270" s="0" t="n">
        <f aca="false">W_PH(AF$2,$A270)</f>
        <v>805.224597779255</v>
      </c>
      <c r="AG270" s="0" t="n">
        <f aca="false">W_PH(AG$2,$A270)</f>
        <v>805.254006243361</v>
      </c>
      <c r="AH270" s="0" t="n">
        <f aca="false">W_PH(AH$2,$A270)</f>
        <v>805.552656459151</v>
      </c>
      <c r="AI270" s="0" t="n">
        <f aca="false">W_PH(AI$2,$A270)</f>
        <v>805.861096072809</v>
      </c>
      <c r="AJ270" s="0" t="n">
        <f aca="false">W_PH(AJ$2,$A270)</f>
        <v>806.181409232672</v>
      </c>
      <c r="AK270" s="0" t="n">
        <f aca="false">W_PH(AK$2,$A270)</f>
        <v>806.515653296433</v>
      </c>
      <c r="AL270" s="0" t="n">
        <f aca="false">W_PH(AL$2,$A270)</f>
        <v>806.865866246662</v>
      </c>
      <c r="AM270" s="0" t="n">
        <f aca="false">W_PH(AM$2,$A270)</f>
        <v>807.234071342574</v>
      </c>
      <c r="AN270" s="0" t="n">
        <f aca="false">W_PH(AN$2,$A270)</f>
        <v>807.622260207644</v>
      </c>
      <c r="AO270" s="0" t="n">
        <f aca="false">W_PH(AO$2,$A270)</f>
        <v>808.032419021812</v>
      </c>
      <c r="AP270" s="0" t="n">
        <f aca="false">W_PH(AP$2,$A270)</f>
        <v>2015</v>
      </c>
      <c r="AQ270" s="0" t="n">
        <f aca="false">W_PH(AQ$2,$A270)</f>
        <v>2015</v>
      </c>
      <c r="AR270" s="0" t="n">
        <f aca="false">W_PH(AR$2,$A270)</f>
        <v>2015</v>
      </c>
      <c r="AS270" s="0" t="n">
        <f aca="false">W_PH(AS$2,$A270)</f>
        <v>2015</v>
      </c>
    </row>
    <row r="271" customFormat="false" ht="13.8" hidden="false" customHeight="false" outlineLevel="0" collapsed="false">
      <c r="A271" s="0" t="n">
        <v>4310</v>
      </c>
      <c r="B271" s="0" t="n">
        <f aca="false">W_PH(B$2,$A271)</f>
        <v>806.338388845472</v>
      </c>
      <c r="C271" s="0" t="n">
        <f aca="false">W_PH(C$2,$A271)</f>
        <v>806.338416988382</v>
      </c>
      <c r="D271" s="0" t="n">
        <f aca="false">W_PH(D$2,$A271)</f>
        <v>806.338448060432</v>
      </c>
      <c r="E271" s="0" t="n">
        <f aca="false">W_PH(E$2,$A271)</f>
        <v>806.338476203501</v>
      </c>
      <c r="F271" s="0" t="n">
        <f aca="false">W_PH(F$2,$A271)</f>
        <v>806.338505811181</v>
      </c>
      <c r="G271" s="0" t="n">
        <f aca="false">W_PH(G$2,$A271)</f>
        <v>806.338797498765</v>
      </c>
      <c r="H271" s="0" t="n">
        <f aca="false">W_PH(H$2,$A271)</f>
        <v>806.339090658871</v>
      </c>
      <c r="I271" s="0" t="n">
        <f aca="false">W_PH(I$2,$A271)</f>
        <v>806.339383826969</v>
      </c>
      <c r="J271" s="0" t="n">
        <f aca="false">W_PH(J$2,$A271)</f>
        <v>806.339677003061</v>
      </c>
      <c r="K271" s="0" t="n">
        <f aca="false">W_PH(K$2,$A271)</f>
        <v>806.339970187149</v>
      </c>
      <c r="L271" s="0" t="n">
        <f aca="false">W_PH(L$2,$A271)</f>
        <v>806.340260450037</v>
      </c>
      <c r="M271" s="0" t="n">
        <f aca="false">W_PH(M$2,$A271)</f>
        <v>806.340553650102</v>
      </c>
      <c r="N271" s="0" t="n">
        <f aca="false">W_PH(N$2,$A271)</f>
        <v>806.340846858171</v>
      </c>
      <c r="O271" s="0" t="n">
        <f aca="false">W_PH(O$2,$A271)</f>
        <v>806.341140074245</v>
      </c>
      <c r="P271" s="0" t="n">
        <f aca="false">W_PH(P$2,$A271)</f>
        <v>806.344066816818</v>
      </c>
      <c r="Q271" s="0" t="n">
        <f aca="false">W_PH(Q$2,$A271)</f>
        <v>806.346994361578</v>
      </c>
      <c r="R271" s="0" t="n">
        <f aca="false">W_PH(R$2,$A271)</f>
        <v>806.34992271082</v>
      </c>
      <c r="S271" s="0" t="n">
        <f aca="false">W_PH(S$2,$A271)</f>
        <v>806.35285186684</v>
      </c>
      <c r="T271" s="0" t="n">
        <f aca="false">W_PH(T$2,$A271)</f>
        <v>806.355781831935</v>
      </c>
      <c r="U271" s="0" t="n">
        <f aca="false">W_PH(U$2,$A271)</f>
        <v>806.358709677804</v>
      </c>
      <c r="V271" s="0" t="n">
        <f aca="false">W_PH(V$2,$A271)</f>
        <v>806.361641267711</v>
      </c>
      <c r="W271" s="0" t="n">
        <f aca="false">W_PH(W$2,$A271)</f>
        <v>806.364573673576</v>
      </c>
      <c r="X271" s="0" t="n">
        <f aca="false">W_PH(X$2,$A271)</f>
        <v>806.367503966437</v>
      </c>
      <c r="Y271" s="0" t="n">
        <f aca="false">W_PH(Y$2,$A271)</f>
        <v>806.396852379225</v>
      </c>
      <c r="Z271" s="0" t="n">
        <f aca="false">W_PH(Z$2,$A271)</f>
        <v>806.426258673883</v>
      </c>
      <c r="AA271" s="0" t="n">
        <f aca="false">W_PH(AA$2,$A271)</f>
        <v>806.455725080803</v>
      </c>
      <c r="AB271" s="0" t="n">
        <f aca="false">W_PH(AB$2,$A271)</f>
        <v>806.485253827775</v>
      </c>
      <c r="AC271" s="0" t="n">
        <f aca="false">W_PH(AC$2,$A271)</f>
        <v>806.514850082317</v>
      </c>
      <c r="AD271" s="0" t="n">
        <f aca="false">W_PH(AD$2,$A271)</f>
        <v>806.544510184624</v>
      </c>
      <c r="AE271" s="0" t="n">
        <f aca="false">W_PH(AE$2,$A271)</f>
        <v>806.574242241579</v>
      </c>
      <c r="AF271" s="0" t="n">
        <f aca="false">W_PH(AF$2,$A271)</f>
        <v>806.604045528347</v>
      </c>
      <c r="AG271" s="0" t="n">
        <f aca="false">W_PH(AG$2,$A271)</f>
        <v>806.633920784294</v>
      </c>
      <c r="AH271" s="0" t="n">
        <f aca="false">W_PH(AH$2,$A271)</f>
        <v>806.937184784723</v>
      </c>
      <c r="AI271" s="0" t="n">
        <f aca="false">W_PH(AI$2,$A271)</f>
        <v>807.250092409178</v>
      </c>
      <c r="AJ271" s="0" t="n">
        <f aca="false">W_PH(AJ$2,$A271)</f>
        <v>807.574708446153</v>
      </c>
      <c r="AK271" s="0" t="n">
        <f aca="false">W_PH(AK$2,$A271)</f>
        <v>807.913079100519</v>
      </c>
      <c r="AL271" s="0" t="n">
        <f aca="false">W_PH(AL$2,$A271)</f>
        <v>808.267222798095</v>
      </c>
      <c r="AM271" s="0" t="n">
        <f aca="false">W_PH(AM$2,$A271)</f>
        <v>808.639146788429</v>
      </c>
      <c r="AN271" s="0" t="n">
        <f aca="false">W_PH(AN$2,$A271)</f>
        <v>809.030833441726</v>
      </c>
      <c r="AO271" s="0" t="n">
        <f aca="false">W_PH(AO$2,$A271)</f>
        <v>809.444252502682</v>
      </c>
      <c r="AP271" s="0" t="n">
        <f aca="false">W_PH(AP$2,$A271)</f>
        <v>2015</v>
      </c>
      <c r="AQ271" s="0" t="n">
        <f aca="false">W_PH(AQ$2,$A271)</f>
        <v>2015</v>
      </c>
      <c r="AR271" s="0" t="n">
        <f aca="false">W_PH(AR$2,$A271)</f>
        <v>2015</v>
      </c>
      <c r="AS271" s="0" t="n">
        <f aca="false">W_PH(AS$2,$A271)</f>
        <v>2015</v>
      </c>
    </row>
    <row r="272" customFormat="false" ht="13.8" hidden="false" customHeight="false" outlineLevel="0" collapsed="false">
      <c r="A272" s="0" t="n">
        <v>4320</v>
      </c>
      <c r="B272" s="0" t="n">
        <f aca="false">W_PH(B$2,$A272)</f>
        <v>807.709107650826</v>
      </c>
      <c r="C272" s="0" t="n">
        <f aca="false">W_PH(C$2,$A272)</f>
        <v>807.709136826547</v>
      </c>
      <c r="D272" s="0" t="n">
        <f aca="false">W_PH(D$2,$A272)</f>
        <v>807.709168925385</v>
      </c>
      <c r="E272" s="0" t="n">
        <f aca="false">W_PH(E$2,$A272)</f>
        <v>807.709198101262</v>
      </c>
      <c r="F272" s="0" t="n">
        <f aca="false">W_PH(F$2,$A272)</f>
        <v>807.709227277217</v>
      </c>
      <c r="G272" s="0" t="n">
        <f aca="false">W_PH(G$2,$A272)</f>
        <v>807.709524887155</v>
      </c>
      <c r="H272" s="0" t="n">
        <f aca="false">W_PH(H$2,$A272)</f>
        <v>807.709822504919</v>
      </c>
      <c r="I272" s="0" t="n">
        <f aca="false">W_PH(I$2,$A272)</f>
        <v>807.710120130513</v>
      </c>
      <c r="J272" s="0" t="n">
        <f aca="false">W_PH(J$2,$A272)</f>
        <v>807.710417763939</v>
      </c>
      <c r="K272" s="0" t="n">
        <f aca="false">W_PH(K$2,$A272)</f>
        <v>807.710715405199</v>
      </c>
      <c r="L272" s="0" t="n">
        <f aca="false">W_PH(L$2,$A272)</f>
        <v>807.711011592707</v>
      </c>
      <c r="M272" s="0" t="n">
        <f aca="false">W_PH(M$2,$A272)</f>
        <v>807.711307788032</v>
      </c>
      <c r="N272" s="0" t="n">
        <f aca="false">W_PH(N$2,$A272)</f>
        <v>807.711605452786</v>
      </c>
      <c r="O272" s="0" t="n">
        <f aca="false">W_PH(O$2,$A272)</f>
        <v>807.711903125382</v>
      </c>
      <c r="P272" s="0" t="n">
        <f aca="false">W_PH(P$2,$A272)</f>
        <v>807.714877359763</v>
      </c>
      <c r="Q272" s="0" t="n">
        <f aca="false">W_PH(Q$2,$A272)</f>
        <v>807.717852380521</v>
      </c>
      <c r="R272" s="0" t="n">
        <f aca="false">W_PH(R$2,$A272)</f>
        <v>807.720828189931</v>
      </c>
      <c r="S272" s="0" t="n">
        <f aca="false">W_PH(S$2,$A272)</f>
        <v>807.723804790268</v>
      </c>
      <c r="T272" s="0" t="n">
        <f aca="false">W_PH(T$2,$A272)</f>
        <v>807.726782183807</v>
      </c>
      <c r="U272" s="0" t="n">
        <f aca="false">W_PH(U$2,$A272)</f>
        <v>807.729757448267</v>
      </c>
      <c r="V272" s="0" t="n">
        <f aca="false">W_PH(V$2,$A272)</f>
        <v>807.73273643481</v>
      </c>
      <c r="W272" s="0" t="n">
        <f aca="false">W_PH(W$2,$A272)</f>
        <v>807.735713296386</v>
      </c>
      <c r="X272" s="0" t="n">
        <f aca="false">W_PH(X$2,$A272)</f>
        <v>807.738693885027</v>
      </c>
      <c r="Y272" s="0" t="n">
        <f aca="false">W_PH(Y$2,$A272)</f>
        <v>807.768512196254</v>
      </c>
      <c r="Z272" s="0" t="n">
        <f aca="false">W_PH(Z$2,$A272)</f>
        <v>807.798386821276</v>
      </c>
      <c r="AA272" s="0" t="n">
        <f aca="false">W_PH(AA$2,$A272)</f>
        <v>807.828322901799</v>
      </c>
      <c r="AB272" s="0" t="n">
        <f aca="false">W_PH(AB$2,$A272)</f>
        <v>807.858322651782</v>
      </c>
      <c r="AC272" s="0" t="n">
        <f aca="false">W_PH(AC$2,$A272)</f>
        <v>807.888382410439</v>
      </c>
      <c r="AD272" s="0" t="n">
        <f aca="false">W_PH(AD$2,$A272)</f>
        <v>807.918510250191</v>
      </c>
      <c r="AE272" s="0" t="n">
        <f aca="false">W_PH(AE$2,$A272)</f>
        <v>807.948705436988</v>
      </c>
      <c r="AF272" s="0" t="n">
        <f aca="false">W_PH(AF$2,$A272)</f>
        <v>807.978971639533</v>
      </c>
      <c r="AG272" s="0" t="n">
        <f aca="false">W_PH(AG$2,$A272)</f>
        <v>808.009309583584</v>
      </c>
      <c r="AH272" s="0" t="n">
        <f aca="false">W_PH(AH$2,$A272)</f>
        <v>808.317118895119</v>
      </c>
      <c r="AI272" s="0" t="n">
        <f aca="false">W_PH(AI$2,$A272)</f>
        <v>808.634428510124</v>
      </c>
      <c r="AJ272" s="0" t="n">
        <f aca="false">W_PH(AJ$2,$A272)</f>
        <v>808.963288588744</v>
      </c>
      <c r="AK272" s="0" t="n">
        <f aca="false">W_PH(AK$2,$A272)</f>
        <v>809.305725350534</v>
      </c>
      <c r="AL272" s="0" t="n">
        <f aca="false">W_PH(AL$2,$A272)</f>
        <v>809.66374690876</v>
      </c>
      <c r="AM272" s="0" t="n">
        <f aca="false">W_PH(AM$2,$A272)</f>
        <v>810.0393416814</v>
      </c>
      <c r="AN272" s="0" t="n">
        <f aca="false">W_PH(AN$2,$A272)</f>
        <v>810.434479832971</v>
      </c>
      <c r="AO272" s="0" t="n">
        <f aca="false">W_PH(AO$2,$A272)</f>
        <v>810.851113223062</v>
      </c>
      <c r="AP272" s="0" t="n">
        <f aca="false">W_PH(AP$2,$A272)</f>
        <v>2015</v>
      </c>
      <c r="AQ272" s="0" t="n">
        <f aca="false">W_PH(AQ$2,$A272)</f>
        <v>2015</v>
      </c>
      <c r="AR272" s="0" t="n">
        <f aca="false">W_PH(AR$2,$A272)</f>
        <v>2015</v>
      </c>
      <c r="AS272" s="0" t="n">
        <f aca="false">W_PH(AS$2,$A272)</f>
        <v>2015</v>
      </c>
    </row>
    <row r="273" customFormat="false" ht="13.8" hidden="false" customHeight="false" outlineLevel="0" collapsed="false">
      <c r="A273" s="0" t="n">
        <v>4330</v>
      </c>
      <c r="B273" s="0" t="n">
        <f aca="false">W_PH(B$2,$A273)</f>
        <v>809.075414135103</v>
      </c>
      <c r="C273" s="0" t="n">
        <f aca="false">W_PH(C$2,$A273)</f>
        <v>809.075444326906</v>
      </c>
      <c r="D273" s="0" t="n">
        <f aca="false">W_PH(D$2,$A273)</f>
        <v>809.075474518785</v>
      </c>
      <c r="E273" s="0" t="n">
        <f aca="false">W_PH(E$2,$A273)</f>
        <v>809.075504710741</v>
      </c>
      <c r="F273" s="0" t="n">
        <f aca="false">W_PH(F$2,$A273)</f>
        <v>809.075534902774</v>
      </c>
      <c r="G273" s="0" t="n">
        <f aca="false">W_PH(G$2,$A273)</f>
        <v>809.075836827316</v>
      </c>
      <c r="H273" s="0" t="n">
        <f aca="false">W_PH(H$2,$A273)</f>
        <v>809.076138759525</v>
      </c>
      <c r="I273" s="0" t="n">
        <f aca="false">W_PH(I$2,$A273)</f>
        <v>809.076440699405</v>
      </c>
      <c r="J273" s="0" t="n">
        <f aca="false">W_PH(J$2,$A273)</f>
        <v>809.076742646956</v>
      </c>
      <c r="K273" s="0" t="n">
        <f aca="false">W_PH(K$2,$A273)</f>
        <v>809.077044602182</v>
      </c>
      <c r="L273" s="0" t="n">
        <f aca="false">W_PH(L$2,$A273)</f>
        <v>809.077346565085</v>
      </c>
      <c r="M273" s="0" t="n">
        <f aca="false">W_PH(M$2,$A273)</f>
        <v>809.077648535667</v>
      </c>
      <c r="N273" s="0" t="n">
        <f aca="false">W_PH(N$2,$A273)</f>
        <v>809.077950513929</v>
      </c>
      <c r="O273" s="0" t="n">
        <f aca="false">W_PH(O$2,$A273)</f>
        <v>809.078252499875</v>
      </c>
      <c r="P273" s="0" t="n">
        <f aca="false">W_PH(P$2,$A273)</f>
        <v>809.081272782419</v>
      </c>
      <c r="Q273" s="0" t="n">
        <f aca="false">W_PH(Q$2,$A273)</f>
        <v>809.084293835781</v>
      </c>
      <c r="R273" s="0" t="n">
        <f aca="false">W_PH(R$2,$A273)</f>
        <v>809.087317121178</v>
      </c>
      <c r="S273" s="0" t="n">
        <f aca="false">W_PH(S$2,$A273)</f>
        <v>809.090339723046</v>
      </c>
      <c r="T273" s="0" t="n">
        <f aca="false">W_PH(T$2,$A273)</f>
        <v>809.093361643315</v>
      </c>
      <c r="U273" s="0" t="n">
        <f aca="false">W_PH(U$2,$A273)</f>
        <v>809.096385802485</v>
      </c>
      <c r="V273" s="0" t="n">
        <f aca="false">W_PH(V$2,$A273)</f>
        <v>809.09941074374</v>
      </c>
      <c r="W273" s="0" t="n">
        <f aca="false">W_PH(W$2,$A273)</f>
        <v>809.102436469331</v>
      </c>
      <c r="X273" s="0" t="n">
        <f aca="false">W_PH(X$2,$A273)</f>
        <v>809.105460062293</v>
      </c>
      <c r="Y273" s="0" t="n">
        <f aca="false">W_PH(Y$2,$A273)</f>
        <v>809.135742647239</v>
      </c>
      <c r="Z273" s="0" t="n">
        <f aca="false">W_PH(Z$2,$A273)</f>
        <v>809.166082939492</v>
      </c>
      <c r="AA273" s="0" t="n">
        <f aca="false">W_PH(AA$2,$A273)</f>
        <v>809.196480209656</v>
      </c>
      <c r="AB273" s="0" t="n">
        <f aca="false">W_PH(AB$2,$A273)</f>
        <v>809.226939572914</v>
      </c>
      <c r="AC273" s="0" t="n">
        <f aca="false">W_PH(AC$2,$A273)</f>
        <v>809.257460290649</v>
      </c>
      <c r="AD273" s="0" t="n">
        <f aca="false">W_PH(AD$2,$A273)</f>
        <v>809.288047477434</v>
      </c>
      <c r="AE273" s="0" t="n">
        <f aca="false">W_PH(AE$2,$A273)</f>
        <v>809.318700385472</v>
      </c>
      <c r="AF273" s="0" t="n">
        <f aca="false">W_PH(AF$2,$A273)</f>
        <v>809.349421192358</v>
      </c>
      <c r="AG273" s="0" t="n">
        <f aca="false">W_PH(AG$2,$A273)</f>
        <v>809.380215011807</v>
      </c>
      <c r="AH273" s="0" t="n">
        <f aca="false">W_PH(AH$2,$A273)</f>
        <v>809.692502101171</v>
      </c>
      <c r="AI273" s="0" t="n">
        <f aca="false">W_PH(AI$2,$A273)</f>
        <v>810.014151515215</v>
      </c>
      <c r="AJ273" s="0" t="n">
        <f aca="false">W_PH(AJ$2,$A273)</f>
        <v>810.347194537965</v>
      </c>
      <c r="AK273" s="0" t="n">
        <f aca="false">W_PH(AK$2,$A273)</f>
        <v>810.693640595912</v>
      </c>
      <c r="AL273" s="0" t="n">
        <f aca="false">W_PH(AL$2,$A273)</f>
        <v>811.055487660203</v>
      </c>
      <c r="AM273" s="0" t="n">
        <f aca="false">W_PH(AM$2,$A273)</f>
        <v>811.434702452991</v>
      </c>
      <c r="AN273" s="0" t="n">
        <f aca="false">W_PH(AN$2,$A273)</f>
        <v>811.833243026588</v>
      </c>
      <c r="AO273" s="0" t="n">
        <f aca="false">W_PH(AO$2,$A273)</f>
        <v>812.253052769851</v>
      </c>
      <c r="AP273" s="0" t="n">
        <f aca="false">W_PH(AP$2,$A273)</f>
        <v>2015</v>
      </c>
      <c r="AQ273" s="0" t="n">
        <f aca="false">W_PH(AQ$2,$A273)</f>
        <v>2015</v>
      </c>
      <c r="AR273" s="0" t="n">
        <f aca="false">W_PH(AR$2,$A273)</f>
        <v>2015</v>
      </c>
      <c r="AS273" s="0" t="n">
        <f aca="false">W_PH(AS$2,$A273)</f>
        <v>2015</v>
      </c>
    </row>
    <row r="274" customFormat="false" ht="13.8" hidden="false" customHeight="false" outlineLevel="0" collapsed="false">
      <c r="A274" s="0" t="n">
        <v>4340</v>
      </c>
      <c r="B274" s="0" t="n">
        <f aca="false">W_PH(B$2,$A274)</f>
        <v>810.437346090952</v>
      </c>
      <c r="C274" s="0" t="n">
        <f aca="false">W_PH(C$2,$A274)</f>
        <v>810.437374371256</v>
      </c>
      <c r="D274" s="0" t="n">
        <f aca="false">W_PH(D$2,$A274)</f>
        <v>810.437405562811</v>
      </c>
      <c r="E274" s="0" t="n">
        <f aca="false">W_PH(E$2,$A274)</f>
        <v>810.437436754441</v>
      </c>
      <c r="F274" s="0" t="n">
        <f aca="false">W_PH(F$2,$A274)</f>
        <v>810.437467946148</v>
      </c>
      <c r="G274" s="0" t="n">
        <f aca="false">W_PH(G$2,$A274)</f>
        <v>810.437774044983</v>
      </c>
      <c r="H274" s="0" t="n">
        <f aca="false">W_PH(H$2,$A274)</f>
        <v>810.438080151329</v>
      </c>
      <c r="I274" s="0" t="n">
        <f aca="false">W_PH(I$2,$A274)</f>
        <v>810.438386265187</v>
      </c>
      <c r="J274" s="0" t="n">
        <f aca="false">W_PH(J$2,$A274)</f>
        <v>810.438693842196</v>
      </c>
      <c r="K274" s="0" t="n">
        <f aca="false">W_PH(K$2,$A274)</f>
        <v>810.439001426742</v>
      </c>
      <c r="L274" s="0" t="n">
        <f aca="false">W_PH(L$2,$A274)</f>
        <v>810.439307563174</v>
      </c>
      <c r="M274" s="0" t="n">
        <f aca="false">W_PH(M$2,$A274)</f>
        <v>810.439613707128</v>
      </c>
      <c r="N274" s="0" t="n">
        <f aca="false">W_PH(N$2,$A274)</f>
        <v>810.439919858605</v>
      </c>
      <c r="O274" s="0" t="n">
        <f aca="false">W_PH(O$2,$A274)</f>
        <v>810.440226017609</v>
      </c>
      <c r="P274" s="0" t="n">
        <f aca="false">W_PH(P$2,$A274)</f>
        <v>810.443293845258</v>
      </c>
      <c r="Q274" s="0" t="n">
        <f aca="false">W_PH(Q$2,$A274)</f>
        <v>810.446362428839</v>
      </c>
      <c r="R274" s="0" t="n">
        <f aca="false">W_PH(R$2,$A274)</f>
        <v>810.449428858572</v>
      </c>
      <c r="S274" s="0" t="n">
        <f aca="false">W_PH(S$2,$A274)</f>
        <v>810.452498960503</v>
      </c>
      <c r="T274" s="0" t="n">
        <f aca="false">W_PH(T$2,$A274)</f>
        <v>810.455566912626</v>
      </c>
      <c r="U274" s="0" t="n">
        <f aca="false">W_PH(U$2,$A274)</f>
        <v>810.458635629186</v>
      </c>
      <c r="V274" s="0" t="n">
        <f aca="false">W_PH(V$2,$A274)</f>
        <v>810.461705112415</v>
      </c>
      <c r="W274" s="0" t="n">
        <f aca="false">W_PH(W$2,$A274)</f>
        <v>810.464775364544</v>
      </c>
      <c r="X274" s="0" t="n">
        <f aca="false">W_PH(X$2,$A274)</f>
        <v>810.467846387806</v>
      </c>
      <c r="Y274" s="0" t="n">
        <f aca="false">W_PH(Y$2,$A274)</f>
        <v>810.498587861736</v>
      </c>
      <c r="Z274" s="0" t="n">
        <f aca="false">W_PH(Z$2,$A274)</f>
        <v>810.5293826267</v>
      </c>
      <c r="AA274" s="0" t="n">
        <f aca="false">W_PH(AA$2,$A274)</f>
        <v>810.560235772358</v>
      </c>
      <c r="AB274" s="0" t="n">
        <f aca="false">W_PH(AB$2,$A274)</f>
        <v>810.59114947268</v>
      </c>
      <c r="AC274" s="0" t="n">
        <f aca="false">W_PH(AC$2,$A274)</f>
        <v>810.62212297535</v>
      </c>
      <c r="AD274" s="0" t="n">
        <f aca="false">W_PH(AD$2,$A274)</f>
        <v>810.653161369212</v>
      </c>
      <c r="AE274" s="0" t="n">
        <f aca="false">W_PH(AE$2,$A274)</f>
        <v>810.684265357019</v>
      </c>
      <c r="AF274" s="0" t="n">
        <f aca="false">W_PH(AF$2,$A274)</f>
        <v>810.715435634929</v>
      </c>
      <c r="AG274" s="0" t="n">
        <f aca="false">W_PH(AG$2,$A274)</f>
        <v>810.7466787572</v>
      </c>
      <c r="AH274" s="0" t="n">
        <f aca="false">W_PH(AH$2,$A274)</f>
        <v>811.063379936416</v>
      </c>
      <c r="AI274" s="0" t="n">
        <f aca="false">W_PH(AI$2,$A274)</f>
        <v>811.389304786191</v>
      </c>
      <c r="AJ274" s="0" t="n">
        <f aca="false">W_PH(AJ$2,$A274)</f>
        <v>811.726470351991</v>
      </c>
      <c r="AK274" s="0" t="n">
        <f aca="false">W_PH(AK$2,$A274)</f>
        <v>812.076872496532</v>
      </c>
      <c r="AL274" s="0" t="n">
        <f aca="false">W_PH(AL$2,$A274)</f>
        <v>812.442487136914</v>
      </c>
      <c r="AM274" s="0" t="n">
        <f aca="false">W_PH(AM$2,$A274)</f>
        <v>812.82527460341</v>
      </c>
      <c r="AN274" s="0" t="n">
        <f aca="false">W_PH(AN$2,$A274)</f>
        <v>813.22717649361</v>
      </c>
      <c r="AO274" s="0" t="n">
        <f aca="false">W_PH(AO$2,$A274)</f>
        <v>813.650118596443</v>
      </c>
      <c r="AP274" s="0" t="n">
        <f aca="false">W_PH(AP$2,$A274)</f>
        <v>2015</v>
      </c>
      <c r="AQ274" s="0" t="n">
        <f aca="false">W_PH(AQ$2,$A274)</f>
        <v>2015</v>
      </c>
      <c r="AR274" s="0" t="n">
        <f aca="false">W_PH(AR$2,$A274)</f>
        <v>2015</v>
      </c>
      <c r="AS274" s="0" t="n">
        <f aca="false">W_PH(AS$2,$A274)</f>
        <v>2015</v>
      </c>
    </row>
    <row r="275" customFormat="false" ht="13.8" hidden="false" customHeight="false" outlineLevel="0" collapsed="false">
      <c r="A275" s="0" t="n">
        <v>4350</v>
      </c>
      <c r="B275" s="0" t="n">
        <f aca="false">W_PH(B$2,$A275)</f>
        <v>811.794943621468</v>
      </c>
      <c r="C275" s="0" t="n">
        <f aca="false">W_PH(C$2,$A275)</f>
        <v>811.794972891206</v>
      </c>
      <c r="D275" s="0" t="n">
        <f aca="false">W_PH(D$2,$A275)</f>
        <v>811.795005066355</v>
      </c>
      <c r="E275" s="0" t="n">
        <f aca="false">W_PH(E$2,$A275)</f>
        <v>811.795037241578</v>
      </c>
      <c r="F275" s="0" t="n">
        <f aca="false">W_PH(F$2,$A275)</f>
        <v>811.795066511535</v>
      </c>
      <c r="G275" s="0" t="n">
        <f aca="false">W_PH(G$2,$A275)</f>
        <v>811.795379552549</v>
      </c>
      <c r="H275" s="0" t="n">
        <f aca="false">W_PH(H$2,$A275)</f>
        <v>811.795689695576</v>
      </c>
      <c r="I275" s="0" t="n">
        <f aca="false">W_PH(I$2,$A275)</f>
        <v>811.795999845962</v>
      </c>
      <c r="J275" s="0" t="n">
        <f aca="false">W_PH(J$2,$A275)</f>
        <v>811.796312909135</v>
      </c>
      <c r="K275" s="0" t="n">
        <f aca="false">W_PH(K$2,$A275)</f>
        <v>811.796623074266</v>
      </c>
      <c r="L275" s="0" t="n">
        <f aca="false">W_PH(L$2,$A275)</f>
        <v>811.796933246761</v>
      </c>
      <c r="M275" s="0" t="n">
        <f aca="false">W_PH(M$2,$A275)</f>
        <v>811.797246332113</v>
      </c>
      <c r="N275" s="0" t="n">
        <f aca="false">W_PH(N$2,$A275)</f>
        <v>811.797556519366</v>
      </c>
      <c r="O275" s="0" t="n">
        <f aca="false">W_PH(O$2,$A275)</f>
        <v>811.797866713991</v>
      </c>
      <c r="P275" s="0" t="n">
        <f aca="false">W_PH(P$2,$A275)</f>
        <v>811.800980689132</v>
      </c>
      <c r="Q275" s="0" t="n">
        <f aca="false">W_PH(Q$2,$A275)</f>
        <v>811.8040924996</v>
      </c>
      <c r="R275" s="0" t="n">
        <f aca="false">W_PH(R$2,$A275)</f>
        <v>811.807205053141</v>
      </c>
      <c r="S275" s="0" t="n">
        <f aca="false">W_PH(S$2,$A275)</f>
        <v>811.810318351965</v>
      </c>
      <c r="T275" s="0" t="n">
        <f aca="false">W_PH(T$2,$A275)</f>
        <v>811.813432398285</v>
      </c>
      <c r="U275" s="0" t="n">
        <f aca="false">W_PH(U$2,$A275)</f>
        <v>811.816547194313</v>
      </c>
      <c r="V275" s="0" t="n">
        <f aca="false">W_PH(V$2,$A275)</f>
        <v>811.819662742259</v>
      </c>
      <c r="W275" s="0" t="n">
        <f aca="false">W_PH(W$2,$A275)</f>
        <v>811.822779044336</v>
      </c>
      <c r="X275" s="0" t="n">
        <f aca="false">W_PH(X$2,$A275)</f>
        <v>811.825894649044</v>
      </c>
      <c r="Y275" s="0" t="n">
        <f aca="false">W_PH(Y$2,$A275)</f>
        <v>811.857085495814</v>
      </c>
      <c r="Z275" s="0" t="n">
        <f aca="false">W_PH(Z$2,$A275)</f>
        <v>811.888329626859</v>
      </c>
      <c r="AA275" s="0" t="n">
        <f aca="false">W_PH(AA$2,$A275)</f>
        <v>811.919633566351</v>
      </c>
      <c r="AB275" s="0" t="n">
        <f aca="false">W_PH(AB$2,$A275)</f>
        <v>811.950993643421</v>
      </c>
      <c r="AC275" s="0" t="n">
        <f aca="false">W_PH(AC$2,$A275)</f>
        <v>811.982412003898</v>
      </c>
      <c r="AD275" s="0" t="n">
        <f aca="false">W_PH(AD$2,$A275)</f>
        <v>812.013896631209</v>
      </c>
      <c r="AE275" s="0" t="n">
        <f aca="false">W_PH(AE$2,$A275)</f>
        <v>812.045443834987</v>
      </c>
      <c r="AF275" s="0" t="n">
        <f aca="false">W_PH(AF$2,$A275)</f>
        <v>812.077058678256</v>
      </c>
      <c r="AG275" s="0" t="n">
        <f aca="false">W_PH(AG$2,$A275)</f>
        <v>812.108740377667</v>
      </c>
      <c r="AH275" s="0" t="n">
        <f aca="false">W_PH(AH$2,$A275)</f>
        <v>812.429792774321</v>
      </c>
      <c r="AI275" s="0" t="n">
        <f aca="false">W_PH(AI$2,$A275)</f>
        <v>812.759933894071</v>
      </c>
      <c r="AJ275" s="0" t="n">
        <f aca="false">W_PH(AJ$2,$A275)</f>
        <v>813.101162276665</v>
      </c>
      <c r="AK275" s="0" t="n">
        <f aca="false">W_PH(AK$2,$A275)</f>
        <v>813.45546483682</v>
      </c>
      <c r="AL275" s="0" t="n">
        <f aca="false">W_PH(AL$2,$A275)</f>
        <v>813.824798686945</v>
      </c>
      <c r="AM275" s="0" t="n">
        <f aca="false">W_PH(AM$2,$A275)</f>
        <v>814.211108817128</v>
      </c>
      <c r="AN275" s="0" t="n">
        <f aca="false">W_PH(AN$2,$A275)</f>
        <v>814.616323490453</v>
      </c>
      <c r="AO275" s="0" t="n">
        <f aca="false">W_PH(AO$2,$A275)</f>
        <v>815.042355632657</v>
      </c>
      <c r="AP275" s="0" t="n">
        <f aca="false">W_PH(AP$2,$A275)</f>
        <v>2015</v>
      </c>
      <c r="AQ275" s="0" t="n">
        <f aca="false">W_PH(AQ$2,$A275)</f>
        <v>2015</v>
      </c>
      <c r="AR275" s="0" t="n">
        <f aca="false">W_PH(AR$2,$A275)</f>
        <v>2015</v>
      </c>
      <c r="AS275" s="0" t="n">
        <f aca="false">W_PH(AS$2,$A275)</f>
        <v>2015</v>
      </c>
    </row>
    <row r="276" customFormat="false" ht="13.8" hidden="false" customHeight="false" outlineLevel="0" collapsed="false">
      <c r="A276" s="0" t="n">
        <v>4360</v>
      </c>
      <c r="B276" s="0" t="n">
        <f aca="false">W_PH(B$2,$A276)</f>
        <v>813.148246224382</v>
      </c>
      <c r="C276" s="0" t="n">
        <f aca="false">W_PH(C$2,$A276)</f>
        <v>813.148279367278</v>
      </c>
      <c r="D276" s="0" t="n">
        <f aca="false">W_PH(D$2,$A276)</f>
        <v>813.148309610694</v>
      </c>
      <c r="E276" s="0" t="n">
        <f aca="false">W_PH(E$2,$A276)</f>
        <v>813.148342753738</v>
      </c>
      <c r="F276" s="0" t="n">
        <f aca="false">W_PH(F$2,$A276)</f>
        <v>813.148372997296</v>
      </c>
      <c r="G276" s="0" t="n">
        <f aca="false">W_PH(G$2,$A276)</f>
        <v>813.148689934651</v>
      </c>
      <c r="H276" s="0" t="n">
        <f aca="false">W_PH(H$2,$A276)</f>
        <v>813.149003979651</v>
      </c>
      <c r="I276" s="0" t="n">
        <f aca="false">W_PH(I$2,$A276)</f>
        <v>813.149320931479</v>
      </c>
      <c r="J276" s="0" t="n">
        <f aca="false">W_PH(J$2,$A276)</f>
        <v>813.149634990915</v>
      </c>
      <c r="K276" s="0" t="n">
        <f aca="false">W_PH(K$2,$A276)</f>
        <v>813.149951957224</v>
      </c>
      <c r="L276" s="0" t="n">
        <f aca="false">W_PH(L$2,$A276)</f>
        <v>813.150266031104</v>
      </c>
      <c r="M276" s="0" t="n">
        <f aca="false">W_PH(M$2,$A276)</f>
        <v>813.150583011904</v>
      </c>
      <c r="N276" s="0" t="n">
        <f aca="false">W_PH(N$2,$A276)</f>
        <v>813.1508985501</v>
      </c>
      <c r="O276" s="0" t="n">
        <f aca="false">W_PH(O$2,$A276)</f>
        <v>813.151214095537</v>
      </c>
      <c r="P276" s="0" t="n">
        <f aca="false">W_PH(P$2,$A276)</f>
        <v>813.1543699486</v>
      </c>
      <c r="Q276" s="0" t="n">
        <f aca="false">W_PH(Q$2,$A276)</f>
        <v>813.157526528106</v>
      </c>
      <c r="R276" s="0" t="n">
        <f aca="false">W_PH(R$2,$A276)</f>
        <v>813.160686736611</v>
      </c>
      <c r="S276" s="0" t="n">
        <f aca="false">W_PH(S$2,$A276)</f>
        <v>813.163844775785</v>
      </c>
      <c r="T276" s="0" t="n">
        <f aca="false">W_PH(T$2,$A276)</f>
        <v>813.167002097586</v>
      </c>
      <c r="U276" s="0" t="n">
        <f aca="false">W_PH(U$2,$A276)</f>
        <v>813.170160154391</v>
      </c>
      <c r="V276" s="0" t="n">
        <f aca="false">W_PH(V$2,$A276)</f>
        <v>813.173320398986</v>
      </c>
      <c r="W276" s="0" t="n">
        <f aca="false">W_PH(W$2,$A276)</f>
        <v>813.176481383173</v>
      </c>
      <c r="X276" s="0" t="n">
        <f aca="false">W_PH(X$2,$A276)</f>
        <v>813.179640207538</v>
      </c>
      <c r="Y276" s="0" t="n">
        <f aca="false">W_PH(Y$2,$A276)</f>
        <v>813.211275515666</v>
      </c>
      <c r="Z276" s="0" t="n">
        <f aca="false">W_PH(Z$2,$A276)</f>
        <v>813.242964131312</v>
      </c>
      <c r="AA276" s="0" t="n">
        <f aca="false">W_PH(AA$2,$A276)</f>
        <v>813.27470819193</v>
      </c>
      <c r="AB276" s="0" t="n">
        <f aca="false">W_PH(AB$2,$A276)</f>
        <v>813.306509832698</v>
      </c>
      <c r="AC276" s="0" t="n">
        <f aca="false">W_PH(AC$2,$A276)</f>
        <v>813.338368274609</v>
      </c>
      <c r="AD276" s="0" t="n">
        <f aca="false">W_PH(AD$2,$A276)</f>
        <v>813.370291470081</v>
      </c>
      <c r="AE276" s="0" t="n">
        <f aca="false">W_PH(AE$2,$A276)</f>
        <v>813.40227572162</v>
      </c>
      <c r="AF276" s="0" t="n">
        <f aca="false">W_PH(AF$2,$A276)</f>
        <v>813.434326067291</v>
      </c>
      <c r="AG276" s="0" t="n">
        <f aca="false">W_PH(AG$2,$A276)</f>
        <v>813.466444631002</v>
      </c>
      <c r="AH276" s="0" t="n">
        <f aca="false">W_PH(AH$2,$A276)</f>
        <v>813.791783244154</v>
      </c>
      <c r="AI276" s="0" t="n">
        <f aca="false">W_PH(AI$2,$A276)</f>
        <v>814.126079201654</v>
      </c>
      <c r="AJ276" s="0" t="n">
        <f aca="false">W_PH(AJ$2,$A276)</f>
        <v>814.471315749123</v>
      </c>
      <c r="AK276" s="0" t="n">
        <f aca="false">W_PH(AK$2,$A276)</f>
        <v>814.829462083105</v>
      </c>
      <c r="AL276" s="0" t="n">
        <f aca="false">W_PH(AL$2,$A276)</f>
        <v>815.202462636443</v>
      </c>
      <c r="AM276" s="0" t="n">
        <f aca="false">W_PH(AM$2,$A276)</f>
        <v>815.592250273324</v>
      </c>
      <c r="AN276" s="0" t="n">
        <f aca="false">W_PH(AN$2,$A276)</f>
        <v>816.000734017905</v>
      </c>
      <c r="AO276" s="0" t="n">
        <f aca="false">W_PH(AO$2,$A276)</f>
        <v>816.429817092758</v>
      </c>
      <c r="AP276" s="0" t="n">
        <f aca="false">W_PH(AP$2,$A276)</f>
        <v>2015</v>
      </c>
      <c r="AQ276" s="0" t="n">
        <f aca="false">W_PH(AQ$2,$A276)</f>
        <v>2015</v>
      </c>
      <c r="AR276" s="0" t="n">
        <f aca="false">W_PH(AR$2,$A276)</f>
        <v>2015</v>
      </c>
      <c r="AS276" s="0" t="n">
        <f aca="false">W_PH(AS$2,$A276)</f>
        <v>2015</v>
      </c>
    </row>
    <row r="277" customFormat="false" ht="13.8" hidden="false" customHeight="false" outlineLevel="0" collapsed="false">
      <c r="A277" s="0" t="n">
        <v>4370</v>
      </c>
      <c r="B277" s="0" t="n">
        <f aca="false">W_PH(B$2,$A277)</f>
        <v>814.497298592637</v>
      </c>
      <c r="C277" s="0" t="n">
        <f aca="false">W_PH(C$2,$A277)</f>
        <v>814.497329794063</v>
      </c>
      <c r="D277" s="0" t="n">
        <f aca="false">W_PH(D$2,$A277)</f>
        <v>814.497360995558</v>
      </c>
      <c r="E277" s="0" t="n">
        <f aca="false">W_PH(E$2,$A277)</f>
        <v>814.497393644039</v>
      </c>
      <c r="F277" s="0" t="n">
        <f aca="false">W_PH(F$2,$A277)</f>
        <v>814.497426292591</v>
      </c>
      <c r="G277" s="0" t="n">
        <f aca="false">W_PH(G$2,$A277)</f>
        <v>814.497746994352</v>
      </c>
      <c r="H277" s="0" t="n">
        <f aca="false">W_PH(H$2,$A277)</f>
        <v>814.498064809335</v>
      </c>
      <c r="I277" s="0" t="n">
        <f aca="false">W_PH(I$2,$A277)</f>
        <v>814.49838552527</v>
      </c>
      <c r="J277" s="0" t="n">
        <f aca="false">W_PH(J$2,$A277)</f>
        <v>814.498706248305</v>
      </c>
      <c r="K277" s="0" t="n">
        <f aca="false">W_PH(K$2,$A277)</f>
        <v>814.499025531474</v>
      </c>
      <c r="L277" s="0" t="n">
        <f aca="false">W_PH(L$2,$A277)</f>
        <v>814.499344821727</v>
      </c>
      <c r="M277" s="0" t="n">
        <f aca="false">W_PH(M$2,$A277)</f>
        <v>814.499665566055</v>
      </c>
      <c r="N277" s="0" t="n">
        <f aca="false">W_PH(N$2,$A277)</f>
        <v>814.499986317491</v>
      </c>
      <c r="O277" s="0" t="n">
        <f aca="false">W_PH(O$2,$A277)</f>
        <v>814.500305629029</v>
      </c>
      <c r="P277" s="0" t="n">
        <f aca="false">W_PH(P$2,$A277)</f>
        <v>814.50350637042</v>
      </c>
      <c r="Q277" s="0" t="n">
        <f aca="false">W_PH(Q$2,$A277)</f>
        <v>814.506706377055</v>
      </c>
      <c r="R277" s="0" t="n">
        <f aca="false">W_PH(R$2,$A277)</f>
        <v>814.509908545429</v>
      </c>
      <c r="S277" s="0" t="n">
        <f aca="false">W_PH(S$2,$A277)</f>
        <v>814.513111430605</v>
      </c>
      <c r="T277" s="0" t="n">
        <f aca="false">W_PH(T$2,$A277)</f>
        <v>814.516313587236</v>
      </c>
      <c r="U277" s="0" t="n">
        <f aca="false">W_PH(U$2,$A277)</f>
        <v>814.519516464809</v>
      </c>
      <c r="V277" s="0" t="n">
        <f aca="false">W_PH(V$2,$A277)</f>
        <v>814.522720065493</v>
      </c>
      <c r="W277" s="0" t="n">
        <f aca="false">W_PH(W$2,$A277)</f>
        <v>814.525924391462</v>
      </c>
      <c r="X277" s="0" t="n">
        <f aca="false">W_PH(X$2,$A277)</f>
        <v>814.529126549035</v>
      </c>
      <c r="Y277" s="0" t="n">
        <f aca="false">W_PH(Y$2,$A277)</f>
        <v>814.561200181377</v>
      </c>
      <c r="Z277" s="0" t="n">
        <f aca="false">W_PH(Z$2,$A277)</f>
        <v>814.593322821873</v>
      </c>
      <c r="AA277" s="0" t="n">
        <f aca="false">W_PH(AA$2,$A277)</f>
        <v>814.625502386763</v>
      </c>
      <c r="AB277" s="0" t="n">
        <f aca="false">W_PH(AB$2,$A277)</f>
        <v>814.657738094375</v>
      </c>
      <c r="AC277" s="0" t="n">
        <f aca="false">W_PH(AC$2,$A277)</f>
        <v>814.690032058713</v>
      </c>
      <c r="AD277" s="0" t="n">
        <f aca="false">W_PH(AD$2,$A277)</f>
        <v>814.722386391578</v>
      </c>
      <c r="AE277" s="0" t="n">
        <f aca="false">W_PH(AE$2,$A277)</f>
        <v>814.754801747537</v>
      </c>
      <c r="AF277" s="0" t="n">
        <f aca="false">W_PH(AF$2,$A277)</f>
        <v>814.787281687022</v>
      </c>
      <c r="AG277" s="0" t="n">
        <f aca="false">W_PH(AG$2,$A277)</f>
        <v>814.819829772334</v>
      </c>
      <c r="AH277" s="0" t="n">
        <f aca="false">W_PH(AH$2,$A277)</f>
        <v>815.149391813539</v>
      </c>
      <c r="AI277" s="0" t="n">
        <f aca="false">W_PH(AI$2,$A277)</f>
        <v>815.487783315978</v>
      </c>
      <c r="AJ277" s="0" t="n">
        <f aca="false">W_PH(AJ$2,$A277)</f>
        <v>815.836970956146</v>
      </c>
      <c r="AK277" s="0" t="n">
        <f aca="false">W_PH(AK$2,$A277)</f>
        <v>816.198907888791</v>
      </c>
      <c r="AL277" s="0" t="n">
        <f aca="false">W_PH(AL$2,$A277)</f>
        <v>816.575526039807</v>
      </c>
      <c r="AM277" s="0" t="n">
        <f aca="false">W_PH(AM$2,$A277)</f>
        <v>816.968740242072</v>
      </c>
      <c r="AN277" s="0" t="n">
        <f aca="false">W_PH(AN$2,$A277)</f>
        <v>817.380451023778</v>
      </c>
      <c r="AO277" s="0" t="n">
        <f aca="false">W_PH(AO$2,$A277)</f>
        <v>817.812544442215</v>
      </c>
      <c r="AP277" s="0" t="n">
        <f aca="false">W_PH(AP$2,$A277)</f>
        <v>2015</v>
      </c>
      <c r="AQ277" s="0" t="n">
        <f aca="false">W_PH(AQ$2,$A277)</f>
        <v>2015</v>
      </c>
      <c r="AR277" s="0" t="n">
        <f aca="false">W_PH(AR$2,$A277)</f>
        <v>2015</v>
      </c>
      <c r="AS277" s="0" t="n">
        <f aca="false">W_PH(AS$2,$A277)</f>
        <v>2015</v>
      </c>
    </row>
    <row r="278" customFormat="false" ht="13.8" hidden="false" customHeight="false" outlineLevel="0" collapsed="false">
      <c r="A278" s="0" t="n">
        <v>4380</v>
      </c>
      <c r="B278" s="0" t="n">
        <f aca="false">W_PH(B$2,$A278)</f>
        <v>815.842133241362</v>
      </c>
      <c r="C278" s="0" t="n">
        <f aca="false">W_PH(C$2,$A278)</f>
        <v>815.842165385641</v>
      </c>
      <c r="D278" s="0" t="n">
        <f aca="false">W_PH(D$2,$A278)</f>
        <v>815.84219752999</v>
      </c>
      <c r="E278" s="0" t="n">
        <f aca="false">W_PH(E$2,$A278)</f>
        <v>815.842229674407</v>
      </c>
      <c r="F278" s="0" t="n">
        <f aca="false">W_PH(F$2,$A278)</f>
        <v>815.842261818894</v>
      </c>
      <c r="G278" s="0" t="n">
        <f aca="false">W_PH(G$2,$A278)</f>
        <v>815.842586155741</v>
      </c>
      <c r="H278" s="0" t="n">
        <f aca="false">W_PH(H$2,$A278)</f>
        <v>815.842910499537</v>
      </c>
      <c r="I278" s="0" t="n">
        <f aca="false">W_PH(I$2,$A278)</f>
        <v>815.843234850282</v>
      </c>
      <c r="J278" s="0" t="n">
        <f aca="false">W_PH(J$2,$A278)</f>
        <v>815.843559207981</v>
      </c>
      <c r="K278" s="0" t="n">
        <f aca="false">W_PH(K$2,$A278)</f>
        <v>815.843883572633</v>
      </c>
      <c r="L278" s="0" t="n">
        <f aca="false">W_PH(L$2,$A278)</f>
        <v>815.844207944243</v>
      </c>
      <c r="M278" s="0" t="n">
        <f aca="false">W_PH(M$2,$A278)</f>
        <v>815.844532322812</v>
      </c>
      <c r="N278" s="0" t="n">
        <f aca="false">W_PH(N$2,$A278)</f>
        <v>815.844856708341</v>
      </c>
      <c r="O278" s="0" t="n">
        <f aca="false">W_PH(O$2,$A278)</f>
        <v>815.845181100834</v>
      </c>
      <c r="P278" s="0" t="n">
        <f aca="false">W_PH(P$2,$A278)</f>
        <v>815.848425409214</v>
      </c>
      <c r="Q278" s="0" t="n">
        <f aca="false">W_PH(Q$2,$A278)</f>
        <v>815.851668971913</v>
      </c>
      <c r="R278" s="0" t="n">
        <f aca="false">W_PH(R$2,$A278)</f>
        <v>815.854913235254</v>
      </c>
      <c r="S278" s="0" t="n">
        <f aca="false">W_PH(S$2,$A278)</f>
        <v>815.858159645966</v>
      </c>
      <c r="T278" s="0" t="n">
        <f aca="false">W_PH(T$2,$A278)</f>
        <v>815.861403872477</v>
      </c>
      <c r="U278" s="0" t="n">
        <f aca="false">W_PH(U$2,$A278)</f>
        <v>815.864650250663</v>
      </c>
      <c r="V278" s="0" t="n">
        <f aca="false">W_PH(V$2,$A278)</f>
        <v>815.867897338101</v>
      </c>
      <c r="W278" s="0" t="n">
        <f aca="false">W_PH(W$2,$A278)</f>
        <v>815.871143691967</v>
      </c>
      <c r="X278" s="0" t="n">
        <f aca="false">W_PH(X$2,$A278)</f>
        <v>815.874390759188</v>
      </c>
      <c r="Y278" s="0" t="n">
        <f aca="false">W_PH(Y$2,$A278)</f>
        <v>815.906895354742</v>
      </c>
      <c r="Z278" s="0" t="n">
        <f aca="false">W_PH(Z$2,$A278)</f>
        <v>815.9394475952</v>
      </c>
      <c r="AA278" s="0" t="n">
        <f aca="false">W_PH(AA$2,$A278)</f>
        <v>815.972055366581</v>
      </c>
      <c r="AB278" s="0" t="n">
        <f aca="false">W_PH(AB$2,$A278)</f>
        <v>816.004720772435</v>
      </c>
      <c r="AC278" s="0" t="n">
        <f aca="false">W_PH(AC$2,$A278)</f>
        <v>816.037440113782</v>
      </c>
      <c r="AD278" s="0" t="n">
        <f aca="false">W_PH(AD$2,$A278)</f>
        <v>816.070219831122</v>
      </c>
      <c r="AE278" s="0" t="n">
        <f aca="false">W_PH(AE$2,$A278)</f>
        <v>816.103060566459</v>
      </c>
      <c r="AF278" s="0" t="n">
        <f aca="false">W_PH(AF$2,$A278)</f>
        <v>816.135965861847</v>
      </c>
      <c r="AG278" s="0" t="n">
        <f aca="false">W_PH(AG$2,$A278)</f>
        <v>816.168936353032</v>
      </c>
      <c r="AH278" s="0" t="n">
        <f aca="false">W_PH(AH$2,$A278)</f>
        <v>816.502661211704</v>
      </c>
      <c r="AI278" s="0" t="n">
        <f aca="false">W_PH(AI$2,$A278)</f>
        <v>816.845088124404</v>
      </c>
      <c r="AJ278" s="0" t="n">
        <f aca="false">W_PH(AJ$2,$A278)</f>
        <v>817.19817180468</v>
      </c>
      <c r="AK278" s="0" t="n">
        <f aca="false">W_PH(AK$2,$A278)</f>
        <v>817.563848099915</v>
      </c>
      <c r="AL278" s="0" t="n">
        <f aca="false">W_PH(AL$2,$A278)</f>
        <v>817.944032090519</v>
      </c>
      <c r="AM278" s="0" t="n">
        <f aca="false">W_PH(AM$2,$A278)</f>
        <v>818.340631260275</v>
      </c>
      <c r="AN278" s="0" t="n">
        <f aca="false">W_PH(AN$2,$A278)</f>
        <v>818.755524190654</v>
      </c>
      <c r="AO278" s="0" t="n">
        <f aca="false">W_PH(AO$2,$A278)</f>
        <v>819.190587446704</v>
      </c>
      <c r="AP278" s="0" t="n">
        <f aca="false">W_PH(AP$2,$A278)</f>
        <v>2015</v>
      </c>
      <c r="AQ278" s="0" t="n">
        <f aca="false">W_PH(AQ$2,$A278)</f>
        <v>2015</v>
      </c>
      <c r="AR278" s="0" t="n">
        <f aca="false">W_PH(AR$2,$A278)</f>
        <v>2015</v>
      </c>
      <c r="AS278" s="0" t="n">
        <f aca="false">W_PH(AS$2,$A278)</f>
        <v>2015</v>
      </c>
    </row>
    <row r="279" customFormat="false" ht="13.8" hidden="false" customHeight="false" outlineLevel="0" collapsed="false">
      <c r="A279" s="0" t="n">
        <v>4390</v>
      </c>
      <c r="B279" s="0" t="n">
        <f aca="false">W_PH(B$2,$A279)</f>
        <v>817.182790811352</v>
      </c>
      <c r="C279" s="0" t="n">
        <f aca="false">W_PH(C$2,$A279)</f>
        <v>817.18282388355</v>
      </c>
      <c r="D279" s="0" t="n">
        <f aca="false">W_PH(D$2,$A279)</f>
        <v>817.182855514544</v>
      </c>
      <c r="E279" s="0" t="n">
        <f aca="false">W_PH(E$2,$A279)</f>
        <v>817.182887145605</v>
      </c>
      <c r="F279" s="0" t="n">
        <f aca="false">W_PH(F$2,$A279)</f>
        <v>817.182920218006</v>
      </c>
      <c r="G279" s="0" t="n">
        <f aca="false">W_PH(G$2,$A279)</f>
        <v>817.183250945778</v>
      </c>
      <c r="H279" s="0" t="n">
        <f aca="false">W_PH(H$2,$A279)</f>
        <v>817.183578797806</v>
      </c>
      <c r="I279" s="0" t="n">
        <f aca="false">W_PH(I$2,$A279)</f>
        <v>817.183906656639</v>
      </c>
      <c r="J279" s="0" t="n">
        <f aca="false">W_PH(J$2,$A279)</f>
        <v>817.184234522279</v>
      </c>
      <c r="K279" s="0" t="n">
        <f aca="false">W_PH(K$2,$A279)</f>
        <v>817.184565277376</v>
      </c>
      <c r="L279" s="0" t="n">
        <f aca="false">W_PH(L$2,$A279)</f>
        <v>817.184893156657</v>
      </c>
      <c r="M279" s="0" t="n">
        <f aca="false">W_PH(M$2,$A279)</f>
        <v>817.185221042753</v>
      </c>
      <c r="N279" s="0" t="n">
        <f aca="false">W_PH(N$2,$A279)</f>
        <v>817.185548935664</v>
      </c>
      <c r="O279" s="0" t="n">
        <f aca="false">W_PH(O$2,$A279)</f>
        <v>817.185879718119</v>
      </c>
      <c r="P279" s="0" t="n">
        <f aca="false">W_PH(P$2,$A279)</f>
        <v>817.18916485692</v>
      </c>
      <c r="Q279" s="0" t="n">
        <f aca="false">W_PH(Q$2,$A279)</f>
        <v>817.192450680667</v>
      </c>
      <c r="R279" s="0" t="n">
        <f aca="false">W_PH(R$2,$A279)</f>
        <v>817.195738633152</v>
      </c>
      <c r="S279" s="0" t="n">
        <f aca="false">W_PH(S$2,$A279)</f>
        <v>817.199027275048</v>
      </c>
      <c r="T279" s="0" t="n">
        <f aca="false">W_PH(T$2,$A279)</f>
        <v>817.202315166629</v>
      </c>
      <c r="U279" s="0" t="n">
        <f aca="false">W_PH(U$2,$A279)</f>
        <v>817.205603751689</v>
      </c>
      <c r="V279" s="0" t="n">
        <f aca="false">W_PH(V$2,$A279)</f>
        <v>817.208893032359</v>
      </c>
      <c r="W279" s="0" t="n">
        <f aca="false">W_PH(W$2,$A279)</f>
        <v>817.212183010772</v>
      </c>
      <c r="X279" s="0" t="n">
        <f aca="false">W_PH(X$2,$A279)</f>
        <v>817.215470804551</v>
      </c>
      <c r="Y279" s="0" t="n">
        <f aca="false">W_PH(Y$2,$A279)</f>
        <v>817.248399228623</v>
      </c>
      <c r="Z279" s="0" t="n">
        <f aca="false">W_PH(Z$2,$A279)</f>
        <v>817.281376852622</v>
      </c>
      <c r="AA279" s="0" t="n">
        <f aca="false">W_PH(AA$2,$A279)</f>
        <v>817.314408648218</v>
      </c>
      <c r="AB279" s="0" t="n">
        <f aca="false">W_PH(AB$2,$A279)</f>
        <v>817.347493808036</v>
      </c>
      <c r="AC279" s="0" t="n">
        <f aca="false">W_PH(AC$2,$A279)</f>
        <v>817.380634409092</v>
      </c>
      <c r="AD279" s="0" t="n">
        <f aca="false">W_PH(AD$2,$A279)</f>
        <v>817.413832526317</v>
      </c>
      <c r="AE279" s="0" t="n">
        <f aca="false">W_PH(AE$2,$A279)</f>
        <v>817.447093130909</v>
      </c>
      <c r="AF279" s="0" t="n">
        <f aca="false">W_PH(AF$2,$A279)</f>
        <v>817.480415399234</v>
      </c>
      <c r="AG279" s="0" t="n">
        <f aca="false">W_PH(AG$2,$A279)</f>
        <v>817.513801399996</v>
      </c>
      <c r="AH279" s="0" t="n">
        <f aca="false">W_PH(AH$2,$A279)</f>
        <v>817.851629108902</v>
      </c>
      <c r="AI279" s="0" t="n">
        <f aca="false">W_PH(AI$2,$A279)</f>
        <v>818.19803628173</v>
      </c>
      <c r="AJ279" s="0" t="n">
        <f aca="false">W_PH(AJ$2,$A279)</f>
        <v>818.554961448029</v>
      </c>
      <c r="AK279" s="0" t="n">
        <f aca="false">W_PH(AK$2,$A279)</f>
        <v>818.924321801542</v>
      </c>
      <c r="AL279" s="0" t="n">
        <f aca="false">W_PH(AL$2,$A279)</f>
        <v>819.30802617337</v>
      </c>
      <c r="AM279" s="0" t="n">
        <f aca="false">W_PH(AM$2,$A279)</f>
        <v>819.707959859584</v>
      </c>
      <c r="AN279" s="0" t="n">
        <f aca="false">W_PH(AN$2,$A279)</f>
        <v>820.125996209625</v>
      </c>
      <c r="AO279" s="0" t="n">
        <f aca="false">W_PH(AO$2,$A279)</f>
        <v>820.563991870933</v>
      </c>
      <c r="AP279" s="0" t="n">
        <f aca="false">W_PH(AP$2,$A279)</f>
        <v>2015</v>
      </c>
      <c r="AQ279" s="0" t="n">
        <f aca="false">W_PH(AQ$2,$A279)</f>
        <v>2015</v>
      </c>
      <c r="AR279" s="0" t="n">
        <f aca="false">W_PH(AR$2,$A279)</f>
        <v>2015</v>
      </c>
      <c r="AS279" s="0" t="n">
        <f aca="false">W_PH(AS$2,$A279)</f>
        <v>2015</v>
      </c>
    </row>
    <row r="280" customFormat="false" ht="13.8" hidden="false" customHeight="false" outlineLevel="0" collapsed="false">
      <c r="A280" s="0" t="n">
        <v>4400</v>
      </c>
      <c r="B280" s="0" t="n">
        <f aca="false">W_PH(B$2,$A280)</f>
        <v>818.51930848864</v>
      </c>
      <c r="C280" s="0" t="n">
        <f aca="false">W_PH(C$2,$A280)</f>
        <v>818.519341035614</v>
      </c>
      <c r="D280" s="0" t="n">
        <f aca="false">W_PH(D$2,$A280)</f>
        <v>818.519373582654</v>
      </c>
      <c r="E280" s="0" t="n">
        <f aca="false">W_PH(E$2,$A280)</f>
        <v>818.519407568252</v>
      </c>
      <c r="F280" s="0" t="n">
        <f aca="false">W_PH(F$2,$A280)</f>
        <v>818.519441553918</v>
      </c>
      <c r="G280" s="0" t="n">
        <f aca="false">W_PH(G$2,$A280)</f>
        <v>818.519772783282</v>
      </c>
      <c r="H280" s="0" t="n">
        <f aca="false">W_PH(H$2,$A280)</f>
        <v>818.520106896334</v>
      </c>
      <c r="I280" s="0" t="n">
        <f aca="false">W_PH(I$2,$A280)</f>
        <v>818.520438139041</v>
      </c>
      <c r="J280" s="0" t="n">
        <f aca="false">W_PH(J$2,$A280)</f>
        <v>818.520772265478</v>
      </c>
      <c r="K280" s="0" t="n">
        <f aca="false">W_PH(K$2,$A280)</f>
        <v>818.521103521537</v>
      </c>
      <c r="L280" s="0" t="n">
        <f aca="false">W_PH(L$2,$A280)</f>
        <v>818.521437661369</v>
      </c>
      <c r="M280" s="0" t="n">
        <f aca="false">W_PH(M$2,$A280)</f>
        <v>818.521768930787</v>
      </c>
      <c r="N280" s="0" t="n">
        <f aca="false">W_PH(N$2,$A280)</f>
        <v>818.522103084022</v>
      </c>
      <c r="O280" s="0" t="n">
        <f aca="false">W_PH(O$2,$A280)</f>
        <v>818.522435805389</v>
      </c>
      <c r="P280" s="0" t="n">
        <f aca="false">W_PH(P$2,$A280)</f>
        <v>818.525764826426</v>
      </c>
      <c r="Q280" s="0" t="n">
        <f aca="false">W_PH(Q$2,$A280)</f>
        <v>818.529093080693</v>
      </c>
      <c r="R280" s="0" t="n">
        <f aca="false">W_PH(R$2,$A280)</f>
        <v>818.532422008885</v>
      </c>
      <c r="S280" s="0" t="n">
        <f aca="false">W_PH(S$2,$A280)</f>
        <v>818.535751613117</v>
      </c>
      <c r="T280" s="0" t="n">
        <f aca="false">W_PH(T$2,$A280)</f>
        <v>818.539081895503</v>
      </c>
      <c r="U280" s="0" t="n">
        <f aca="false">W_PH(U$2,$A280)</f>
        <v>818.542412858157</v>
      </c>
      <c r="V280" s="0" t="n">
        <f aca="false">W_PH(V$2,$A280)</f>
        <v>818.545743063927</v>
      </c>
      <c r="W280" s="0" t="n">
        <f aca="false">W_PH(W$2,$A280)</f>
        <v>818.549073953997</v>
      </c>
      <c r="X280" s="0" t="n">
        <f aca="false">W_PH(X$2,$A280)</f>
        <v>818.552406969941</v>
      </c>
      <c r="Y280" s="0" t="n">
        <f aca="false">W_PH(Y$2,$A280)</f>
        <v>818.585752310624</v>
      </c>
      <c r="Z280" s="0" t="n">
        <f aca="false">W_PH(Z$2,$A280)</f>
        <v>818.6191484242</v>
      </c>
      <c r="AA280" s="0" t="n">
        <f aca="false">W_PH(AA$2,$A280)</f>
        <v>818.652594494762</v>
      </c>
      <c r="AB280" s="0" t="n">
        <f aca="false">W_PH(AB$2,$A280)</f>
        <v>818.686095470013</v>
      </c>
      <c r="AC280" s="0" t="n">
        <f aca="false">W_PH(AC$2,$A280)</f>
        <v>818.719650526048</v>
      </c>
      <c r="AD280" s="0" t="n">
        <f aca="false">W_PH(AD$2,$A280)</f>
        <v>818.753264610382</v>
      </c>
      <c r="AE280" s="0" t="n">
        <f aca="false">W_PH(AE$2,$A280)</f>
        <v>818.786936891144</v>
      </c>
      <c r="AF280" s="0" t="n">
        <f aca="false">W_PH(AF$2,$A280)</f>
        <v>818.820669421172</v>
      </c>
      <c r="AG280" s="0" t="n">
        <f aca="false">W_PH(AG$2,$A280)</f>
        <v>818.854467147748</v>
      </c>
      <c r="AH280" s="0" t="n">
        <f aca="false">W_PH(AH$2,$A280)</f>
        <v>819.196338382507</v>
      </c>
      <c r="AI280" s="0" t="n">
        <f aca="false">W_PH(AI$2,$A280)</f>
        <v>819.54666680799</v>
      </c>
      <c r="AJ280" s="0" t="n">
        <f aca="false">W_PH(AJ$2,$A280)</f>
        <v>819.907379349645</v>
      </c>
      <c r="AK280" s="0" t="n">
        <f aca="false">W_PH(AK$2,$A280)</f>
        <v>820.280376267329</v>
      </c>
      <c r="AL280" s="0" t="n">
        <f aca="false">W_PH(AL$2,$A280)</f>
        <v>820.667549866911</v>
      </c>
      <c r="AM280" s="0" t="n">
        <f aca="false">W_PH(AM$2,$A280)</f>
        <v>821.070776858653</v>
      </c>
      <c r="AN280" s="0" t="n">
        <f aca="false">W_PH(AN$2,$A280)</f>
        <v>821.49191044435</v>
      </c>
      <c r="AO280" s="0" t="n">
        <f aca="false">W_PH(AO$2,$A280)</f>
        <v>821.93279649852</v>
      </c>
      <c r="AP280" s="0" t="n">
        <f aca="false">W_PH(AP$2,$A280)</f>
        <v>2015</v>
      </c>
      <c r="AQ280" s="0" t="n">
        <f aca="false">W_PH(AQ$2,$A280)</f>
        <v>2015</v>
      </c>
      <c r="AR280" s="0" t="n">
        <f aca="false">W_PH(AR$2,$A280)</f>
        <v>2015</v>
      </c>
      <c r="AS280" s="0" t="n">
        <f aca="false">W_PH(AS$2,$A280)</f>
        <v>2015</v>
      </c>
    </row>
    <row r="281" customFormat="false" ht="13.8" hidden="false" customHeight="false" outlineLevel="0" collapsed="false">
      <c r="A281" s="0" t="n">
        <v>4410</v>
      </c>
      <c r="B281" s="0" t="n">
        <f aca="false">W_PH(B$2,$A281)</f>
        <v>819.851722915746</v>
      </c>
      <c r="C281" s="0" t="n">
        <f aca="false">W_PH(C$2,$A281)</f>
        <v>819.851757800102</v>
      </c>
      <c r="D281" s="0" t="n">
        <f aca="false">W_PH(D$2,$A281)</f>
        <v>819.851789813051</v>
      </c>
      <c r="E281" s="0" t="n">
        <f aca="false">W_PH(E$2,$A281)</f>
        <v>819.85182469754</v>
      </c>
      <c r="F281" s="0" t="n">
        <f aca="false">W_PH(F$2,$A281)</f>
        <v>819.851856710616</v>
      </c>
      <c r="G281" s="0" t="n">
        <f aca="false">W_PH(G$2,$A281)</f>
        <v>819.852194073855</v>
      </c>
      <c r="H281" s="0" t="n">
        <f aca="false">W_PH(H$2,$A281)</f>
        <v>819.852531443653</v>
      </c>
      <c r="I281" s="0" t="n">
        <f aca="false">W_PH(I$2,$A281)</f>
        <v>819.852868820011</v>
      </c>
      <c r="J281" s="0" t="n">
        <f aca="false">W_PH(J$2,$A281)</f>
        <v>819.853206202933</v>
      </c>
      <c r="K281" s="0" t="n">
        <f aca="false">W_PH(K$2,$A281)</f>
        <v>819.85354359242</v>
      </c>
      <c r="L281" s="0" t="n">
        <f aca="false">W_PH(L$2,$A281)</f>
        <v>819.853878116878</v>
      </c>
      <c r="M281" s="0" t="n">
        <f aca="false">W_PH(M$2,$A281)</f>
        <v>819.854215519482</v>
      </c>
      <c r="N281" s="0" t="n">
        <f aca="false">W_PH(N$2,$A281)</f>
        <v>819.854552928658</v>
      </c>
      <c r="O281" s="0" t="n">
        <f aca="false">W_PH(O$2,$A281)</f>
        <v>819.854890344406</v>
      </c>
      <c r="P281" s="0" t="n">
        <f aca="false">W_PH(P$2,$A281)</f>
        <v>819.858259120206</v>
      </c>
      <c r="Q281" s="0" t="n">
        <f aca="false">W_PH(Q$2,$A281)</f>
        <v>819.86162855489</v>
      </c>
      <c r="R281" s="0" t="n">
        <f aca="false">W_PH(R$2,$A281)</f>
        <v>819.865001522786</v>
      </c>
      <c r="S281" s="0" t="n">
        <f aca="false">W_PH(S$2,$A281)</f>
        <v>819.868372281717</v>
      </c>
      <c r="T281" s="0" t="n">
        <f aca="false">W_PH(T$2,$A281)</f>
        <v>819.87174370582</v>
      </c>
      <c r="U281" s="0" t="n">
        <f aca="false">W_PH(U$2,$A281)</f>
        <v>819.875114360784</v>
      </c>
      <c r="V281" s="0" t="n">
        <f aca="false">W_PH(V$2,$A281)</f>
        <v>819.878485684916</v>
      </c>
      <c r="W281" s="0" t="n">
        <f aca="false">W_PH(W$2,$A281)</f>
        <v>819.88185911691</v>
      </c>
      <c r="X281" s="0" t="n">
        <f aca="false">W_PH(X$2,$A281)</f>
        <v>819.885233222455</v>
      </c>
      <c r="Y281" s="0" t="n">
        <f aca="false">W_PH(Y$2,$A281)</f>
        <v>819.918991656661</v>
      </c>
      <c r="Z281" s="0" t="n">
        <f aca="false">W_PH(Z$2,$A281)</f>
        <v>819.952796703634</v>
      </c>
      <c r="AA281" s="0" t="n">
        <f aca="false">W_PH(AA$2,$A281)</f>
        <v>819.986654727206</v>
      </c>
      <c r="AB281" s="0" t="n">
        <f aca="false">W_PH(AB$2,$A281)</f>
        <v>820.020563457481</v>
      </c>
      <c r="AC281" s="0" t="n">
        <f aca="false">W_PH(AC$2,$A281)</f>
        <v>820.054529260073</v>
      </c>
      <c r="AD281" s="0" t="n">
        <f aca="false">W_PH(AD$2,$A281)</f>
        <v>820.08854985533</v>
      </c>
      <c r="AE281" s="0" t="n">
        <f aca="false">W_PH(AE$2,$A281)</f>
        <v>820.122627280381</v>
      </c>
      <c r="AF281" s="0" t="n">
        <f aca="false">W_PH(AF$2,$A281)</f>
        <v>820.156766459158</v>
      </c>
      <c r="AG281" s="0" t="n">
        <f aca="false">W_PH(AG$2,$A281)</f>
        <v>820.19096943061</v>
      </c>
      <c r="AH281" s="0" t="n">
        <f aca="false">W_PH(AH$2,$A281)</f>
        <v>820.536826886368</v>
      </c>
      <c r="AI281" s="0" t="n">
        <f aca="false">W_PH(AI$2,$A281)</f>
        <v>820.891023921679</v>
      </c>
      <c r="AJ281" s="0" t="n">
        <f aca="false">W_PH(AJ$2,$A281)</f>
        <v>821.255465753769</v>
      </c>
      <c r="AK281" s="0" t="n">
        <f aca="false">W_PH(AK$2,$A281)</f>
        <v>821.632049081217</v>
      </c>
      <c r="AL281" s="0" t="n">
        <f aca="false">W_PH(AL$2,$A281)</f>
        <v>822.022648457154</v>
      </c>
      <c r="AM281" s="0" t="n">
        <f aca="false">W_PH(AM$2,$A281)</f>
        <v>822.429120187838</v>
      </c>
      <c r="AN281" s="0" t="n">
        <f aca="false">W_PH(AN$2,$A281)</f>
        <v>822.853309423475</v>
      </c>
      <c r="AO281" s="0" t="n">
        <f aca="false">W_PH(AO$2,$A281)</f>
        <v>823.297054479139</v>
      </c>
      <c r="AP281" s="0" t="n">
        <f aca="false">W_PH(AP$2,$A281)</f>
        <v>2015</v>
      </c>
      <c r="AQ281" s="0" t="n">
        <f aca="false">W_PH(AQ$2,$A281)</f>
        <v>2015</v>
      </c>
      <c r="AR281" s="0" t="n">
        <f aca="false">W_PH(AR$2,$A281)</f>
        <v>2015</v>
      </c>
      <c r="AS281" s="0" t="n">
        <f aca="false">W_PH(AS$2,$A281)</f>
        <v>2015</v>
      </c>
    </row>
    <row r="282" customFormat="false" ht="13.8" hidden="false" customHeight="false" outlineLevel="0" collapsed="false">
      <c r="A282" s="0" t="n">
        <v>4420</v>
      </c>
      <c r="B282" s="0" t="n">
        <f aca="false">W_PH(B$2,$A282)</f>
        <v>821.180073069102</v>
      </c>
      <c r="C282" s="0" t="n">
        <f aca="false">W_PH(C$2,$A282)</f>
        <v>821.180107405241</v>
      </c>
      <c r="D282" s="0" t="n">
        <f aca="false">W_PH(D$2,$A282)</f>
        <v>821.180141741444</v>
      </c>
      <c r="E282" s="0" t="n">
        <f aca="false">W_PH(E$2,$A282)</f>
        <v>821.180174644699</v>
      </c>
      <c r="F282" s="0" t="n">
        <f aca="false">W_PH(F$2,$A282)</f>
        <v>821.180210414043</v>
      </c>
      <c r="G282" s="0" t="n">
        <f aca="false">W_PH(G$2,$A282)</f>
        <v>821.18055091487</v>
      </c>
      <c r="H282" s="0" t="n">
        <f aca="false">W_PH(H$2,$A282)</f>
        <v>821.180891422117</v>
      </c>
      <c r="I282" s="0" t="n">
        <f aca="false">W_PH(I$2,$A282)</f>
        <v>821.181231935787</v>
      </c>
      <c r="J282" s="0" t="n">
        <f aca="false">W_PH(J$2,$A282)</f>
        <v>821.181572455882</v>
      </c>
      <c r="K282" s="0" t="n">
        <f aca="false">W_PH(K$2,$A282)</f>
        <v>821.181914415462</v>
      </c>
      <c r="L282" s="0" t="n">
        <f aca="false">W_PH(L$2,$A282)</f>
        <v>821.182256381491</v>
      </c>
      <c r="M282" s="0" t="n">
        <f aca="false">W_PH(M$2,$A282)</f>
        <v>821.182596920891</v>
      </c>
      <c r="N282" s="0" t="n">
        <f aca="false">W_PH(N$2,$A282)</f>
        <v>821.182937466724</v>
      </c>
      <c r="O282" s="0" t="n">
        <f aca="false">W_PH(O$2,$A282)</f>
        <v>821.183278018991</v>
      </c>
      <c r="P282" s="0" t="n">
        <f aca="false">W_PH(P$2,$A282)</f>
        <v>821.186689628819</v>
      </c>
      <c r="Q282" s="0" t="n">
        <f aca="false">W_PH(Q$2,$A282)</f>
        <v>821.190099018613</v>
      </c>
      <c r="R282" s="0" t="n">
        <f aca="false">W_PH(R$2,$A282)</f>
        <v>821.193511923412</v>
      </c>
      <c r="S282" s="0" t="n">
        <f aca="false">W_PH(S$2,$A282)</f>
        <v>821.196922611952</v>
      </c>
      <c r="T282" s="0" t="n">
        <f aca="false">W_PH(T$2,$A282)</f>
        <v>821.200333952886</v>
      </c>
      <c r="U282" s="0" t="n">
        <f aca="false">W_PH(U$2,$A282)</f>
        <v>821.20374594829</v>
      </c>
      <c r="V282" s="0" t="n">
        <f aca="false">W_PH(V$2,$A282)</f>
        <v>821.207158600241</v>
      </c>
      <c r="W282" s="0" t="n">
        <f aca="false">W_PH(W$2,$A282)</f>
        <v>821.210573344675</v>
      </c>
      <c r="X282" s="0" t="n">
        <f aca="false">W_PH(X$2,$A282)</f>
        <v>821.213987316046</v>
      </c>
      <c r="Y282" s="0" t="n">
        <f aca="false">W_PH(Y$2,$A282)</f>
        <v>821.24815091074</v>
      </c>
      <c r="Z282" s="0" t="n">
        <f aca="false">W_PH(Z$2,$A282)</f>
        <v>821.282364174624</v>
      </c>
      <c r="AA282" s="0" t="n">
        <f aca="false">W_PH(AA$2,$A282)</f>
        <v>821.316624833224</v>
      </c>
      <c r="AB282" s="0" t="n">
        <f aca="false">W_PH(AB$2,$A282)</f>
        <v>821.350937787493</v>
      </c>
      <c r="AC282" s="0" t="n">
        <f aca="false">W_PH(AC$2,$A282)</f>
        <v>821.385305066631</v>
      </c>
      <c r="AD282" s="0" t="n">
        <f aca="false">W_PH(AD$2,$A282)</f>
        <v>821.419727258248</v>
      </c>
      <c r="AE282" s="0" t="n">
        <f aca="false">W_PH(AE$2,$A282)</f>
        <v>821.454207825428</v>
      </c>
      <c r="AF282" s="0" t="n">
        <f aca="false">W_PH(AF$2,$A282)</f>
        <v>821.48874446695</v>
      </c>
      <c r="AG282" s="0" t="n">
        <f aca="false">W_PH(AG$2,$A282)</f>
        <v>821.523346408225</v>
      </c>
      <c r="AH282" s="0" t="n">
        <f aca="false">W_PH(AH$2,$A282)</f>
        <v>821.873131865948</v>
      </c>
      <c r="AI282" s="0" t="n">
        <f aca="false">W_PH(AI$2,$A282)</f>
        <v>822.23114091924</v>
      </c>
      <c r="AJ282" s="0" t="n">
        <f aca="false">W_PH(AJ$2,$A282)</f>
        <v>822.599264625888</v>
      </c>
      <c r="AK282" s="0" t="n">
        <f aca="false">W_PH(AK$2,$A282)</f>
        <v>822.97938601005</v>
      </c>
      <c r="AL282" s="0" t="n">
        <f aca="false">W_PH(AL$2,$A282)</f>
        <v>823.373357508771</v>
      </c>
      <c r="AM282" s="0" t="n">
        <f aca="false">W_PH(AM$2,$A282)</f>
        <v>823.783033019014</v>
      </c>
      <c r="AN282" s="0" t="n">
        <f aca="false">W_PH(AN$2,$A282)</f>
        <v>824.210240883086</v>
      </c>
      <c r="AO282" s="0" t="n">
        <f aca="false">W_PH(AO$2,$A282)</f>
        <v>824.656802879705</v>
      </c>
      <c r="AP282" s="0" t="n">
        <f aca="false">W_PH(AP$2,$A282)</f>
        <v>2015</v>
      </c>
      <c r="AQ282" s="0" t="n">
        <f aca="false">W_PH(AQ$2,$A282)</f>
        <v>2015</v>
      </c>
      <c r="AR282" s="0" t="n">
        <f aca="false">W_PH(AR$2,$A282)</f>
        <v>2015</v>
      </c>
      <c r="AS282" s="0" t="n">
        <f aca="false">W_PH(AS$2,$A282)</f>
        <v>2015</v>
      </c>
    </row>
    <row r="283" customFormat="false" ht="13.8" hidden="false" customHeight="false" outlineLevel="0" collapsed="false">
      <c r="A283" s="0" t="n">
        <v>4430</v>
      </c>
      <c r="B283" s="0" t="n">
        <f aca="false">W_PH(B$2,$A283)</f>
        <v>822.504394521953</v>
      </c>
      <c r="C283" s="0" t="n">
        <f aca="false">W_PH(C$2,$A283)</f>
        <v>822.504428301439</v>
      </c>
      <c r="D283" s="0" t="n">
        <f aca="false">W_PH(D$2,$A283)</f>
        <v>822.504462080987</v>
      </c>
      <c r="E283" s="0" t="n">
        <f aca="false">W_PH(E$2,$A283)</f>
        <v>822.504498721216</v>
      </c>
      <c r="F283" s="0" t="n">
        <f aca="false">W_PH(F$2,$A283)</f>
        <v>822.504532500891</v>
      </c>
      <c r="G283" s="0" t="n">
        <f aca="false">W_PH(G$2,$A283)</f>
        <v>822.504876022326</v>
      </c>
      <c r="H283" s="0" t="n">
        <f aca="false">W_PH(H$2,$A283)</f>
        <v>822.505222410704</v>
      </c>
      <c r="I283" s="0" t="n">
        <f aca="false">W_PH(I$2,$A283)</f>
        <v>822.50556594473</v>
      </c>
      <c r="J283" s="0" t="n">
        <f aca="false">W_PH(J$2,$A283)</f>
        <v>822.505912345739</v>
      </c>
      <c r="K283" s="0" t="n">
        <f aca="false">W_PH(K$2,$A283)</f>
        <v>822.506255892362</v>
      </c>
      <c r="L283" s="0" t="n">
        <f aca="false">W_PH(L$2,$A283)</f>
        <v>822.506602306011</v>
      </c>
      <c r="M283" s="0" t="n">
        <f aca="false">W_PH(M$2,$A283)</f>
        <v>822.506945865239</v>
      </c>
      <c r="N283" s="0" t="n">
        <f aca="false">W_PH(N$2,$A283)</f>
        <v>822.507292291536</v>
      </c>
      <c r="O283" s="0" t="n">
        <f aca="false">W_PH(O$2,$A283)</f>
        <v>822.507635863379</v>
      </c>
      <c r="P283" s="0" t="n">
        <f aca="false">W_PH(P$2,$A283)</f>
        <v>822.511086233581</v>
      </c>
      <c r="Q283" s="0" t="n">
        <f aca="false">W_PH(Q$2,$A283)</f>
        <v>822.514537237801</v>
      </c>
      <c r="R283" s="0" t="n">
        <f aca="false">W_PH(R$2,$A283)</f>
        <v>822.517988878098</v>
      </c>
      <c r="S283" s="0" t="n">
        <f aca="false">W_PH(S$2,$A283)</f>
        <v>822.521441156531</v>
      </c>
      <c r="T283" s="0" t="n">
        <f aca="false">W_PH(T$2,$A283)</f>
        <v>822.52489407516</v>
      </c>
      <c r="U283" s="0" t="n">
        <f aca="false">W_PH(U$2,$A283)</f>
        <v>822.528346205084</v>
      </c>
      <c r="V283" s="0" t="n">
        <f aca="false">W_PH(V$2,$A283)</f>
        <v>822.531798979133</v>
      </c>
      <c r="W283" s="0" t="n">
        <f aca="false">W_PH(W$2,$A283)</f>
        <v>822.535253830511</v>
      </c>
      <c r="X283" s="0" t="n">
        <f aca="false">W_PH(X$2,$A283)</f>
        <v>822.538706467839</v>
      </c>
      <c r="Y283" s="0" t="n">
        <f aca="false">W_PH(Y$2,$A283)</f>
        <v>822.573271801071</v>
      </c>
      <c r="Z283" s="0" t="n">
        <f aca="false">W_PH(Z$2,$A283)</f>
        <v>822.607882709201</v>
      </c>
      <c r="AA283" s="0" t="n">
        <f aca="false">W_PH(AA$2,$A283)</f>
        <v>822.642542639048</v>
      </c>
      <c r="AB283" s="0" t="n">
        <f aca="false">W_PH(AB$2,$A283)</f>
        <v>822.67725503928</v>
      </c>
      <c r="AC283" s="0" t="n">
        <f aca="false">W_PH(AC$2,$A283)</f>
        <v>822.712017616715</v>
      </c>
      <c r="AD283" s="0" t="n">
        <f aca="false">W_PH(AD$2,$A283)</f>
        <v>822.746835249354</v>
      </c>
      <c r="AE283" s="0" t="n">
        <f aca="false">W_PH(AE$2,$A283)</f>
        <v>822.781709945212</v>
      </c>
      <c r="AF283" s="0" t="n">
        <f aca="false">W_PH(AF$2,$A283)</f>
        <v>822.816640832976</v>
      </c>
      <c r="AG283" s="0" t="n">
        <f aca="false">W_PH(AG$2,$A283)</f>
        <v>822.85163566995</v>
      </c>
      <c r="AH283" s="0" t="n">
        <f aca="false">W_PH(AH$2,$A283)</f>
        <v>823.205292869576</v>
      </c>
      <c r="AI283" s="0" t="n">
        <f aca="false">W_PH(AI$2,$A283)</f>
        <v>823.567060712186</v>
      </c>
      <c r="AJ283" s="0" t="n">
        <f aca="false">W_PH(AJ$2,$A283)</f>
        <v>823.938816284638</v>
      </c>
      <c r="AK283" s="0" t="n">
        <f aca="false">W_PH(AK$2,$A283)</f>
        <v>824.322420254535</v>
      </c>
      <c r="AL283" s="0" t="n">
        <f aca="false">W_PH(AL$2,$A283)</f>
        <v>824.719726745055</v>
      </c>
      <c r="AM283" s="0" t="n">
        <f aca="false">W_PH(AM$2,$A283)</f>
        <v>825.132560725137</v>
      </c>
      <c r="AN283" s="0" t="n">
        <f aca="false">W_PH(AN$2,$A283)</f>
        <v>825.562745697988</v>
      </c>
      <c r="AO283" s="0" t="n">
        <f aca="false">W_PH(AO$2,$A283)</f>
        <v>826.012087058192</v>
      </c>
      <c r="AP283" s="0" t="n">
        <f aca="false">W_PH(AP$2,$A283)</f>
        <v>2015</v>
      </c>
      <c r="AQ283" s="0" t="n">
        <f aca="false">W_PH(AQ$2,$A283)</f>
        <v>2015</v>
      </c>
      <c r="AR283" s="0" t="n">
        <f aca="false">W_PH(AR$2,$A283)</f>
        <v>2015</v>
      </c>
      <c r="AS283" s="0" t="n">
        <f aca="false">W_PH(AS$2,$A283)</f>
        <v>2015</v>
      </c>
    </row>
    <row r="284" customFormat="false" ht="13.8" hidden="false" customHeight="false" outlineLevel="0" collapsed="false">
      <c r="A284" s="0" t="n">
        <v>4440</v>
      </c>
      <c r="B284" s="0" t="n">
        <f aca="false">W_PH(B$2,$A284)</f>
        <v>823.824722337743</v>
      </c>
      <c r="C284" s="0" t="n">
        <f aca="false">W_PH(C$2,$A284)</f>
        <v>823.824756979957</v>
      </c>
      <c r="D284" s="0" t="n">
        <f aca="false">W_PH(D$2,$A284)</f>
        <v>823.824791622233</v>
      </c>
      <c r="E284" s="0" t="n">
        <f aca="false">W_PH(E$2,$A284)</f>
        <v>823.82482626457</v>
      </c>
      <c r="F284" s="0" t="n">
        <f aca="false">W_PH(F$2,$A284)</f>
        <v>823.824860906969</v>
      </c>
      <c r="G284" s="0" t="n">
        <f aca="false">W_PH(G$2,$A284)</f>
        <v>823.825210189623</v>
      </c>
      <c r="H284" s="0" t="n">
        <f aca="false">W_PH(H$2,$A284)</f>
        <v>823.825559478464</v>
      </c>
      <c r="I284" s="0" t="n">
        <f aca="false">W_PH(I$2,$A284)</f>
        <v>823.825908773495</v>
      </c>
      <c r="J284" s="0" t="n">
        <f aca="false">W_PH(J$2,$A284)</f>
        <v>823.826255219376</v>
      </c>
      <c r="K284" s="0" t="n">
        <f aca="false">W_PH(K$2,$A284)</f>
        <v>823.826604526774</v>
      </c>
      <c r="L284" s="0" t="n">
        <f aca="false">W_PH(L$2,$A284)</f>
        <v>823.826953840368</v>
      </c>
      <c r="M284" s="0" t="n">
        <f aca="false">W_PH(M$2,$A284)</f>
        <v>823.82730316016</v>
      </c>
      <c r="N284" s="0" t="n">
        <f aca="false">W_PH(N$2,$A284)</f>
        <v>823.827652486151</v>
      </c>
      <c r="O284" s="0" t="n">
        <f aca="false">W_PH(O$2,$A284)</f>
        <v>823.828001818344</v>
      </c>
      <c r="P284" s="0" t="n">
        <f aca="false">W_PH(P$2,$A284)</f>
        <v>823.831492626211</v>
      </c>
      <c r="Q284" s="0" t="n">
        <f aca="false">W_PH(Q$2,$A284)</f>
        <v>823.834981200337</v>
      </c>
      <c r="R284" s="0" t="n">
        <f aca="false">W_PH(R$2,$A284)</f>
        <v>823.838473254187</v>
      </c>
      <c r="S284" s="0" t="n">
        <f aca="false">W_PH(S$2,$A284)</f>
        <v>823.841963078009</v>
      </c>
      <c r="T284" s="0" t="n">
        <f aca="false">W_PH(T$2,$A284)</f>
        <v>823.845456386009</v>
      </c>
      <c r="U284" s="0" t="n">
        <f aca="false">W_PH(U$2,$A284)</f>
        <v>823.848947467691</v>
      </c>
      <c r="V284" s="0" t="n">
        <f aca="false">W_PH(V$2,$A284)</f>
        <v>823.852439181272</v>
      </c>
      <c r="W284" s="0" t="n">
        <f aca="false">W_PH(W$2,$A284)</f>
        <v>823.855934385708</v>
      </c>
      <c r="X284" s="0" t="n">
        <f aca="false">W_PH(X$2,$A284)</f>
        <v>823.859427369393</v>
      </c>
      <c r="Y284" s="0" t="n">
        <f aca="false">W_PH(Y$2,$A284)</f>
        <v>823.894386915922</v>
      </c>
      <c r="Z284" s="0" t="n">
        <f aca="false">W_PH(Z$2,$A284)</f>
        <v>823.929392270257</v>
      </c>
      <c r="AA284" s="0" t="n">
        <f aca="false">W_PH(AA$2,$A284)</f>
        <v>823.964443999382</v>
      </c>
      <c r="AB284" s="0" t="n">
        <f aca="false">W_PH(AB$2,$A284)</f>
        <v>823.999545529231</v>
      </c>
      <c r="AC284" s="0" t="n">
        <f aca="false">W_PH(AC$2,$A284)</f>
        <v>824.034700287592</v>
      </c>
      <c r="AD284" s="0" t="n">
        <f aca="false">W_PH(AD$2,$A284)</f>
        <v>824.069908835908</v>
      </c>
      <c r="AE284" s="0" t="n">
        <f aca="false">W_PH(AE$2,$A284)</f>
        <v>824.105173165116</v>
      </c>
      <c r="AF284" s="0" t="n">
        <f aca="false">W_PH(AF$2,$A284)</f>
        <v>824.140492392451</v>
      </c>
      <c r="AG284" s="0" t="n">
        <f aca="false">W_PH(AG$2,$A284)</f>
        <v>824.175874247103</v>
      </c>
      <c r="AH284" s="0" t="n">
        <f aca="false">W_PH(AH$2,$A284)</f>
        <v>824.533348840207</v>
      </c>
      <c r="AI284" s="0" t="n">
        <f aca="false">W_PH(AI$2,$A284)</f>
        <v>824.898822637934</v>
      </c>
      <c r="AJ284" s="0" t="n">
        <f aca="false">W_PH(AJ$2,$A284)</f>
        <v>825.274155985883</v>
      </c>
      <c r="AK284" s="0" t="n">
        <f aca="false">W_PH(AK$2,$A284)</f>
        <v>825.661200581862</v>
      </c>
      <c r="AL284" s="0" t="n">
        <f aca="false">W_PH(AL$2,$A284)</f>
        <v>826.061790264477</v>
      </c>
      <c r="AM284" s="0" t="n">
        <f aca="false">W_PH(AM$2,$A284)</f>
        <v>826.477741924157</v>
      </c>
      <c r="AN284" s="0" t="n">
        <f aca="false">W_PH(AN$2,$A284)</f>
        <v>826.910863968065</v>
      </c>
      <c r="AO284" s="0" t="n">
        <f aca="false">W_PH(AO$2,$A284)</f>
        <v>827.362948519242</v>
      </c>
      <c r="AP284" s="0" t="n">
        <f aca="false">W_PH(AP$2,$A284)</f>
        <v>2015</v>
      </c>
      <c r="AQ284" s="0" t="n">
        <f aca="false">W_PH(AQ$2,$A284)</f>
        <v>2015</v>
      </c>
      <c r="AR284" s="0" t="n">
        <f aca="false">W_PH(AR$2,$A284)</f>
        <v>2015</v>
      </c>
      <c r="AS284" s="0" t="n">
        <f aca="false">W_PH(AS$2,$A284)</f>
        <v>2015</v>
      </c>
    </row>
    <row r="285" customFormat="false" ht="13.8" hidden="false" customHeight="false" outlineLevel="0" collapsed="false">
      <c r="A285" s="0" t="n">
        <v>4450</v>
      </c>
      <c r="B285" s="0" t="n">
        <f aca="false">W_PH(B$2,$A285)</f>
        <v>825.141091080718</v>
      </c>
      <c r="C285" s="0" t="n">
        <f aca="false">W_PH(C$2,$A285)</f>
        <v>825.141126572284</v>
      </c>
      <c r="D285" s="0" t="n">
        <f aca="false">W_PH(D$2,$A285)</f>
        <v>825.141162063911</v>
      </c>
      <c r="E285" s="0" t="n">
        <f aca="false">W_PH(E$2,$A285)</f>
        <v>825.141196130618</v>
      </c>
      <c r="F285" s="0" t="n">
        <f aca="false">W_PH(F$2,$A285)</f>
        <v>825.141230197384</v>
      </c>
      <c r="G285" s="0" t="n">
        <f aca="false">W_PH(G$2,$A285)</f>
        <v>825.141585118204</v>
      </c>
      <c r="H285" s="0" t="n">
        <f aca="false">W_PH(H$2,$A285)</f>
        <v>825.141937195115</v>
      </c>
      <c r="I285" s="0" t="n">
        <f aca="false">W_PH(I$2,$A285)</f>
        <v>825.142289278084</v>
      </c>
      <c r="J285" s="0" t="n">
        <f aca="false">W_PH(J$2,$A285)</f>
        <v>825.142642792132</v>
      </c>
      <c r="K285" s="0" t="n">
        <f aca="false">W_PH(K$2,$A285)</f>
        <v>825.142996312259</v>
      </c>
      <c r="L285" s="0" t="n">
        <f aca="false">W_PH(L$2,$A285)</f>
        <v>825.143348413431</v>
      </c>
      <c r="M285" s="0" t="n">
        <f aca="false">W_PH(M$2,$A285)</f>
        <v>825.143700520669</v>
      </c>
      <c r="N285" s="0" t="n">
        <f aca="false">W_PH(N$2,$A285)</f>
        <v>825.144055484085</v>
      </c>
      <c r="O285" s="0" t="n">
        <f aca="false">W_PH(O$2,$A285)</f>
        <v>825.144407603479</v>
      </c>
      <c r="P285" s="0" t="n">
        <f aca="false">W_PH(P$2,$A285)</f>
        <v>825.147936257475</v>
      </c>
      <c r="Q285" s="0" t="n">
        <f aca="false">W_PH(Q$2,$A285)</f>
        <v>825.151465521587</v>
      </c>
      <c r="R285" s="0" t="n">
        <f aca="false">W_PH(R$2,$A285)</f>
        <v>825.154995397838</v>
      </c>
      <c r="S285" s="0" t="n">
        <f aca="false">W_PH(S$2,$A285)</f>
        <v>825.158525888251</v>
      </c>
      <c r="T285" s="0" t="n">
        <f aca="false">W_PH(T$2,$A285)</f>
        <v>825.162055569329</v>
      </c>
      <c r="U285" s="0" t="n">
        <f aca="false">W_PH(U$2,$A285)</f>
        <v>825.165587294045</v>
      </c>
      <c r="V285" s="0" t="n">
        <f aca="false">W_PH(V$2,$A285)</f>
        <v>825.169119638994</v>
      </c>
      <c r="W285" s="0" t="n">
        <f aca="false">W_PH(W$2,$A285)</f>
        <v>825.172651180402</v>
      </c>
      <c r="X285" s="0" t="n">
        <f aca="false">W_PH(X$2,$A285)</f>
        <v>825.176183345905</v>
      </c>
      <c r="Y285" s="0" t="n">
        <f aca="false">W_PH(Y$2,$A285)</f>
        <v>825.211531210194</v>
      </c>
      <c r="Z285" s="0" t="n">
        <f aca="false">W_PH(Z$2,$A285)</f>
        <v>825.246923708561</v>
      </c>
      <c r="AA285" s="0" t="n">
        <f aca="false">W_PH(AA$2,$A285)</f>
        <v>825.282364250911</v>
      </c>
      <c r="AB285" s="0" t="n">
        <f aca="false">W_PH(AB$2,$A285)</f>
        <v>825.317853389918</v>
      </c>
      <c r="AC285" s="0" t="n">
        <f aca="false">W_PH(AC$2,$A285)</f>
        <v>825.35339310326</v>
      </c>
      <c r="AD285" s="0" t="n">
        <f aca="false">W_PH(AD$2,$A285)</f>
        <v>825.388985366816</v>
      </c>
      <c r="AE285" s="0" t="n">
        <f aca="false">W_PH(AE$2,$A285)</f>
        <v>825.424633586949</v>
      </c>
      <c r="AF285" s="0" t="n">
        <f aca="false">W_PH(AF$2,$A285)</f>
        <v>825.460335439173</v>
      </c>
      <c r="AG285" s="0" t="n">
        <f aca="false">W_PH(AG$2,$A285)</f>
        <v>825.496098624902</v>
      </c>
      <c r="AH285" s="0" t="n">
        <f aca="false">W_PH(AH$2,$A285)</f>
        <v>825.857335242487</v>
      </c>
      <c r="AI285" s="0" t="n">
        <f aca="false">W_PH(AI$2,$A285)</f>
        <v>826.226462504914</v>
      </c>
      <c r="AJ285" s="0" t="n">
        <f aca="false">W_PH(AJ$2,$A285)</f>
        <v>826.605324211095</v>
      </c>
      <c r="AK285" s="0" t="n">
        <f aca="false">W_PH(AK$2,$A285)</f>
        <v>826.995760300552</v>
      </c>
      <c r="AL285" s="0" t="n">
        <f aca="false">W_PH(AL$2,$A285)</f>
        <v>827.39959037785</v>
      </c>
      <c r="AM285" s="0" t="n">
        <f aca="false">W_PH(AM$2,$A285)</f>
        <v>827.818617486405</v>
      </c>
      <c r="AN285" s="0" t="n">
        <f aca="false">W_PH(AN$2,$A285)</f>
        <v>828.254638026102</v>
      </c>
      <c r="AO285" s="0" t="n">
        <f aca="false">W_PH(AO$2,$A285)</f>
        <v>828.709427976875</v>
      </c>
      <c r="AP285" s="0" t="n">
        <f aca="false">W_PH(AP$2,$A285)</f>
        <v>2015</v>
      </c>
      <c r="AQ285" s="0" t="n">
        <f aca="false">W_PH(AQ$2,$A285)</f>
        <v>2015</v>
      </c>
      <c r="AR285" s="0" t="n">
        <f aca="false">W_PH(AR$2,$A285)</f>
        <v>2015</v>
      </c>
      <c r="AS285" s="0" t="n">
        <f aca="false">W_PH(AS$2,$A285)</f>
        <v>2015</v>
      </c>
    </row>
    <row r="286" customFormat="false" ht="13.8" hidden="false" customHeight="false" outlineLevel="0" collapsed="false">
      <c r="A286" s="0" t="n">
        <v>4460</v>
      </c>
      <c r="B286" s="0" t="n">
        <f aca="false">W_PH(B$2,$A286)</f>
        <v>826.453536248609</v>
      </c>
      <c r="C286" s="0" t="n">
        <f aca="false">W_PH(C$2,$A286)</f>
        <v>826.453571154047</v>
      </c>
      <c r="D286" s="0" t="n">
        <f aca="false">W_PH(D$2,$A286)</f>
        <v>826.453607481897</v>
      </c>
      <c r="E286" s="0" t="n">
        <f aca="false">W_PH(E$2,$A286)</f>
        <v>826.453643809808</v>
      </c>
      <c r="F286" s="0" t="n">
        <f aca="false">W_PH(F$2,$A286)</f>
        <v>826.453680137778</v>
      </c>
      <c r="G286" s="0" t="n">
        <f aca="false">W_PH(G$2,$A286)</f>
        <v>826.45403488662</v>
      </c>
      <c r="H286" s="0" t="n">
        <f aca="false">W_PH(H$2,$A286)</f>
        <v>826.454392486133</v>
      </c>
      <c r="I286" s="0" t="n">
        <f aca="false">W_PH(I$2,$A286)</f>
        <v>826.45475009161</v>
      </c>
      <c r="J286" s="0" t="n">
        <f aca="false">W_PH(J$2,$A286)</f>
        <v>826.455104858271</v>
      </c>
      <c r="K286" s="0" t="n">
        <f aca="false">W_PH(K$2,$A286)</f>
        <v>826.455462475664</v>
      </c>
      <c r="L286" s="0" t="n">
        <f aca="false">W_PH(L$2,$A286)</f>
        <v>826.455820099027</v>
      </c>
      <c r="M286" s="0" t="n">
        <f aca="false">W_PH(M$2,$A286)</f>
        <v>826.456174883525</v>
      </c>
      <c r="N286" s="0" t="n">
        <f aca="false">W_PH(N$2,$A286)</f>
        <v>826.456532518815</v>
      </c>
      <c r="O286" s="0" t="n">
        <f aca="false">W_PH(O$2,$A286)</f>
        <v>826.456890160082</v>
      </c>
      <c r="P286" s="0" t="n">
        <f aca="false">W_PH(P$2,$A286)</f>
        <v>826.460455521653</v>
      </c>
      <c r="Q286" s="0" t="n">
        <f aca="false">W_PH(Q$2,$A286)</f>
        <v>826.464024326814</v>
      </c>
      <c r="R286" s="0" t="n">
        <f aca="false">W_PH(R$2,$A286)</f>
        <v>826.467593732699</v>
      </c>
      <c r="S286" s="0" t="n">
        <f aca="false">W_PH(S$2,$A286)</f>
        <v>826.47116089572</v>
      </c>
      <c r="T286" s="0" t="n">
        <f aca="false">W_PH(T$2,$A286)</f>
        <v>826.474731508891</v>
      </c>
      <c r="U286" s="0" t="n">
        <f aca="false">W_PH(U$2,$A286)</f>
        <v>826.478299882849</v>
      </c>
      <c r="V286" s="0" t="n">
        <f aca="false">W_PH(V$2,$A286)</f>
        <v>826.481868865193</v>
      </c>
      <c r="W286" s="0" t="n">
        <f aca="false">W_PH(W$2,$A286)</f>
        <v>826.485441304245</v>
      </c>
      <c r="X286" s="0" t="n">
        <f aca="false">W_PH(X$2,$A286)</f>
        <v>826.489011509559</v>
      </c>
      <c r="Y286" s="0" t="n">
        <f aca="false">W_PH(Y$2,$A286)</f>
        <v>826.524741988999</v>
      </c>
      <c r="Z286" s="0" t="n">
        <f aca="false">W_PH(Z$2,$A286)</f>
        <v>826.56051595474</v>
      </c>
      <c r="AA286" s="0" t="n">
        <f aca="false">W_PH(AA$2,$A286)</f>
        <v>826.596338223168</v>
      </c>
      <c r="AB286" s="0" t="n">
        <f aca="false">W_PH(AB$2,$A286)</f>
        <v>826.63220790871</v>
      </c>
      <c r="AC286" s="0" t="n">
        <f aca="false">W_PH(AC$2,$A286)</f>
        <v>826.66812697234</v>
      </c>
      <c r="AD286" s="0" t="n">
        <f aca="false">W_PH(AD$2,$A286)</f>
        <v>826.704100230567</v>
      </c>
      <c r="AE286" s="0" t="n">
        <f aca="false">W_PH(AE$2,$A286)</f>
        <v>826.740123928094</v>
      </c>
      <c r="AF286" s="0" t="n">
        <f aca="false">W_PH(AF$2,$A286)</f>
        <v>826.776205737032</v>
      </c>
      <c r="AG286" s="0" t="n">
        <f aca="false">W_PH(AG$2,$A286)</f>
        <v>826.812343322769</v>
      </c>
      <c r="AH286" s="0" t="n">
        <f aca="false">W_PH(AH$2,$A286)</f>
        <v>827.177289865347</v>
      </c>
      <c r="AI286" s="0" t="n">
        <f aca="false">W_PH(AI$2,$A286)</f>
        <v>827.55001698354</v>
      </c>
      <c r="AJ286" s="0" t="n">
        <f aca="false">W_PH(AJ$2,$A286)</f>
        <v>827.932360788102</v>
      </c>
      <c r="AK286" s="0" t="n">
        <f aca="false">W_PH(AK$2,$A286)</f>
        <v>828.32614090059</v>
      </c>
      <c r="AL286" s="0" t="n">
        <f aca="false">W_PH(AL$2,$A286)</f>
        <v>828.733165725373</v>
      </c>
      <c r="AM286" s="0" t="n">
        <f aca="false">W_PH(AM$2,$A286)</f>
        <v>829.15522755104</v>
      </c>
      <c r="AN286" s="0" t="n">
        <f aca="false">W_PH(AN$2,$A286)</f>
        <v>829.59410645588</v>
      </c>
      <c r="AO286" s="0" t="n">
        <f aca="false">W_PH(AO$2,$A286)</f>
        <v>830.051571369396</v>
      </c>
      <c r="AP286" s="0" t="n">
        <f aca="false">W_PH(AP$2,$A286)</f>
        <v>2015</v>
      </c>
      <c r="AQ286" s="0" t="n">
        <f aca="false">W_PH(AQ$2,$A286)</f>
        <v>2015</v>
      </c>
      <c r="AR286" s="0" t="n">
        <f aca="false">W_PH(AR$2,$A286)</f>
        <v>2015</v>
      </c>
      <c r="AS286" s="0" t="n">
        <f aca="false">W_PH(AS$2,$A286)</f>
        <v>2015</v>
      </c>
    </row>
    <row r="287" customFormat="false" ht="13.8" hidden="false" customHeight="false" outlineLevel="0" collapsed="false">
      <c r="A287" s="0" t="n">
        <v>4470</v>
      </c>
      <c r="B287" s="0" t="n">
        <f aca="false">W_PH(B$2,$A287)</f>
        <v>827.762092849955</v>
      </c>
      <c r="C287" s="0" t="n">
        <f aca="false">W_PH(C$2,$A287)</f>
        <v>827.762130001086</v>
      </c>
      <c r="D287" s="0" t="n">
        <f aca="false">W_PH(D$2,$A287)</f>
        <v>827.762165732526</v>
      </c>
      <c r="E287" s="0" t="n">
        <f aca="false">W_PH(E$2,$A287)</f>
        <v>827.762201464024</v>
      </c>
      <c r="F287" s="0" t="n">
        <f aca="false">W_PH(F$2,$A287)</f>
        <v>827.762238615333</v>
      </c>
      <c r="G287" s="0" t="n">
        <f aca="false">W_PH(G$2,$A287)</f>
        <v>827.762598773612</v>
      </c>
      <c r="H287" s="0" t="n">
        <f aca="false">W_PH(H$2,$A287)</f>
        <v>827.762958937726</v>
      </c>
      <c r="I287" s="0" t="n">
        <f aca="false">W_PH(I$2,$A287)</f>
        <v>827.763319107676</v>
      </c>
      <c r="J287" s="0" t="n">
        <f aca="false">W_PH(J$2,$A287)</f>
        <v>827.763679283463</v>
      </c>
      <c r="K287" s="0" t="n">
        <f aca="false">W_PH(K$2,$A287)</f>
        <v>827.764039465091</v>
      </c>
      <c r="L287" s="0" t="n">
        <f aca="false">W_PH(L$2,$A287)</f>
        <v>827.764399652559</v>
      </c>
      <c r="M287" s="0" t="n">
        <f aca="false">W_PH(M$2,$A287)</f>
        <v>827.764759845872</v>
      </c>
      <c r="N287" s="0" t="n">
        <f aca="false">W_PH(N$2,$A287)</f>
        <v>827.765122884677</v>
      </c>
      <c r="O287" s="0" t="n">
        <f aca="false">W_PH(O$2,$A287)</f>
        <v>827.765483089701</v>
      </c>
      <c r="P287" s="0" t="n">
        <f aca="false">W_PH(P$2,$A287)</f>
        <v>827.769088301849</v>
      </c>
      <c r="Q287" s="0" t="n">
        <f aca="false">W_PH(Q$2,$A287)</f>
        <v>827.772694101317</v>
      </c>
      <c r="R287" s="0" t="n">
        <f aca="false">W_PH(R$2,$A287)</f>
        <v>827.776299069996</v>
      </c>
      <c r="S287" s="0" t="n">
        <f aca="false">W_PH(S$2,$A287)</f>
        <v>827.779904629795</v>
      </c>
      <c r="T287" s="0" t="n">
        <f aca="false">W_PH(T$2,$A287)</f>
        <v>827.783512202981</v>
      </c>
      <c r="U287" s="0" t="n">
        <f aca="false">W_PH(U$2,$A287)</f>
        <v>827.787120371443</v>
      </c>
      <c r="V287" s="0" t="n">
        <f aca="false">W_PH(V$2,$A287)</f>
        <v>827.790726296259</v>
      </c>
      <c r="W287" s="0" t="n">
        <f aca="false">W_PH(W$2,$A287)</f>
        <v>827.794335661061</v>
      </c>
      <c r="X287" s="0" t="n">
        <f aca="false">W_PH(X$2,$A287)</f>
        <v>827.79794420647</v>
      </c>
      <c r="Y287" s="0" t="n">
        <f aca="false">W_PH(Y$2,$A287)</f>
        <v>827.834053205639</v>
      </c>
      <c r="Z287" s="0" t="n">
        <f aca="false">W_PH(Z$2,$A287)</f>
        <v>827.870205992956</v>
      </c>
      <c r="AA287" s="0" t="n">
        <f aca="false">W_PH(AA$2,$A287)</f>
        <v>827.906403095708</v>
      </c>
      <c r="AB287" s="0" t="n">
        <f aca="false">W_PH(AB$2,$A287)</f>
        <v>827.942646460102</v>
      </c>
      <c r="AC287" s="0" t="n">
        <f aca="false">W_PH(AC$2,$A287)</f>
        <v>827.978940880777</v>
      </c>
      <c r="AD287" s="0" t="n">
        <f aca="false">W_PH(AD$2,$A287)</f>
        <v>828.015285453926</v>
      </c>
      <c r="AE287" s="0" t="n">
        <f aca="false">W_PH(AE$2,$A287)</f>
        <v>828.051684974326</v>
      </c>
      <c r="AF287" s="0" t="n">
        <f aca="false">W_PH(AF$2,$A287)</f>
        <v>828.088135675773</v>
      </c>
      <c r="AG287" s="0" t="n">
        <f aca="false">W_PH(AG$2,$A287)</f>
        <v>828.124645205117</v>
      </c>
      <c r="AH287" s="0" t="n">
        <f aca="false">W_PH(AH$2,$A287)</f>
        <v>828.493249930834</v>
      </c>
      <c r="AI287" s="0" t="n">
        <f aca="false">W_PH(AI$2,$A287)</f>
        <v>828.869527942685</v>
      </c>
      <c r="AJ287" s="0" t="n">
        <f aca="false">W_PH(AJ$2,$A287)</f>
        <v>829.255301996498</v>
      </c>
      <c r="AK287" s="0" t="n">
        <f aca="false">W_PH(AK$2,$A287)</f>
        <v>829.65238319291</v>
      </c>
      <c r="AL287" s="0" t="n">
        <f aca="false">W_PH(AL$2,$A287)</f>
        <v>830.062560155186</v>
      </c>
      <c r="AM287" s="0" t="n">
        <f aca="false">W_PH(AM$2,$A287)</f>
        <v>830.487614502464</v>
      </c>
      <c r="AN287" s="0" t="n">
        <f aca="false">W_PH(AN$2,$A287)</f>
        <v>830.929313071048</v>
      </c>
      <c r="AO287" s="0" t="n">
        <f aca="false">W_PH(AO$2,$A287)</f>
        <v>831.389414852004</v>
      </c>
      <c r="AP287" s="0" t="n">
        <f aca="false">W_PH(AP$2,$A287)</f>
        <v>2015</v>
      </c>
      <c r="AQ287" s="0" t="n">
        <f aca="false">W_PH(AQ$2,$A287)</f>
        <v>2015</v>
      </c>
      <c r="AR287" s="0" t="n">
        <f aca="false">W_PH(AR$2,$A287)</f>
        <v>2015</v>
      </c>
      <c r="AS287" s="0" t="n">
        <f aca="false">W_PH(AS$2,$A287)</f>
        <v>2015</v>
      </c>
    </row>
    <row r="288" customFormat="false" ht="13.8" hidden="false" customHeight="false" outlineLevel="0" collapsed="false">
      <c r="A288" s="0" t="n">
        <v>4480</v>
      </c>
      <c r="B288" s="0" t="n">
        <f aca="false">W_PH(B$2,$A288)</f>
        <v>829.06679541419</v>
      </c>
      <c r="C288" s="0" t="n">
        <f aca="false">W_PH(C$2,$A288)</f>
        <v>829.066833376014</v>
      </c>
      <c r="D288" s="0" t="n">
        <f aca="false">W_PH(D$2,$A288)</f>
        <v>829.066868503554</v>
      </c>
      <c r="E288" s="0" t="n">
        <f aca="false">W_PH(E$2,$A288)</f>
        <v>829.066906465494</v>
      </c>
      <c r="F288" s="0" t="n">
        <f aca="false">W_PH(F$2,$A288)</f>
        <v>829.066941593148</v>
      </c>
      <c r="G288" s="0" t="n">
        <f aca="false">W_PH(G$2,$A288)</f>
        <v>829.067307044561</v>
      </c>
      <c r="H288" s="0" t="n">
        <f aca="false">W_PH(H$2,$A288)</f>
        <v>829.067669667336</v>
      </c>
      <c r="I288" s="0" t="n">
        <f aca="false">W_PH(I$2,$A288)</f>
        <v>829.068035130219</v>
      </c>
      <c r="J288" s="0" t="n">
        <f aca="false">W_PH(J$2,$A288)</f>
        <v>829.068397764435</v>
      </c>
      <c r="K288" s="0" t="n">
        <f aca="false">W_PH(K$2,$A288)</f>
        <v>829.068763238797</v>
      </c>
      <c r="L288" s="0" t="n">
        <f aca="false">W_PH(L$2,$A288)</f>
        <v>829.069125884459</v>
      </c>
      <c r="M288" s="0" t="n">
        <f aca="false">W_PH(M$2,$A288)</f>
        <v>829.069491370307</v>
      </c>
      <c r="N288" s="0" t="n">
        <f aca="false">W_PH(N$2,$A288)</f>
        <v>829.069855444667</v>
      </c>
      <c r="O288" s="0" t="n">
        <f aca="false">W_PH(O$2,$A288)</f>
        <v>829.070219524767</v>
      </c>
      <c r="P288" s="0" t="n">
        <f aca="false">W_PH(P$2,$A288)</f>
        <v>829.073863476541</v>
      </c>
      <c r="Q288" s="0" t="n">
        <f aca="false">W_PH(Q$2,$A288)</f>
        <v>829.077505169916</v>
      </c>
      <c r="R288" s="0" t="n">
        <f aca="false">W_PH(R$2,$A288)</f>
        <v>829.081147441368</v>
      </c>
      <c r="S288" s="0" t="n">
        <f aca="false">W_PH(S$2,$A288)</f>
        <v>829.084793128075</v>
      </c>
      <c r="T288" s="0" t="n">
        <f aca="false">W_PH(T$2,$A288)</f>
        <v>829.088436561772</v>
      </c>
      <c r="U288" s="0" t="n">
        <f aca="false">W_PH(U$2,$A288)</f>
        <v>829.092080579461</v>
      </c>
      <c r="V288" s="0" t="n">
        <f aca="false">W_PH(V$2,$A288)</f>
        <v>829.095725183115</v>
      </c>
      <c r="W288" s="0" t="n">
        <f aca="false">W_PH(W$2,$A288)</f>
        <v>829.099370374704</v>
      </c>
      <c r="X288" s="0" t="n">
        <f aca="false">W_PH(X$2,$A288)</f>
        <v>829.103016156199</v>
      </c>
      <c r="Y288" s="0" t="n">
        <f aca="false">W_PH(Y$2,$A288)</f>
        <v>829.139498336047</v>
      </c>
      <c r="Z288" s="0" t="n">
        <f aca="false">W_PH(Z$2,$A288)</f>
        <v>829.176021785948</v>
      </c>
      <c r="AA288" s="0" t="n">
        <f aca="false">W_PH(AA$2,$A288)</f>
        <v>829.212591278826</v>
      </c>
      <c r="AB288" s="0" t="n">
        <f aca="false">W_PH(AB$2,$A288)</f>
        <v>829.249205906747</v>
      </c>
      <c r="AC288" s="0" t="n">
        <f aca="false">W_PH(AC$2,$A288)</f>
        <v>829.285867597952</v>
      </c>
      <c r="AD288" s="0" t="n">
        <f aca="false">W_PH(AD$2,$A288)</f>
        <v>829.322581125611</v>
      </c>
      <c r="AE288" s="0" t="n">
        <f aca="false">W_PH(AE$2,$A288)</f>
        <v>829.359345571549</v>
      </c>
      <c r="AF288" s="0" t="n">
        <f aca="false">W_PH(AF$2,$A288)</f>
        <v>829.396165709122</v>
      </c>
      <c r="AG288" s="0" t="n">
        <f aca="false">W_PH(AG$2,$A288)</f>
        <v>829.433039187444</v>
      </c>
      <c r="AH288" s="0" t="n">
        <f aca="false">W_PH(AH$2,$A288)</f>
        <v>829.805247802621</v>
      </c>
      <c r="AI288" s="0" t="n">
        <f aca="false">W_PH(AI$2,$A288)</f>
        <v>830.185027972295</v>
      </c>
      <c r="AJ288" s="0" t="n">
        <f aca="false">W_PH(AJ$2,$A288)</f>
        <v>830.574186419028</v>
      </c>
      <c r="AK288" s="0" t="n">
        <f aca="false">W_PH(AK$2,$A288)</f>
        <v>830.974520024957</v>
      </c>
      <c r="AL288" s="0" t="n">
        <f aca="false">W_PH(AL$2,$A288)</f>
        <v>831.387805055361</v>
      </c>
      <c r="AM288" s="0" t="n">
        <f aca="false">W_PH(AM$2,$A288)</f>
        <v>831.815814095869</v>
      </c>
      <c r="AN288" s="0" t="n">
        <f aca="false">W_PH(AN$2,$A288)</f>
        <v>832.260297957957</v>
      </c>
      <c r="AO288" s="0" t="n">
        <f aca="false">W_PH(AO$2,$A288)</f>
        <v>832.722999841383</v>
      </c>
      <c r="AP288" s="0" t="n">
        <f aca="false">W_PH(AP$2,$A288)</f>
        <v>2015</v>
      </c>
      <c r="AQ288" s="0" t="n">
        <f aca="false">W_PH(AQ$2,$A288)</f>
        <v>2015</v>
      </c>
      <c r="AR288" s="0" t="n">
        <f aca="false">W_PH(AR$2,$A288)</f>
        <v>2015</v>
      </c>
      <c r="AS288" s="0" t="n">
        <f aca="false">W_PH(AS$2,$A288)</f>
        <v>2015</v>
      </c>
    </row>
    <row r="289" customFormat="false" ht="13.8" hidden="false" customHeight="false" outlineLevel="0" collapsed="false">
      <c r="A289" s="0" t="n">
        <v>4490</v>
      </c>
      <c r="B289" s="0" t="n">
        <f aca="false">W_PH(B$2,$A289)</f>
        <v>830.367678001472</v>
      </c>
      <c r="C289" s="0" t="n">
        <f aca="false">W_PH(C$2,$A289)</f>
        <v>830.367713932344</v>
      </c>
      <c r="D289" s="0" t="n">
        <f aca="false">W_PH(D$2,$A289)</f>
        <v>830.367749863271</v>
      </c>
      <c r="E289" s="0" t="n">
        <f aca="false">W_PH(E$2,$A289)</f>
        <v>830.367788623486</v>
      </c>
      <c r="F289" s="0" t="n">
        <f aca="false">W_PH(F$2,$A289)</f>
        <v>830.367824554526</v>
      </c>
      <c r="G289" s="0" t="n">
        <f aca="false">W_PH(G$2,$A289)</f>
        <v>830.368192355706</v>
      </c>
      <c r="H289" s="0" t="n">
        <f aca="false">W_PH(H$2,$A289)</f>
        <v>830.368560162505</v>
      </c>
      <c r="I289" s="0" t="n">
        <f aca="false">W_PH(I$2,$A289)</f>
        <v>830.368927974926</v>
      </c>
      <c r="J289" s="0" t="n">
        <f aca="false">W_PH(J$2,$A289)</f>
        <v>830.369295792969</v>
      </c>
      <c r="K289" s="0" t="n">
        <f aca="false">W_PH(K$2,$A289)</f>
        <v>830.369663616636</v>
      </c>
      <c r="L289" s="0" t="n">
        <f aca="false">W_PH(L$2,$A289)</f>
        <v>830.370031445931</v>
      </c>
      <c r="M289" s="0" t="n">
        <f aca="false">W_PH(M$2,$A289)</f>
        <v>830.370399280855</v>
      </c>
      <c r="N289" s="0" t="n">
        <f aca="false">W_PH(N$2,$A289)</f>
        <v>830.370767121408</v>
      </c>
      <c r="O289" s="0" t="n">
        <f aca="false">W_PH(O$2,$A289)</f>
        <v>830.371134967595</v>
      </c>
      <c r="P289" s="0" t="n">
        <f aca="false">W_PH(P$2,$A289)</f>
        <v>830.374815154468</v>
      </c>
      <c r="Q289" s="0" t="n">
        <f aca="false">W_PH(Q$2,$A289)</f>
        <v>830.378495906928</v>
      </c>
      <c r="R289" s="0" t="n">
        <f aca="false">W_PH(R$2,$A289)</f>
        <v>830.382175811976</v>
      </c>
      <c r="S289" s="0" t="n">
        <f aca="false">W_PH(S$2,$A289)</f>
        <v>830.385856286348</v>
      </c>
      <c r="T289" s="0" t="n">
        <f aca="false">W_PH(T$2,$A289)</f>
        <v>830.389537332001</v>
      </c>
      <c r="U289" s="0" t="n">
        <f aca="false">W_PH(U$2,$A289)</f>
        <v>830.393218950889</v>
      </c>
      <c r="V289" s="0" t="n">
        <f aca="false">W_PH(V$2,$A289)</f>
        <v>830.396898314365</v>
      </c>
      <c r="W289" s="0" t="n">
        <f aca="false">W_PH(W$2,$A289)</f>
        <v>830.400581085414</v>
      </c>
      <c r="X289" s="0" t="n">
        <f aca="false">W_PH(X$2,$A289)</f>
        <v>830.404264435563</v>
      </c>
      <c r="Y289" s="0" t="n">
        <f aca="false">W_PH(Y$2,$A289)</f>
        <v>830.44111180496</v>
      </c>
      <c r="Z289" s="0" t="n">
        <f aca="false">W_PH(Z$2,$A289)</f>
        <v>830.478002204051</v>
      </c>
      <c r="AA289" s="0" t="n">
        <f aca="false">W_PH(AA$2,$A289)</f>
        <v>830.514936135415</v>
      </c>
      <c r="AB289" s="0" t="n">
        <f aca="false">W_PH(AB$2,$A289)</f>
        <v>830.551914096538</v>
      </c>
      <c r="AC289" s="0" t="n">
        <f aca="false">W_PH(AC$2,$A289)</f>
        <v>830.588940839218</v>
      </c>
      <c r="AD289" s="0" t="n">
        <f aca="false">W_PH(AD$2,$A289)</f>
        <v>830.626016858554</v>
      </c>
      <c r="AE289" s="0" t="n">
        <f aca="false">W_PH(AE$2,$A289)</f>
        <v>830.663142644579</v>
      </c>
      <c r="AF289" s="0" t="n">
        <f aca="false">W_PH(AF$2,$A289)</f>
        <v>830.700324371798</v>
      </c>
      <c r="AG289" s="0" t="n">
        <f aca="false">W_PH(AG$2,$A289)</f>
        <v>830.737559683979</v>
      </c>
      <c r="AH289" s="0" t="n">
        <f aca="false">W_PH(AH$2,$A289)</f>
        <v>831.113321062395</v>
      </c>
      <c r="AI289" s="0" t="n">
        <f aca="false">W_PH(AI$2,$A289)</f>
        <v>831.496552006277</v>
      </c>
      <c r="AJ289" s="0" t="n">
        <f aca="false">W_PH(AJ$2,$A289)</f>
        <v>831.889049130308</v>
      </c>
      <c r="AK289" s="0" t="n">
        <f aca="false">W_PH(AK$2,$A289)</f>
        <v>832.292590942574</v>
      </c>
      <c r="AL289" s="0" t="n">
        <f aca="false">W_PH(AL$2,$A289)</f>
        <v>832.708945869092</v>
      </c>
      <c r="AM289" s="0" t="n">
        <f aca="false">W_PH(AM$2,$A289)</f>
        <v>833.139867324125</v>
      </c>
      <c r="AN289" s="0" t="n">
        <f aca="false">W_PH(AN$2,$A289)</f>
        <v>833.587097528003</v>
      </c>
      <c r="AO289" s="0" t="n">
        <f aca="false">W_PH(AO$2,$A289)</f>
        <v>834.052367008609</v>
      </c>
      <c r="AP289" s="0" t="n">
        <f aca="false">W_PH(AP$2,$A289)</f>
        <v>2015</v>
      </c>
      <c r="AQ289" s="0" t="n">
        <f aca="false">W_PH(AQ$2,$A289)</f>
        <v>2015</v>
      </c>
      <c r="AR289" s="0" t="n">
        <f aca="false">W_PH(AR$2,$A289)</f>
        <v>2015</v>
      </c>
      <c r="AS289" s="0" t="n">
        <f aca="false">W_PH(AS$2,$A289)</f>
        <v>2015</v>
      </c>
    </row>
    <row r="290" customFormat="false" ht="13.8" hidden="false" customHeight="false" outlineLevel="0" collapsed="false">
      <c r="A290" s="0" t="n">
        <v>4500</v>
      </c>
      <c r="B290" s="0" t="n">
        <f aca="false">W_PH(B$2,$A290)</f>
        <v>831.66476997604</v>
      </c>
      <c r="C290" s="0" t="n">
        <f aca="false">W_PH(C$2,$A290)</f>
        <v>831.664806698064</v>
      </c>
      <c r="D290" s="0" t="n">
        <f aca="false">W_PH(D$2,$A290)</f>
        <v>831.664846244308</v>
      </c>
      <c r="E290" s="0" t="n">
        <f aca="false">W_PH(E$2,$A290)</f>
        <v>831.664882966443</v>
      </c>
      <c r="F290" s="0" t="n">
        <f aca="false">W_PH(F$2,$A290)</f>
        <v>831.664919688634</v>
      </c>
      <c r="G290" s="0" t="n">
        <f aca="false">W_PH(G$2,$A290)</f>
        <v>831.665289737723</v>
      </c>
      <c r="H290" s="0" t="n">
        <f aca="false">W_PH(H$2,$A290)</f>
        <v>831.665662616512</v>
      </c>
      <c r="I290" s="0" t="n">
        <f aca="false">W_PH(I$2,$A290)</f>
        <v>831.666034088725</v>
      </c>
      <c r="J290" s="0" t="n">
        <f aca="false">W_PH(J$2,$A290)</f>
        <v>831.666405566455</v>
      </c>
      <c r="K290" s="0" t="n">
        <f aca="false">W_PH(K$2,$A290)</f>
        <v>831.666777049705</v>
      </c>
      <c r="L290" s="0" t="n">
        <f aca="false">W_PH(L$2,$A290)</f>
        <v>831.667148538477</v>
      </c>
      <c r="M290" s="0" t="n">
        <f aca="false">W_PH(M$2,$A290)</f>
        <v>831.667520032772</v>
      </c>
      <c r="N290" s="0" t="n">
        <f aca="false">W_PH(N$2,$A290)</f>
        <v>831.667891532594</v>
      </c>
      <c r="O290" s="0" t="n">
        <f aca="false">W_PH(O$2,$A290)</f>
        <v>831.668264450103</v>
      </c>
      <c r="P290" s="0" t="n">
        <f aca="false">W_PH(P$2,$A290)</f>
        <v>831.67197980812</v>
      </c>
      <c r="Q290" s="0" t="n">
        <f aca="false">W_PH(Q$2,$A290)</f>
        <v>831.675695721027</v>
      </c>
      <c r="R290" s="0" t="n">
        <f aca="false">W_PH(R$2,$A290)</f>
        <v>831.679412190765</v>
      </c>
      <c r="S290" s="0" t="n">
        <f aca="false">W_PH(S$2,$A290)</f>
        <v>831.683129219271</v>
      </c>
      <c r="T290" s="0" t="n">
        <f aca="false">W_PH(T$2,$A290)</f>
        <v>831.686843983309</v>
      </c>
      <c r="U290" s="0" t="n">
        <f aca="false">W_PH(U$2,$A290)</f>
        <v>831.690562134998</v>
      </c>
      <c r="V290" s="0" t="n">
        <f aca="false">W_PH(V$2,$A290)</f>
        <v>831.694280851271</v>
      </c>
      <c r="W290" s="0" t="n">
        <f aca="false">W_PH(W$2,$A290)</f>
        <v>831.698000134068</v>
      </c>
      <c r="X290" s="0" t="n">
        <f aca="false">W_PH(X$2,$A290)</f>
        <v>831.701717159464</v>
      </c>
      <c r="Y290" s="0" t="n">
        <f aca="false">W_PH(Y$2,$A290)</f>
        <v>831.73892756895</v>
      </c>
      <c r="Z290" s="0" t="n">
        <f aca="false">W_PH(Z$2,$A290)</f>
        <v>831.776177126341</v>
      </c>
      <c r="AA290" s="0" t="n">
        <f aca="false">W_PH(AA$2,$A290)</f>
        <v>831.813470562175</v>
      </c>
      <c r="AB290" s="0" t="n">
        <f aca="false">W_PH(AB$2,$A290)</f>
        <v>831.850809779531</v>
      </c>
      <c r="AC290" s="0" t="n">
        <f aca="false">W_PH(AC$2,$A290)</f>
        <v>831.888193845511</v>
      </c>
      <c r="AD290" s="0" t="n">
        <f aca="false">W_PH(AD$2,$A290)</f>
        <v>831.925627491004</v>
      </c>
      <c r="AE290" s="0" t="n">
        <f aca="false">W_PH(AE$2,$A290)</f>
        <v>831.96311261434</v>
      </c>
      <c r="AF290" s="0" t="n">
        <f aca="false">W_PH(AF$2,$A290)</f>
        <v>832.000648272776</v>
      </c>
      <c r="AG290" s="0" t="n">
        <f aca="false">W_PH(AG$2,$A290)</f>
        <v>832.038239197592</v>
      </c>
      <c r="AH290" s="0" t="n">
        <f aca="false">W_PH(AH$2,$A290)</f>
        <v>832.417503891255</v>
      </c>
      <c r="AI290" s="0" t="n">
        <f aca="false">W_PH(AI$2,$A290)</f>
        <v>832.804140180267</v>
      </c>
      <c r="AJ290" s="0" t="n">
        <f aca="false">W_PH(AJ$2,$A290)</f>
        <v>833.199927522884</v>
      </c>
      <c r="AK290" s="0" t="n">
        <f aca="false">W_PH(AK$2,$A290)</f>
        <v>833.606634856969</v>
      </c>
      <c r="AL290" s="0" t="n">
        <f aca="false">W_PH(AL$2,$A290)</f>
        <v>834.026015636383</v>
      </c>
      <c r="AM290" s="0" t="n">
        <f aca="false">W_PH(AM$2,$A290)</f>
        <v>834.459810079579</v>
      </c>
      <c r="AN290" s="0" t="n">
        <f aca="false">W_PH(AN$2,$A290)</f>
        <v>834.909750477428</v>
      </c>
      <c r="AO290" s="0" t="n">
        <f aca="false">W_PH(AO$2,$A290)</f>
        <v>835.377553327317</v>
      </c>
      <c r="AP290" s="0" t="n">
        <f aca="false">W_PH(AP$2,$A290)</f>
        <v>2015</v>
      </c>
      <c r="AQ290" s="0" t="n">
        <f aca="false">W_PH(AQ$2,$A290)</f>
        <v>2015</v>
      </c>
      <c r="AR290" s="0" t="n">
        <f aca="false">W_PH(AR$2,$A290)</f>
        <v>2015</v>
      </c>
      <c r="AS290" s="0" t="n">
        <f aca="false">W_PH(AS$2,$A290)</f>
        <v>2015</v>
      </c>
    </row>
    <row r="291" customFormat="false" ht="13.8" hidden="false" customHeight="false" outlineLevel="0" collapsed="false">
      <c r="A291" s="0" t="n">
        <v>4510</v>
      </c>
      <c r="B291" s="0" t="n">
        <f aca="false">W_PH(B$2,$A291)</f>
        <v>832.958108739367</v>
      </c>
      <c r="C291" s="0" t="n">
        <f aca="false">W_PH(C$2,$A291)</f>
        <v>832.958146240532</v>
      </c>
      <c r="D291" s="0" t="n">
        <f aca="false">W_PH(D$2,$A291)</f>
        <v>832.958183741751</v>
      </c>
      <c r="E291" s="0" t="n">
        <f aca="false">W_PH(E$2,$A291)</f>
        <v>832.958221243024</v>
      </c>
      <c r="F291" s="0" t="n">
        <f aca="false">W_PH(F$2,$A291)</f>
        <v>832.958258744351</v>
      </c>
      <c r="G291" s="0" t="n">
        <f aca="false">W_PH(G$2,$A291)</f>
        <v>832.958633760598</v>
      </c>
      <c r="H291" s="0" t="n">
        <f aca="false">W_PH(H$2,$A291)</f>
        <v>832.959008782256</v>
      </c>
      <c r="I291" s="0" t="n">
        <f aca="false">W_PH(I$2,$A291)</f>
        <v>832.959383809327</v>
      </c>
      <c r="J291" s="0" t="n">
        <f aca="false">W_PH(J$2,$A291)</f>
        <v>832.959758841811</v>
      </c>
      <c r="K291" s="0" t="n">
        <f aca="false">W_PH(K$2,$A291)</f>
        <v>832.960133879713</v>
      </c>
      <c r="L291" s="0" t="n">
        <f aca="false">W_PH(L$2,$A291)</f>
        <v>832.960508923033</v>
      </c>
      <c r="M291" s="0" t="n">
        <f aca="false">W_PH(M$2,$A291)</f>
        <v>832.960883971773</v>
      </c>
      <c r="N291" s="0" t="n">
        <f aca="false">W_PH(N$2,$A291)</f>
        <v>832.961259025936</v>
      </c>
      <c r="O291" s="0" t="n">
        <f aca="false">W_PH(O$2,$A291)</f>
        <v>832.961634085522</v>
      </c>
      <c r="P291" s="0" t="n">
        <f aca="false">W_PH(P$2,$A291)</f>
        <v>832.965386389875</v>
      </c>
      <c r="Q291" s="0" t="n">
        <f aca="false">W_PH(Q$2,$A291)</f>
        <v>832.969139238931</v>
      </c>
      <c r="R291" s="0" t="n">
        <f aca="false">W_PH(R$2,$A291)</f>
        <v>832.972891224708</v>
      </c>
      <c r="S291" s="0" t="n">
        <f aca="false">W_PH(S$2,$A291)</f>
        <v>832.976643758864</v>
      </c>
      <c r="T291" s="0" t="n">
        <f aca="false">W_PH(T$2,$A291)</f>
        <v>832.98039543325</v>
      </c>
      <c r="U291" s="0" t="n">
        <f aca="false">W_PH(U$2,$A291)</f>
        <v>832.98414765969</v>
      </c>
      <c r="V291" s="0" t="n">
        <f aca="false">W_PH(V$2,$A291)</f>
        <v>832.987901850347</v>
      </c>
      <c r="W291" s="0" t="n">
        <f aca="false">W_PH(W$2,$A291)</f>
        <v>832.991656597073</v>
      </c>
      <c r="X291" s="0" t="n">
        <f aca="false">W_PH(X$2,$A291)</f>
        <v>832.995411901787</v>
      </c>
      <c r="Y291" s="0" t="n">
        <f aca="false">W_PH(Y$2,$A291)</f>
        <v>833.032976303516</v>
      </c>
      <c r="Z291" s="0" t="n">
        <f aca="false">W_PH(Z$2,$A291)</f>
        <v>833.070581648305</v>
      </c>
      <c r="AA291" s="0" t="n">
        <f aca="false">W_PH(AA$2,$A291)</f>
        <v>833.108229825066</v>
      </c>
      <c r="AB291" s="0" t="n">
        <f aca="false">W_PH(AB$2,$A291)</f>
        <v>833.14592272116</v>
      </c>
      <c r="AC291" s="0" t="n">
        <f aca="false">W_PH(AC$2,$A291)</f>
        <v>833.183662222393</v>
      </c>
      <c r="AD291" s="0" t="n">
        <f aca="false">W_PH(AD$2,$A291)</f>
        <v>833.221447382112</v>
      </c>
      <c r="AE291" s="0" t="n">
        <f aca="false">W_PH(AE$2,$A291)</f>
        <v>833.259285743192</v>
      </c>
      <c r="AF291" s="0" t="n">
        <f aca="false">W_PH(AF$2,$A291)</f>
        <v>833.297170689035</v>
      </c>
      <c r="AG291" s="0" t="n">
        <f aca="false">W_PH(AG$2,$A291)</f>
        <v>833.335112597083</v>
      </c>
      <c r="AH291" s="0" t="n">
        <f aca="false">W_PH(AH$2,$A291)</f>
        <v>833.717829961305</v>
      </c>
      <c r="AI291" s="0" t="n">
        <f aca="false">W_PH(AI$2,$A291)</f>
        <v>834.107823441057</v>
      </c>
      <c r="AJ291" s="0" t="n">
        <f aca="false">W_PH(AJ$2,$A291)</f>
        <v>834.506855519558</v>
      </c>
      <c r="AK291" s="0" t="n">
        <f aca="false">W_PH(AK$2,$A291)</f>
        <v>834.916684256099</v>
      </c>
      <c r="AL291" s="0" t="n">
        <f aca="false">W_PH(AL$2,$A291)</f>
        <v>835.33904972302</v>
      </c>
      <c r="AM291" s="0" t="n">
        <f aca="false">W_PH(AM$2,$A291)</f>
        <v>835.775682017125</v>
      </c>
      <c r="AN291" s="0" t="n">
        <f aca="false">W_PH(AN$2,$A291)</f>
        <v>836.228294821389</v>
      </c>
      <c r="AO291" s="0" t="n">
        <f aca="false">W_PH(AO$2,$A291)</f>
        <v>836.698601013184</v>
      </c>
      <c r="AP291" s="0" t="n">
        <f aca="false">W_PH(AP$2,$A291)</f>
        <v>2015</v>
      </c>
      <c r="AQ291" s="0" t="n">
        <f aca="false">W_PH(AQ$2,$A291)</f>
        <v>2015</v>
      </c>
      <c r="AR291" s="0" t="n">
        <f aca="false">W_PH(AR$2,$A291)</f>
        <v>2015</v>
      </c>
      <c r="AS291" s="0" t="n">
        <f aca="false">W_PH(AS$2,$A291)</f>
        <v>2015</v>
      </c>
    </row>
    <row r="292" customFormat="false" ht="13.8" hidden="false" customHeight="false" outlineLevel="0" collapsed="false">
      <c r="A292" s="0" t="n">
        <v>4520</v>
      </c>
      <c r="B292" s="0" t="n">
        <f aca="false">W_PH(B$2,$A292)</f>
        <v>834.247724186085</v>
      </c>
      <c r="C292" s="0" t="n">
        <f aca="false">W_PH(C$2,$A292)</f>
        <v>834.247761047511</v>
      </c>
      <c r="D292" s="0" t="n">
        <f aca="false">W_PH(D$2,$A292)</f>
        <v>834.247799316073</v>
      </c>
      <c r="E292" s="0" t="n">
        <f aca="false">W_PH(E$2,$A292)</f>
        <v>834.247837584689</v>
      </c>
      <c r="F292" s="0" t="n">
        <f aca="false">W_PH(F$2,$A292)</f>
        <v>834.247875853358</v>
      </c>
      <c r="G292" s="0" t="n">
        <f aca="false">W_PH(G$2,$A292)</f>
        <v>834.248254321714</v>
      </c>
      <c r="H292" s="0" t="n">
        <f aca="false">W_PH(H$2,$A292)</f>
        <v>834.248632795378</v>
      </c>
      <c r="I292" s="0" t="n">
        <f aca="false">W_PH(I$2,$A292)</f>
        <v>834.249012681464</v>
      </c>
      <c r="J292" s="0" t="n">
        <f aca="false">W_PH(J$2,$A292)</f>
        <v>834.249389758643</v>
      </c>
      <c r="K292" s="0" t="n">
        <f aca="false">W_PH(K$2,$A292)</f>
        <v>834.249769655373</v>
      </c>
      <c r="L292" s="0" t="n">
        <f aca="false">W_PH(L$2,$A292)</f>
        <v>834.250146743166</v>
      </c>
      <c r="M292" s="0" t="n">
        <f aca="false">W_PH(M$2,$A292)</f>
        <v>834.250526650548</v>
      </c>
      <c r="N292" s="0" t="n">
        <f aca="false">W_PH(N$2,$A292)</f>
        <v>834.250903748964</v>
      </c>
      <c r="O292" s="0" t="n">
        <f aca="false">W_PH(O$2,$A292)</f>
        <v>834.251283667006</v>
      </c>
      <c r="P292" s="0" t="n">
        <f aca="false">W_PH(P$2,$A292)</f>
        <v>834.255069069057</v>
      </c>
      <c r="Q292" s="0" t="n">
        <f aca="false">W_PH(Q$2,$A292)</f>
        <v>834.2588578201</v>
      </c>
      <c r="R292" s="0" t="n">
        <f aca="false">W_PH(R$2,$A292)</f>
        <v>834.262644292902</v>
      </c>
      <c r="S292" s="0" t="n">
        <f aca="false">W_PH(S$2,$A292)</f>
        <v>834.266431303856</v>
      </c>
      <c r="T292" s="0" t="n">
        <f aca="false">W_PH(T$2,$A292)</f>
        <v>834.270218854869</v>
      </c>
      <c r="U292" s="0" t="n">
        <f aca="false">W_PH(U$2,$A292)</f>
        <v>834.274008355506</v>
      </c>
      <c r="V292" s="0" t="n">
        <f aca="false">W_PH(V$2,$A292)</f>
        <v>834.277798400181</v>
      </c>
      <c r="W292" s="0" t="n">
        <f aca="false">W_PH(W$2,$A292)</f>
        <v>834.281587582974</v>
      </c>
      <c r="X292" s="0" t="n">
        <f aca="false">W_PH(X$2,$A292)</f>
        <v>834.285375905539</v>
      </c>
      <c r="Y292" s="0" t="n">
        <f aca="false">W_PH(Y$2,$A292)</f>
        <v>834.323293889995</v>
      </c>
      <c r="Z292" s="0" t="n">
        <f aca="false">W_PH(Z$2,$A292)</f>
        <v>834.361250401905</v>
      </c>
      <c r="AA292" s="0" t="n">
        <f aca="false">W_PH(AA$2,$A292)</f>
        <v>834.399248722537</v>
      </c>
      <c r="AB292" s="0" t="n">
        <f aca="false">W_PH(AB$2,$A292)</f>
        <v>834.437290723734</v>
      </c>
      <c r="AC292" s="0" t="n">
        <f aca="false">W_PH(AC$2,$A292)</f>
        <v>834.475375451698</v>
      </c>
      <c r="AD292" s="0" t="n">
        <f aca="false">W_PH(AD$2,$A292)</f>
        <v>834.51351042185</v>
      </c>
      <c r="AE292" s="0" t="n">
        <f aca="false">W_PH(AE$2,$A292)</f>
        <v>834.55169326532</v>
      </c>
      <c r="AF292" s="0" t="n">
        <f aca="false">W_PH(AF$2,$A292)</f>
        <v>834.589927259996</v>
      </c>
      <c r="AG292" s="0" t="n">
        <f aca="false">W_PH(AG$2,$A292)</f>
        <v>834.628212854831</v>
      </c>
      <c r="AH292" s="0" t="n">
        <f aca="false">W_PH(AH$2,$A292)</f>
        <v>835.014336717286</v>
      </c>
      <c r="AI292" s="0" t="n">
        <f aca="false">W_PH(AI$2,$A292)</f>
        <v>835.407637961229</v>
      </c>
      <c r="AJ292" s="0" t="n">
        <f aca="false">W_PH(AJ$2,$A292)</f>
        <v>835.809873694038</v>
      </c>
      <c r="AK292" s="0" t="n">
        <f aca="false">W_PH(AK$2,$A292)</f>
        <v>836.222779756205</v>
      </c>
      <c r="AL292" s="0" t="n">
        <f aca="false">W_PH(AL$2,$A292)</f>
        <v>836.648091624564</v>
      </c>
      <c r="AM292" s="0" t="n">
        <f aca="false">W_PH(AM$2,$A292)</f>
        <v>837.087519204698</v>
      </c>
      <c r="AN292" s="0" t="n">
        <f aca="false">W_PH(AN$2,$A292)</f>
        <v>837.54277085093</v>
      </c>
      <c r="AO292" s="0" t="n">
        <f aca="false">W_PH(AO$2,$A292)</f>
        <v>838.015542692749</v>
      </c>
      <c r="AP292" s="0" t="n">
        <f aca="false">W_PH(AP$2,$A292)</f>
        <v>2015</v>
      </c>
      <c r="AQ292" s="0" t="n">
        <f aca="false">W_PH(AQ$2,$A292)</f>
        <v>2015</v>
      </c>
      <c r="AR292" s="0" t="n">
        <f aca="false">W_PH(AR$2,$A292)</f>
        <v>2015</v>
      </c>
      <c r="AS292" s="0" t="n">
        <f aca="false">W_PH(AS$2,$A292)</f>
        <v>2015</v>
      </c>
    </row>
    <row r="293" customFormat="false" ht="13.8" hidden="false" customHeight="false" outlineLevel="0" collapsed="false">
      <c r="A293" s="0" t="n">
        <v>4530</v>
      </c>
      <c r="B293" s="0" t="n">
        <f aca="false">W_PH(B$2,$A293)</f>
        <v>835.533648607535</v>
      </c>
      <c r="C293" s="0" t="n">
        <f aca="false">W_PH(C$2,$A293)</f>
        <v>835.533687631805</v>
      </c>
      <c r="D293" s="0" t="n">
        <f aca="false">W_PH(D$2,$A293)</f>
        <v>835.533723846893</v>
      </c>
      <c r="E293" s="0" t="n">
        <f aca="false">W_PH(E$2,$A293)</f>
        <v>835.533762871268</v>
      </c>
      <c r="F293" s="0" t="n">
        <f aca="false">W_PH(F$2,$A293)</f>
        <v>835.533801895695</v>
      </c>
      <c r="G293" s="0" t="n">
        <f aca="false">W_PH(G$2,$A293)</f>
        <v>835.534183715124</v>
      </c>
      <c r="H293" s="0" t="n">
        <f aca="false">W_PH(H$2,$A293)</f>
        <v>835.534565539762</v>
      </c>
      <c r="I293" s="0" t="n">
        <f aca="false">W_PH(I$2,$A293)</f>
        <v>835.534947369611</v>
      </c>
      <c r="J293" s="0" t="n">
        <f aca="false">W_PH(J$2,$A293)</f>
        <v>835.535329204672</v>
      </c>
      <c r="K293" s="0" t="n">
        <f aca="false">W_PH(K$2,$A293)</f>
        <v>835.535711044948</v>
      </c>
      <c r="L293" s="0" t="n">
        <f aca="false">W_PH(L$2,$A293)</f>
        <v>835.536092890441</v>
      </c>
      <c r="M293" s="0" t="n">
        <f aca="false">W_PH(M$2,$A293)</f>
        <v>835.536474741153</v>
      </c>
      <c r="N293" s="0" t="n">
        <f aca="false">W_PH(N$2,$A293)</f>
        <v>835.536858001769</v>
      </c>
      <c r="O293" s="0" t="n">
        <f aca="false">W_PH(O$2,$A293)</f>
        <v>835.537241267625</v>
      </c>
      <c r="P293" s="0" t="n">
        <f aca="false">W_PH(P$2,$A293)</f>
        <v>835.541060166968</v>
      </c>
      <c r="Q293" s="0" t="n">
        <f aca="false">W_PH(Q$2,$A293)</f>
        <v>835.544882400333</v>
      </c>
      <c r="R293" s="0" t="n">
        <f aca="false">W_PH(R$2,$A293)</f>
        <v>835.548705160223</v>
      </c>
      <c r="S293" s="0" t="n">
        <f aca="false">W_PH(S$2,$A293)</f>
        <v>835.552528448529</v>
      </c>
      <c r="T293" s="0" t="n">
        <f aca="false">W_PH(T$2,$A293)</f>
        <v>835.556349456933</v>
      </c>
      <c r="U293" s="0" t="n">
        <f aca="false">W_PH(U$2,$A293)</f>
        <v>835.560173807578</v>
      </c>
      <c r="V293" s="0" t="n">
        <f aca="false">W_PH(V$2,$A293)</f>
        <v>835.563995881774</v>
      </c>
      <c r="W293" s="0" t="n">
        <f aca="false">W_PH(W$2,$A293)</f>
        <v>835.56782130232</v>
      </c>
      <c r="X293" s="0" t="n">
        <f aca="false">W_PH(X$2,$A293)</f>
        <v>835.571644449868</v>
      </c>
      <c r="Y293" s="0" t="n">
        <f aca="false">W_PH(Y$2,$A293)</f>
        <v>835.609908718205</v>
      </c>
      <c r="Z293" s="0" t="n">
        <f aca="false">W_PH(Z$2,$A293)</f>
        <v>835.648210529679</v>
      </c>
      <c r="AA293" s="0" t="n">
        <f aca="false">W_PH(AA$2,$A293)</f>
        <v>835.686553147729</v>
      </c>
      <c r="AB293" s="0" t="n">
        <f aca="false">W_PH(AB$2,$A293)</f>
        <v>835.724939837601</v>
      </c>
      <c r="AC293" s="0" t="n">
        <f aca="false">W_PH(AC$2,$A293)</f>
        <v>835.763371047272</v>
      </c>
      <c r="AD293" s="0" t="n">
        <f aca="false">W_PH(AD$2,$A293)</f>
        <v>835.801845809624</v>
      </c>
      <c r="AE293" s="0" t="n">
        <f aca="false">W_PH(AE$2,$A293)</f>
        <v>835.840371616544</v>
      </c>
      <c r="AF293" s="0" t="n">
        <f aca="false">W_PH(AF$2,$A293)</f>
        <v>835.878944675651</v>
      </c>
      <c r="AG293" s="0" t="n">
        <f aca="false">W_PH(AG$2,$A293)</f>
        <v>835.917572482457</v>
      </c>
      <c r="AH293" s="0" t="n">
        <f aca="false">W_PH(AH$2,$A293)</f>
        <v>836.307052558576</v>
      </c>
      <c r="AI293" s="0" t="n">
        <f aca="false">W_PH(AI$2,$A293)</f>
        <v>836.703619378306</v>
      </c>
      <c r="AJ293" s="0" t="n">
        <f aca="false">W_PH(AJ$2,$A293)</f>
        <v>837.109010530957</v>
      </c>
      <c r="AK293" s="0" t="n">
        <f aca="false">W_PH(AK$2,$A293)</f>
        <v>837.524954132442</v>
      </c>
      <c r="AL293" s="0" t="n">
        <f aca="false">W_PH(AL$2,$A293)</f>
        <v>837.953169648685</v>
      </c>
      <c r="AM293" s="0" t="n">
        <f aca="false">W_PH(AM$2,$A293)</f>
        <v>838.39535855016</v>
      </c>
      <c r="AN293" s="0" t="n">
        <f aca="false">W_PH(AN$2,$A293)</f>
        <v>838.853215246235</v>
      </c>
      <c r="AO293" s="0" t="n">
        <f aca="false">W_PH(AO$2,$A293)</f>
        <v>839.328420690145</v>
      </c>
      <c r="AP293" s="0" t="n">
        <f aca="false">W_PH(AP$2,$A293)</f>
        <v>2015</v>
      </c>
      <c r="AQ293" s="0" t="n">
        <f aca="false">W_PH(AQ$2,$A293)</f>
        <v>2015</v>
      </c>
      <c r="AR293" s="0" t="n">
        <f aca="false">W_PH(AR$2,$A293)</f>
        <v>2015</v>
      </c>
      <c r="AS293" s="0" t="n">
        <f aca="false">W_PH(AS$2,$A293)</f>
        <v>2015</v>
      </c>
    </row>
    <row r="294" customFormat="false" ht="13.8" hidden="false" customHeight="false" outlineLevel="0" collapsed="false">
      <c r="A294" s="0" t="n">
        <v>4540</v>
      </c>
      <c r="B294" s="0" t="n">
        <f aca="false">W_PH(B$2,$A294)</f>
        <v>836.81591387125</v>
      </c>
      <c r="C294" s="0" t="n">
        <f aca="false">W_PH(C$2,$A294)</f>
        <v>836.815950835562</v>
      </c>
      <c r="D294" s="0" t="n">
        <f aca="false">W_PH(D$2,$A294)</f>
        <v>836.815990604268</v>
      </c>
      <c r="E294" s="0" t="n">
        <f aca="false">W_PH(E$2,$A294)</f>
        <v>836.81602756868</v>
      </c>
      <c r="F294" s="0" t="n">
        <f aca="false">W_PH(F$2,$A294)</f>
        <v>836.816067337489</v>
      </c>
      <c r="G294" s="0" t="n">
        <f aca="false">W_PH(G$2,$A294)</f>
        <v>836.816453811017</v>
      </c>
      <c r="H294" s="0" t="n">
        <f aca="false">W_PH(H$2,$A294)</f>
        <v>836.81683748529</v>
      </c>
      <c r="I294" s="0" t="n">
        <f aca="false">W_PH(I$2,$A294)</f>
        <v>836.817223969056</v>
      </c>
      <c r="J294" s="0" t="n">
        <f aca="false">W_PH(J$2,$A294)</f>
        <v>836.817610457954</v>
      </c>
      <c r="K294" s="0" t="n">
        <f aca="false">W_PH(K$2,$A294)</f>
        <v>836.817994147553</v>
      </c>
      <c r="L294" s="0" t="n">
        <f aca="false">W_PH(L$2,$A294)</f>
        <v>836.818380646701</v>
      </c>
      <c r="M294" s="0" t="n">
        <f aca="false">W_PH(M$2,$A294)</f>
        <v>836.818767150985</v>
      </c>
      <c r="N294" s="0" t="n">
        <f aca="false">W_PH(N$2,$A294)</f>
        <v>836.819150855928</v>
      </c>
      <c r="O294" s="0" t="n">
        <f aca="false">W_PH(O$2,$A294)</f>
        <v>836.819537370474</v>
      </c>
      <c r="P294" s="0" t="n">
        <f aca="false">W_PH(P$2,$A294)</f>
        <v>836.823391580408</v>
      </c>
      <c r="Q294" s="0" t="n">
        <f aca="false">W_PH(Q$2,$A294)</f>
        <v>836.827249109919</v>
      </c>
      <c r="R294" s="0" t="n">
        <f aca="false">W_PH(R$2,$A294)</f>
        <v>836.831104351403</v>
      </c>
      <c r="S294" s="0" t="n">
        <f aca="false">W_PH(S$2,$A294)</f>
        <v>836.834960111393</v>
      </c>
      <c r="T294" s="0" t="n">
        <f aca="false">W_PH(T$2,$A294)</f>
        <v>836.838819197072</v>
      </c>
      <c r="U294" s="0" t="n">
        <f aca="false">W_PH(U$2,$A294)</f>
        <v>836.842675999862</v>
      </c>
      <c r="V294" s="0" t="n">
        <f aca="false">W_PH(V$2,$A294)</f>
        <v>836.846533326784</v>
      </c>
      <c r="W294" s="0" t="n">
        <f aca="false">W_PH(W$2,$A294)</f>
        <v>836.850391179712</v>
      </c>
      <c r="X294" s="0" t="n">
        <f aca="false">W_PH(X$2,$A294)</f>
        <v>836.854249560519</v>
      </c>
      <c r="Y294" s="0" t="n">
        <f aca="false">W_PH(Y$2,$A294)</f>
        <v>836.892854391546</v>
      </c>
      <c r="Z294" s="0" t="n">
        <f aca="false">W_PH(Z$2,$A294)</f>
        <v>836.931497206469</v>
      </c>
      <c r="AA294" s="0" t="n">
        <f aca="false">W_PH(AA$2,$A294)</f>
        <v>836.970179848145</v>
      </c>
      <c r="AB294" s="0" t="n">
        <f aca="false">W_PH(AB$2,$A294)</f>
        <v>837.008905564205</v>
      </c>
      <c r="AC294" s="0" t="n">
        <f aca="false">W_PH(AC$2,$A294)</f>
        <v>837.047674790026</v>
      </c>
      <c r="AD294" s="0" t="n">
        <f aca="false">W_PH(AD$2,$A294)</f>
        <v>837.086487956316</v>
      </c>
      <c r="AE294" s="0" t="n">
        <f aca="false">W_PH(AE$2,$A294)</f>
        <v>837.125351123685</v>
      </c>
      <c r="AF294" s="0" t="n">
        <f aca="false">W_PH(AF$2,$A294)</f>
        <v>837.164260494878</v>
      </c>
      <c r="AG294" s="0" t="n">
        <f aca="false">W_PH(AG$2,$A294)</f>
        <v>837.20322354033</v>
      </c>
      <c r="AH294" s="0" t="n">
        <f aca="false">W_PH(AH$2,$A294)</f>
        <v>837.596013949129</v>
      </c>
      <c r="AI294" s="0" t="n">
        <f aca="false">W_PH(AI$2,$A294)</f>
        <v>837.995799953874</v>
      </c>
      <c r="AJ294" s="0" t="n">
        <f aca="false">W_PH(AJ$2,$A294)</f>
        <v>838.404302629992</v>
      </c>
      <c r="AK294" s="0" t="n">
        <f aca="false">W_PH(AK$2,$A294)</f>
        <v>838.823245382565</v>
      </c>
      <c r="AL294" s="0" t="n">
        <f aca="false">W_PH(AL$2,$A294)</f>
        <v>839.254323171476</v>
      </c>
      <c r="AM294" s="0" t="n">
        <f aca="false">W_PH(AM$2,$A294)</f>
        <v>839.699236342785</v>
      </c>
      <c r="AN294" s="0" t="n">
        <f aca="false">W_PH(AN$2,$A294)</f>
        <v>840.159661124799</v>
      </c>
      <c r="AO294" s="0" t="n">
        <f aca="false">W_PH(AO$2,$A294)</f>
        <v>840.637270741722</v>
      </c>
      <c r="AP294" s="0" t="n">
        <f aca="false">W_PH(AP$2,$A294)</f>
        <v>2015</v>
      </c>
      <c r="AQ294" s="0" t="n">
        <f aca="false">W_PH(AQ$2,$A294)</f>
        <v>2015</v>
      </c>
      <c r="AR294" s="0" t="n">
        <f aca="false">W_PH(AR$2,$A294)</f>
        <v>2015</v>
      </c>
      <c r="AS294" s="0" t="n">
        <f aca="false">W_PH(AS$2,$A294)</f>
        <v>2015</v>
      </c>
    </row>
    <row r="295" customFormat="false" ht="13.8" hidden="false" customHeight="false" outlineLevel="0" collapsed="false">
      <c r="A295" s="0" t="n">
        <v>4550</v>
      </c>
      <c r="B295" s="0" t="n">
        <f aca="false">W_PH(B$2,$A295)</f>
        <v>838.094548629961</v>
      </c>
      <c r="C295" s="0" t="n">
        <f aca="false">W_PH(C$2,$A295)</f>
        <v>838.094589131829</v>
      </c>
      <c r="D295" s="0" t="n">
        <f aca="false">W_PH(D$2,$A295)</f>
        <v>838.094626834249</v>
      </c>
      <c r="E295" s="0" t="n">
        <f aca="false">W_PH(E$2,$A295)</f>
        <v>838.094665936469</v>
      </c>
      <c r="F295" s="0" t="n">
        <f aca="false">W_PH(F$2,$A295)</f>
        <v>838.094705038739</v>
      </c>
      <c r="G295" s="0" t="n">
        <f aca="false">W_PH(G$2,$A295)</f>
        <v>838.095093264696</v>
      </c>
      <c r="H295" s="0" t="n">
        <f aca="false">W_PH(H$2,$A295)</f>
        <v>838.095481495666</v>
      </c>
      <c r="I295" s="0" t="n">
        <f aca="false">W_PH(I$2,$A295)</f>
        <v>838.095872531202</v>
      </c>
      <c r="J295" s="0" t="n">
        <f aca="false">W_PH(J$2,$A295)</f>
        <v>838.096260772222</v>
      </c>
      <c r="K295" s="0" t="n">
        <f aca="false">W_PH(K$2,$A295)</f>
        <v>838.09664901826</v>
      </c>
      <c r="L295" s="0" t="n">
        <f aca="false">W_PH(L$2,$A295)</f>
        <v>838.09703726932</v>
      </c>
      <c r="M295" s="0" t="n">
        <f aca="false">W_PH(M$2,$A295)</f>
        <v>838.097428325017</v>
      </c>
      <c r="N295" s="0" t="n">
        <f aca="false">W_PH(N$2,$A295)</f>
        <v>838.09781658614</v>
      </c>
      <c r="O295" s="0" t="n">
        <f aca="false">W_PH(O$2,$A295)</f>
        <v>838.098204852291</v>
      </c>
      <c r="P295" s="0" t="n">
        <f aca="false">W_PH(P$2,$A295)</f>
        <v>838.102093390283</v>
      </c>
      <c r="Q295" s="0" t="n">
        <f aca="false">W_PH(Q$2,$A295)</f>
        <v>838.105983833612</v>
      </c>
      <c r="R295" s="0" t="n">
        <f aca="false">W_PH(R$2,$A295)</f>
        <v>838.109874784317</v>
      </c>
      <c r="S295" s="0" t="n">
        <f aca="false">W_PH(S$2,$A295)</f>
        <v>838.113764844114</v>
      </c>
      <c r="T295" s="0" t="n">
        <f aca="false">W_PH(T$2,$A295)</f>
        <v>838.117655414845</v>
      </c>
      <c r="U295" s="0" t="n">
        <f aca="false">W_PH(U$2,$A295)</f>
        <v>838.121546498369</v>
      </c>
      <c r="V295" s="0" t="n">
        <f aca="false">W_PH(V$2,$A295)</f>
        <v>838.125438096547</v>
      </c>
      <c r="W295" s="0" t="n">
        <f aca="false">W_PH(W$2,$A295)</f>
        <v>838.129328810773</v>
      </c>
      <c r="X295" s="0" t="n">
        <f aca="false">W_PH(X$2,$A295)</f>
        <v>838.133220043211</v>
      </c>
      <c r="Y295" s="0" t="n">
        <f aca="false">W_PH(Y$2,$A295)</f>
        <v>838.172161278094</v>
      </c>
      <c r="Z295" s="0" t="n">
        <f aca="false">W_PH(Z$2,$A295)</f>
        <v>838.211140954413</v>
      </c>
      <c r="AA295" s="0" t="n">
        <f aca="false">W_PH(AA$2,$A295)</f>
        <v>838.250159499524</v>
      </c>
      <c r="AB295" s="0" t="n">
        <f aca="false">W_PH(AB$2,$A295)</f>
        <v>838.28922014366</v>
      </c>
      <c r="AC295" s="0" t="n">
        <f aca="false">W_PH(AC$2,$A295)</f>
        <v>838.32832190523</v>
      </c>
      <c r="AD295" s="0" t="n">
        <f aca="false">W_PH(AD$2,$A295)</f>
        <v>838.367469416202</v>
      </c>
      <c r="AE295" s="0" t="n">
        <f aca="false">W_PH(AE$2,$A295)</f>
        <v>838.406664501267</v>
      </c>
      <c r="AF295" s="0" t="n">
        <f aca="false">W_PH(AF$2,$A295)</f>
        <v>838.445906169862</v>
      </c>
      <c r="AG295" s="0" t="n">
        <f aca="false">W_PH(AG$2,$A295)</f>
        <v>838.485197646846</v>
      </c>
      <c r="AH295" s="0" t="n">
        <f aca="false">W_PH(AH$2,$A295)</f>
        <v>838.8812540227</v>
      </c>
      <c r="AI295" s="0" t="n">
        <f aca="false">W_PH(AI$2,$A295)</f>
        <v>839.284211459099</v>
      </c>
      <c r="AJ295" s="0" t="n">
        <f aca="false">W_PH(AJ$2,$A295)</f>
        <v>839.695786044118</v>
      </c>
      <c r="AK295" s="0" t="n">
        <f aca="false">W_PH(AK$2,$A295)</f>
        <v>840.117682292011</v>
      </c>
      <c r="AL295" s="0" t="n">
        <f aca="false">W_PH(AL$2,$A295)</f>
        <v>840.551588064698</v>
      </c>
      <c r="AM295" s="0" t="n">
        <f aca="false">W_PH(AM$2,$A295)</f>
        <v>840.999186813619</v>
      </c>
      <c r="AN295" s="0" t="n">
        <f aca="false">W_PH(AN$2,$A295)</f>
        <v>841.46214685305</v>
      </c>
      <c r="AO295" s="0" t="n">
        <f aca="false">W_PH(AO$2,$A295)</f>
        <v>841.94212794996</v>
      </c>
      <c r="AP295" s="0" t="n">
        <f aca="false">W_PH(AP$2,$A295)</f>
        <v>2015</v>
      </c>
      <c r="AQ295" s="0" t="n">
        <f aca="false">W_PH(AQ$2,$A295)</f>
        <v>2015</v>
      </c>
      <c r="AR295" s="0" t="n">
        <f aca="false">W_PH(AR$2,$A295)</f>
        <v>2015</v>
      </c>
      <c r="AS295" s="0" t="n">
        <f aca="false">W_PH(AS$2,$A295)</f>
        <v>2015</v>
      </c>
    </row>
    <row r="296" customFormat="false" ht="13.8" hidden="false" customHeight="false" outlineLevel="0" collapsed="false">
      <c r="A296" s="0" t="n">
        <v>4560</v>
      </c>
      <c r="B296" s="0" t="n">
        <f aca="false">W_PH(B$2,$A296)</f>
        <v>839.369588135335</v>
      </c>
      <c r="C296" s="0" t="n">
        <f aca="false">W_PH(C$2,$A296)</f>
        <v>839.36962656475</v>
      </c>
      <c r="D296" s="0" t="n">
        <f aca="false">W_PH(D$2,$A296)</f>
        <v>839.36966639156</v>
      </c>
      <c r="E296" s="0" t="n">
        <f aca="false">W_PH(E$2,$A296)</f>
        <v>839.36970621842</v>
      </c>
      <c r="F296" s="0" t="n">
        <f aca="false">W_PH(F$2,$A296)</f>
        <v>839.369744647982</v>
      </c>
      <c r="G296" s="0" t="n">
        <f aca="false">W_PH(G$2,$A296)</f>
        <v>839.370137330399</v>
      </c>
      <c r="H296" s="0" t="n">
        <f aca="false">W_PH(H$2,$A296)</f>
        <v>839.370530017751</v>
      </c>
      <c r="I296" s="0" t="n">
        <f aca="false">W_PH(I$2,$A296)</f>
        <v>839.370922710038</v>
      </c>
      <c r="J296" s="0" t="n">
        <f aca="false">W_PH(J$2,$A296)</f>
        <v>839.371312612503</v>
      </c>
      <c r="K296" s="0" t="n">
        <f aca="false">W_PH(K$2,$A296)</f>
        <v>839.371705314651</v>
      </c>
      <c r="L296" s="0" t="n">
        <f aca="false">W_PH(L$2,$A296)</f>
        <v>839.372098021742</v>
      </c>
      <c r="M296" s="0" t="n">
        <f aca="false">W_PH(M$2,$A296)</f>
        <v>839.372490733775</v>
      </c>
      <c r="N296" s="0" t="n">
        <f aca="false">W_PH(N$2,$A296)</f>
        <v>839.372883450754</v>
      </c>
      <c r="O296" s="0" t="n">
        <f aca="false">W_PH(O$2,$A296)</f>
        <v>839.373274775261</v>
      </c>
      <c r="P296" s="0" t="n">
        <f aca="false">W_PH(P$2,$A296)</f>
        <v>839.377198074438</v>
      </c>
      <c r="Q296" s="0" t="n">
        <f aca="false">W_PH(Q$2,$A296)</f>
        <v>839.381120472297</v>
      </c>
      <c r="R296" s="0" t="n">
        <f aca="false">W_PH(R$2,$A296)</f>
        <v>839.3850433681</v>
      </c>
      <c r="S296" s="0" t="n">
        <f aca="false">W_PH(S$2,$A296)</f>
        <v>839.388966763694</v>
      </c>
      <c r="T296" s="0" t="n">
        <f aca="false">W_PH(T$2,$A296)</f>
        <v>839.392890660923</v>
      </c>
      <c r="U296" s="0" t="n">
        <f aca="false">W_PH(U$2,$A296)</f>
        <v>839.39681506163</v>
      </c>
      <c r="V296" s="0" t="n">
        <f aca="false">W_PH(V$2,$A296)</f>
        <v>839.40073996766</v>
      </c>
      <c r="W296" s="0" t="n">
        <f aca="false">W_PH(W$2,$A296)</f>
        <v>839.404665380856</v>
      </c>
      <c r="X296" s="0" t="n">
        <f aca="false">W_PH(X$2,$A296)</f>
        <v>839.408589904933</v>
      </c>
      <c r="Y296" s="0" t="n">
        <f aca="false">W_PH(Y$2,$A296)</f>
        <v>839.447862139226</v>
      </c>
      <c r="Z296" s="0" t="n">
        <f aca="false">W_PH(Z$2,$A296)</f>
        <v>839.4871718876</v>
      </c>
      <c r="AA296" s="0" t="n">
        <f aca="false">W_PH(AA$2,$A296)</f>
        <v>839.526522366056</v>
      </c>
      <c r="AB296" s="0" t="n">
        <f aca="false">W_PH(AB$2,$A296)</f>
        <v>839.565909785945</v>
      </c>
      <c r="AC296" s="0" t="n">
        <f aca="false">W_PH(AC$2,$A296)</f>
        <v>839.605342963304</v>
      </c>
      <c r="AD296" s="0" t="n">
        <f aca="false">W_PH(AD$2,$A296)</f>
        <v>839.644819505666</v>
      </c>
      <c r="AE296" s="0" t="n">
        <f aca="false">W_PH(AE$2,$A296)</f>
        <v>839.684339817053</v>
      </c>
      <c r="AF296" s="0" t="n">
        <f aca="false">W_PH(AF$2,$A296)</f>
        <v>839.723909914721</v>
      </c>
      <c r="AG296" s="0" t="n">
        <f aca="false">W_PH(AG$2,$A296)</f>
        <v>839.763528797909</v>
      </c>
      <c r="AH296" s="0" t="n">
        <f aca="false">W_PH(AH$2,$A296)</f>
        <v>840.162802619403</v>
      </c>
      <c r="AI296" s="0" t="n">
        <f aca="false">W_PH(AI$2,$A296)</f>
        <v>840.568890868193</v>
      </c>
      <c r="AJ296" s="0" t="n">
        <f aca="false">W_PH(AJ$2,$A296)</f>
        <v>840.983493434714</v>
      </c>
      <c r="AK296" s="0" t="n">
        <f aca="false">W_PH(AK$2,$A296)</f>
        <v>841.408304636642</v>
      </c>
      <c r="AL296" s="0" t="n">
        <f aca="false">W_PH(AL$2,$A296)</f>
        <v>841.844999626108</v>
      </c>
      <c r="AM296" s="0" t="n">
        <f aca="false">W_PH(AM$2,$A296)</f>
        <v>842.295249417308</v>
      </c>
      <c r="AN296" s="0" t="n">
        <f aca="false">W_PH(AN$2,$A296)</f>
        <v>842.760708707845</v>
      </c>
      <c r="AO296" s="0" t="n">
        <f aca="false">W_PH(AO$2,$A296)</f>
        <v>843.243029727047</v>
      </c>
      <c r="AP296" s="0" t="n">
        <f aca="false">W_PH(AP$2,$A296)</f>
        <v>2015</v>
      </c>
      <c r="AQ296" s="0" t="n">
        <f aca="false">W_PH(AQ$2,$A296)</f>
        <v>2015</v>
      </c>
      <c r="AR296" s="0" t="n">
        <f aca="false">W_PH(AR$2,$A296)</f>
        <v>2015</v>
      </c>
      <c r="AS296" s="0" t="n">
        <f aca="false">W_PH(AS$2,$A296)</f>
        <v>2015</v>
      </c>
    </row>
    <row r="297" customFormat="false" ht="13.8" hidden="false" customHeight="false" outlineLevel="0" collapsed="false">
      <c r="A297" s="0" t="n">
        <v>4570</v>
      </c>
      <c r="B297" s="0" t="n">
        <f aca="false">W_PH(B$2,$A297)</f>
        <v>840.641058841515</v>
      </c>
      <c r="C297" s="0" t="n">
        <f aca="false">W_PH(C$2,$A297)</f>
        <v>840.641097987154</v>
      </c>
      <c r="D297" s="0" t="n">
        <f aca="false">W_PH(D$2,$A297)</f>
        <v>840.641137132841</v>
      </c>
      <c r="E297" s="0" t="n">
        <f aca="false">W_PH(E$2,$A297)</f>
        <v>840.641179068507</v>
      </c>
      <c r="F297" s="0" t="n">
        <f aca="false">W_PH(F$2,$A297)</f>
        <v>840.641218214292</v>
      </c>
      <c r="G297" s="0" t="n">
        <f aca="false">W_PH(G$2,$A297)</f>
        <v>840.641612464721</v>
      </c>
      <c r="H297" s="0" t="n">
        <f aca="false">W_PH(H$2,$A297)</f>
        <v>840.642009509939</v>
      </c>
      <c r="I297" s="0" t="n">
        <f aca="false">W_PH(I$2,$A297)</f>
        <v>840.642403770035</v>
      </c>
      <c r="J297" s="0" t="n">
        <f aca="false">W_PH(J$2,$A297)</f>
        <v>840.642799429956</v>
      </c>
      <c r="K297" s="0" t="n">
        <f aca="false">W_PH(K$2,$A297)</f>
        <v>840.643195094724</v>
      </c>
      <c r="L297" s="0" t="n">
        <f aca="false">W_PH(L$2,$A297)</f>
        <v>840.643589369325</v>
      </c>
      <c r="M297" s="0" t="n">
        <f aca="false">W_PH(M$2,$A297)</f>
        <v>840.643986438802</v>
      </c>
      <c r="N297" s="0" t="n">
        <f aca="false">W_PH(N$2,$A297)</f>
        <v>840.644380723088</v>
      </c>
      <c r="O297" s="0" t="n">
        <f aca="false">W_PH(O$2,$A297)</f>
        <v>840.644777802285</v>
      </c>
      <c r="P297" s="0" t="n">
        <f aca="false">W_PH(P$2,$A297)</f>
        <v>840.648732121046</v>
      </c>
      <c r="Q297" s="0" t="n">
        <f aca="false">W_PH(Q$2,$A297)</f>
        <v>840.652686926799</v>
      </c>
      <c r="R297" s="0" t="n">
        <f aca="false">W_PH(R$2,$A297)</f>
        <v>840.656645011914</v>
      </c>
      <c r="S297" s="0" t="n">
        <f aca="false">W_PH(S$2,$A297)</f>
        <v>840.660600797294</v>
      </c>
      <c r="T297" s="0" t="n">
        <f aca="false">W_PH(T$2,$A297)</f>
        <v>840.664557075155</v>
      </c>
      <c r="U297" s="0" t="n">
        <f aca="false">W_PH(U$2,$A297)</f>
        <v>840.668513847325</v>
      </c>
      <c r="V297" s="0" t="n">
        <f aca="false">W_PH(V$2,$A297)</f>
        <v>840.672471115633</v>
      </c>
      <c r="W297" s="0" t="n">
        <f aca="false">W_PH(W$2,$A297)</f>
        <v>840.676428881909</v>
      </c>
      <c r="X297" s="0" t="n">
        <f aca="false">W_PH(X$2,$A297)</f>
        <v>840.68038714798</v>
      </c>
      <c r="Y297" s="0" t="n">
        <f aca="false">W_PH(Y$2,$A297)</f>
        <v>840.7199865276</v>
      </c>
      <c r="Z297" s="0" t="n">
        <f aca="false">W_PH(Z$2,$A297)</f>
        <v>840.759623912127</v>
      </c>
      <c r="AA297" s="0" t="n">
        <f aca="false">W_PH(AA$2,$A297)</f>
        <v>840.799298308642</v>
      </c>
      <c r="AB297" s="0" t="n">
        <f aca="false">W_PH(AB$2,$A297)</f>
        <v>840.839011514369</v>
      </c>
      <c r="AC297" s="0" t="n">
        <f aca="false">W_PH(AC$2,$A297)</f>
        <v>840.878768124455</v>
      </c>
      <c r="AD297" s="0" t="n">
        <f aca="false">W_PH(AD$2,$A297)</f>
        <v>840.918567137305</v>
      </c>
      <c r="AE297" s="0" t="n">
        <f aca="false">W_PH(AE$2,$A297)</f>
        <v>840.958413148513</v>
      </c>
      <c r="AF297" s="0" t="n">
        <f aca="false">W_PH(AF$2,$A297)</f>
        <v>840.99830515072</v>
      </c>
      <c r="AG297" s="0" t="n">
        <f aca="false">W_PH(AG$2,$A297)</f>
        <v>841.03824493451</v>
      </c>
      <c r="AH297" s="0" t="n">
        <f aca="false">W_PH(AH$2,$A297)</f>
        <v>841.440691963085</v>
      </c>
      <c r="AI297" s="0" t="n">
        <f aca="false">W_PH(AI$2,$A297)</f>
        <v>841.849866134145</v>
      </c>
      <c r="AJ297" s="0" t="n">
        <f aca="false">W_PH(AJ$2,$A297)</f>
        <v>842.267456962164</v>
      </c>
      <c r="AK297" s="0" t="n">
        <f aca="false">W_PH(AK$2,$A297)</f>
        <v>842.695141582877</v>
      </c>
      <c r="AL297" s="0" t="n">
        <f aca="false">W_PH(AL$2,$A297)</f>
        <v>843.134588271207</v>
      </c>
      <c r="AM297" s="0" t="n">
        <f aca="false">W_PH(AM$2,$A297)</f>
        <v>843.587452861425</v>
      </c>
      <c r="AN297" s="0" t="n">
        <f aca="false">W_PH(AN$2,$A297)</f>
        <v>844.055380906606</v>
      </c>
      <c r="AO297" s="0" t="n">
        <f aca="false">W_PH(AO$2,$A297)</f>
        <v>844.540008470064</v>
      </c>
      <c r="AP297" s="0" t="n">
        <f aca="false">W_PH(AP$2,$A297)</f>
        <v>2015</v>
      </c>
      <c r="AQ297" s="0" t="n">
        <f aca="false">W_PH(AQ$2,$A297)</f>
        <v>2015</v>
      </c>
      <c r="AR297" s="0" t="n">
        <f aca="false">W_PH(AR$2,$A297)</f>
        <v>2015</v>
      </c>
      <c r="AS297" s="0" t="n">
        <f aca="false">W_PH(AS$2,$A297)</f>
        <v>2015</v>
      </c>
    </row>
    <row r="298" customFormat="false" ht="13.8" hidden="false" customHeight="false" outlineLevel="0" collapsed="false">
      <c r="A298" s="0" t="n">
        <v>4580</v>
      </c>
      <c r="B298" s="0" t="n">
        <f aca="false">W_PH(B$2,$A298)</f>
        <v>841.908992410508</v>
      </c>
      <c r="C298" s="0" t="n">
        <f aca="false">W_PH(C$2,$A298)</f>
        <v>841.909032261742</v>
      </c>
      <c r="D298" s="0" t="n">
        <f aca="false">W_PH(D$2,$A298)</f>
        <v>841.909072113024</v>
      </c>
      <c r="E298" s="0" t="n">
        <f aca="false">W_PH(E$2,$A298)</f>
        <v>841.909111964353</v>
      </c>
      <c r="F298" s="0" t="n">
        <f aca="false">W_PH(F$2,$A298)</f>
        <v>841.90915181573</v>
      </c>
      <c r="G298" s="0" t="n">
        <f aca="false">W_PH(G$2,$A298)</f>
        <v>841.909550332108</v>
      </c>
      <c r="H298" s="0" t="n">
        <f aca="false">W_PH(H$2,$A298)</f>
        <v>841.909948853234</v>
      </c>
      <c r="I298" s="0" t="n">
        <f aca="false">W_PH(I$2,$A298)</f>
        <v>841.910348771737</v>
      </c>
      <c r="J298" s="0" t="n">
        <f aca="false">W_PH(J$2,$A298)</f>
        <v>841.91074730237</v>
      </c>
      <c r="K298" s="0" t="n">
        <f aca="false">W_PH(K$2,$A298)</f>
        <v>841.9111472304</v>
      </c>
      <c r="L298" s="0" t="n">
        <f aca="false">W_PH(L$2,$A298)</f>
        <v>841.91154577055</v>
      </c>
      <c r="M298" s="0" t="n">
        <f aca="false">W_PH(M$2,$A298)</f>
        <v>841.911944315456</v>
      </c>
      <c r="N298" s="0" t="n">
        <f aca="false">W_PH(N$2,$A298)</f>
        <v>841.912342865121</v>
      </c>
      <c r="O298" s="0" t="n">
        <f aca="false">W_PH(O$2,$A298)</f>
        <v>841.912741419545</v>
      </c>
      <c r="P298" s="0" t="n">
        <f aca="false">W_PH(P$2,$A298)</f>
        <v>841.916730011511</v>
      </c>
      <c r="Q298" s="0" t="n">
        <f aca="false">W_PH(Q$2,$A298)</f>
        <v>841.920716296155</v>
      </c>
      <c r="R298" s="0" t="n">
        <f aca="false">W_PH(R$2,$A298)</f>
        <v>841.924705846447</v>
      </c>
      <c r="S298" s="0" t="n">
        <f aca="false">W_PH(S$2,$A298)</f>
        <v>841.928693092739</v>
      </c>
      <c r="T298" s="0" t="n">
        <f aca="false">W_PH(T$2,$A298)</f>
        <v>841.932683608618</v>
      </c>
      <c r="U298" s="0" t="n">
        <f aca="false">W_PH(U$2,$A298)</f>
        <v>841.936671823816</v>
      </c>
      <c r="V298" s="0" t="n">
        <f aca="false">W_PH(V$2,$A298)</f>
        <v>841.940660526112</v>
      </c>
      <c r="W298" s="0" t="n">
        <f aca="false">W_PH(W$2,$A298)</f>
        <v>841.944652503901</v>
      </c>
      <c r="X298" s="0" t="n">
        <f aca="false">W_PH(X$2,$A298)</f>
        <v>841.94864218599</v>
      </c>
      <c r="Y298" s="0" t="n">
        <f aca="false">W_PH(Y$2,$A298)</f>
        <v>841.988563607545</v>
      </c>
      <c r="Z298" s="0" t="n">
        <f aca="false">W_PH(Z$2,$A298)</f>
        <v>842.028522144056</v>
      </c>
      <c r="AA298" s="0" t="n">
        <f aca="false">W_PH(AA$2,$A298)</f>
        <v>842.068516792958</v>
      </c>
      <c r="AB298" s="0" t="n">
        <f aca="false">W_PH(AB$2,$A298)</f>
        <v>842.108552129999</v>
      </c>
      <c r="AC298" s="0" t="n">
        <f aca="false">W_PH(AC$2,$A298)</f>
        <v>842.148629941345</v>
      </c>
      <c r="AD298" s="0" t="n">
        <f aca="false">W_PH(AD$2,$A298)</f>
        <v>842.188749215909</v>
      </c>
      <c r="AE298" s="0" t="n">
        <f aca="false">W_PH(AE$2,$A298)</f>
        <v>842.228911732654</v>
      </c>
      <c r="AF298" s="0" t="n">
        <f aca="false">W_PH(AF$2,$A298)</f>
        <v>842.269122068271</v>
      </c>
      <c r="AG298" s="0" t="n">
        <f aca="false">W_PH(AG$2,$A298)</f>
        <v>842.309379203194</v>
      </c>
      <c r="AH298" s="0" t="n">
        <f aca="false">W_PH(AH$2,$A298)</f>
        <v>842.714953828986</v>
      </c>
      <c r="AI298" s="0" t="n">
        <f aca="false">W_PH(AI$2,$A298)</f>
        <v>843.127171848969</v>
      </c>
      <c r="AJ298" s="0" t="n">
        <f aca="false">W_PH(AJ$2,$A298)</f>
        <v>843.547708296605</v>
      </c>
      <c r="AK298" s="0" t="n">
        <f aca="false">W_PH(AK$2,$A298)</f>
        <v>843.978230392541</v>
      </c>
      <c r="AL298" s="0" t="n">
        <f aca="false">W_PH(AL$2,$A298)</f>
        <v>844.420389651475</v>
      </c>
      <c r="AM298" s="0" t="n">
        <f aca="false">W_PH(AM$2,$A298)</f>
        <v>844.875835448751</v>
      </c>
      <c r="AN298" s="0" t="n">
        <f aca="false">W_PH(AN$2,$A298)</f>
        <v>845.346197087936</v>
      </c>
      <c r="AO298" s="0" t="n">
        <f aca="false">W_PH(AO$2,$A298)</f>
        <v>845.833104746304</v>
      </c>
      <c r="AP298" s="0" t="n">
        <f aca="false">W_PH(AP$2,$A298)</f>
        <v>2015</v>
      </c>
      <c r="AQ298" s="0" t="n">
        <f aca="false">W_PH(AQ$2,$A298)</f>
        <v>2015</v>
      </c>
      <c r="AR298" s="0" t="n">
        <f aca="false">W_PH(AR$2,$A298)</f>
        <v>2015</v>
      </c>
      <c r="AS298" s="0" t="n">
        <f aca="false">W_PH(AS$2,$A298)</f>
        <v>2015</v>
      </c>
    </row>
    <row r="299" customFormat="false" ht="13.8" hidden="false" customHeight="false" outlineLevel="0" collapsed="false">
      <c r="A299" s="0" t="n">
        <v>4590</v>
      </c>
      <c r="B299" s="0" t="n">
        <f aca="false">W_PH(B$2,$A299)</f>
        <v>843.173420111424</v>
      </c>
      <c r="C299" s="0" t="n">
        <f aca="false">W_PH(C$2,$A299)</f>
        <v>843.173459267552</v>
      </c>
      <c r="D299" s="0" t="n">
        <f aca="false">W_PH(D$2,$A299)</f>
        <v>843.173498423726</v>
      </c>
      <c r="E299" s="0" t="n">
        <f aca="false">W_PH(E$2,$A299)</f>
        <v>843.173538970206</v>
      </c>
      <c r="F299" s="0" t="n">
        <f aca="false">W_PH(F$2,$A299)</f>
        <v>843.173579516734</v>
      </c>
      <c r="G299" s="0" t="n">
        <f aca="false">W_PH(G$2,$A299)</f>
        <v>843.173982204057</v>
      </c>
      <c r="H299" s="0" t="n">
        <f aca="false">W_PH(H$2,$A299)</f>
        <v>843.174384896051</v>
      </c>
      <c r="I299" s="0" t="n">
        <f aca="false">W_PH(I$2,$A299)</f>
        <v>843.174784812148</v>
      </c>
      <c r="J299" s="0" t="n">
        <f aca="false">W_PH(J$2,$A299)</f>
        <v>843.175187513476</v>
      </c>
      <c r="K299" s="0" t="n">
        <f aca="false">W_PH(K$2,$A299)</f>
        <v>843.175590219481</v>
      </c>
      <c r="L299" s="0" t="n">
        <f aca="false">W_PH(L$2,$A299)</f>
        <v>843.175990149549</v>
      </c>
      <c r="M299" s="0" t="n">
        <f aca="false">W_PH(M$2,$A299)</f>
        <v>843.176392864899</v>
      </c>
      <c r="N299" s="0" t="n">
        <f aca="false">W_PH(N$2,$A299)</f>
        <v>843.176795584931</v>
      </c>
      <c r="O299" s="0" t="n">
        <f aca="false">W_PH(O$2,$A299)</f>
        <v>843.177198309648</v>
      </c>
      <c r="P299" s="0" t="n">
        <f aca="false">W_PH(P$2,$A299)</f>
        <v>843.181217472408</v>
      </c>
      <c r="Q299" s="0" t="n">
        <f aca="false">W_PH(Q$2,$A299)</f>
        <v>843.185237104672</v>
      </c>
      <c r="R299" s="0" t="n">
        <f aca="false">W_PH(R$2,$A299)</f>
        <v>843.18925720824</v>
      </c>
      <c r="S299" s="0" t="n">
        <f aca="false">W_PH(S$2,$A299)</f>
        <v>843.193277784913</v>
      </c>
      <c r="T299" s="0" t="n">
        <f aca="false">W_PH(T$2,$A299)</f>
        <v>843.197298836489</v>
      </c>
      <c r="U299" s="0" t="n">
        <f aca="false">W_PH(U$2,$A299)</f>
        <v>843.201318973982</v>
      </c>
      <c r="V299" s="0" t="n">
        <f aca="false">W_PH(V$2,$A299)</f>
        <v>843.205339589827</v>
      </c>
      <c r="W299" s="0" t="n">
        <f aca="false">W_PH(W$2,$A299)</f>
        <v>843.209362076762</v>
      </c>
      <c r="X299" s="0" t="n">
        <f aca="false">W_PH(X$2,$A299)</f>
        <v>843.213385045799</v>
      </c>
      <c r="Y299" s="0" t="n">
        <f aca="false">W_PH(Y$2,$A299)</f>
        <v>843.253624946299</v>
      </c>
      <c r="Z299" s="0" t="n">
        <f aca="false">W_PH(Z$2,$A299)</f>
        <v>843.293901091888</v>
      </c>
      <c r="AA299" s="0" t="n">
        <f aca="false">W_PH(AA$2,$A299)</f>
        <v>843.334212470494</v>
      </c>
      <c r="AB299" s="0" t="n">
        <f aca="false">W_PH(AB$2,$A299)</f>
        <v>843.374563638904</v>
      </c>
      <c r="AC299" s="0" t="n">
        <f aca="false">W_PH(AC$2,$A299)</f>
        <v>843.414954974271</v>
      </c>
      <c r="AD299" s="0" t="n">
        <f aca="false">W_PH(AD$2,$A299)</f>
        <v>843.45538964058</v>
      </c>
      <c r="AE299" s="0" t="n">
        <f aca="false">W_PH(AE$2,$A299)</f>
        <v>843.495865218286</v>
      </c>
      <c r="AF299" s="0" t="n">
        <f aca="false">W_PH(AF$2,$A299)</f>
        <v>843.536387659976</v>
      </c>
      <c r="AG299" s="0" t="n">
        <f aca="false">W_PH(AG$2,$A299)</f>
        <v>843.576958732551</v>
      </c>
      <c r="AH299" s="0" t="n">
        <f aca="false">W_PH(AH$2,$A299)</f>
        <v>843.985619553007</v>
      </c>
      <c r="AI299" s="0" t="n">
        <f aca="false">W_PH(AI$2,$A299)</f>
        <v>844.400839297516</v>
      </c>
      <c r="AJ299" s="0" t="n">
        <f aca="false">W_PH(AJ$2,$A299)</f>
        <v>844.824281468642</v>
      </c>
      <c r="AK299" s="0" t="n">
        <f aca="false">W_PH(AK$2,$A299)</f>
        <v>845.257600647646</v>
      </c>
      <c r="AL299" s="0" t="n">
        <f aca="false">W_PH(AL$2,$A299)</f>
        <v>845.702438869402</v>
      </c>
      <c r="AM299" s="0" t="n">
        <f aca="false">W_PH(AM$2,$A299)</f>
        <v>846.160429127556</v>
      </c>
      <c r="AN299" s="0" t="n">
        <f aca="false">W_PH(AN$2,$A299)</f>
        <v>846.633196117617</v>
      </c>
      <c r="AO299" s="0" t="n">
        <f aca="false">W_PH(AO$2,$A299)</f>
        <v>847.122349752022</v>
      </c>
      <c r="AP299" s="0" t="n">
        <f aca="false">W_PH(AP$2,$A299)</f>
        <v>2015</v>
      </c>
      <c r="AQ299" s="0" t="n">
        <f aca="false">W_PH(AQ$2,$A299)</f>
        <v>2015</v>
      </c>
      <c r="AR299" s="0" t="n">
        <f aca="false">W_PH(AR$2,$A299)</f>
        <v>2015</v>
      </c>
      <c r="AS299" s="0" t="n">
        <f aca="false">W_PH(AS$2,$A299)</f>
        <v>2015</v>
      </c>
    </row>
    <row r="300" customFormat="false" ht="13.8" hidden="false" customHeight="false" outlineLevel="0" collapsed="false">
      <c r="A300" s="0" t="n">
        <v>4600</v>
      </c>
      <c r="B300" s="0" t="n">
        <f aca="false">W_PH(B$2,$A300)</f>
        <v>844.434367276461</v>
      </c>
      <c r="C300" s="0" t="n">
        <f aca="false">W_PH(C$2,$A300)</f>
        <v>844.434407119804</v>
      </c>
      <c r="D300" s="0" t="n">
        <f aca="false">W_PH(D$2,$A300)</f>
        <v>844.434446963193</v>
      </c>
      <c r="E300" s="0" t="n">
        <f aca="false">W_PH(E$2,$A300)</f>
        <v>844.434488194566</v>
      </c>
      <c r="F300" s="0" t="n">
        <f aca="false">W_PH(F$2,$A300)</f>
        <v>844.434529425986</v>
      </c>
      <c r="G300" s="0" t="n">
        <f aca="false">W_PH(G$2,$A300)</f>
        <v>844.434933415057</v>
      </c>
      <c r="H300" s="0" t="n">
        <f aca="false">W_PH(H$2,$A300)</f>
        <v>844.435337408695</v>
      </c>
      <c r="I300" s="0" t="n">
        <f aca="false">W_PH(I$2,$A300)</f>
        <v>844.435744182827</v>
      </c>
      <c r="J300" s="0" t="n">
        <f aca="false">W_PH(J$2,$A300)</f>
        <v>844.43614818562</v>
      </c>
      <c r="K300" s="0" t="n">
        <f aca="false">W_PH(K$2,$A300)</f>
        <v>844.436554968939</v>
      </c>
      <c r="L300" s="0" t="n">
        <f aca="false">W_PH(L$2,$A300)</f>
        <v>844.436958980893</v>
      </c>
      <c r="M300" s="0" t="n">
        <f aca="false">W_PH(M$2,$A300)</f>
        <v>844.437362997423</v>
      </c>
      <c r="N300" s="0" t="n">
        <f aca="false">W_PH(N$2,$A300)</f>
        <v>844.437769794531</v>
      </c>
      <c r="O300" s="0" t="n">
        <f aca="false">W_PH(O$2,$A300)</f>
        <v>844.438173820233</v>
      </c>
      <c r="P300" s="0" t="n">
        <f aca="false">W_PH(P$2,$A300)</f>
        <v>844.442225434181</v>
      </c>
      <c r="Q300" s="0" t="n">
        <f aca="false">W_PH(Q$2,$A300)</f>
        <v>844.446277509242</v>
      </c>
      <c r="R300" s="0" t="n">
        <f aca="false">W_PH(R$2,$A300)</f>
        <v>844.450327270737</v>
      </c>
      <c r="S300" s="0" t="n">
        <f aca="false">W_PH(S$2,$A300)</f>
        <v>844.454380273233</v>
      </c>
      <c r="T300" s="0" t="n">
        <f aca="false">W_PH(T$2,$A300)</f>
        <v>844.458430965435</v>
      </c>
      <c r="U300" s="0" t="n">
        <f aca="false">W_PH(U$2,$A300)</f>
        <v>844.462484902508</v>
      </c>
      <c r="V300" s="0" t="n">
        <f aca="false">W_PH(V$2,$A300)</f>
        <v>844.466536532558</v>
      </c>
      <c r="W300" s="0" t="n">
        <f aca="false">W_PH(W$2,$A300)</f>
        <v>844.470591411349</v>
      </c>
      <c r="X300" s="0" t="n">
        <f aca="false">W_PH(X$2,$A300)</f>
        <v>844.474643986387</v>
      </c>
      <c r="Y300" s="0" t="n">
        <f aca="false">W_PH(Y$2,$A300)</f>
        <v>844.51519755094</v>
      </c>
      <c r="Z300" s="0" t="n">
        <f aca="false">W_PH(Z$2,$A300)</f>
        <v>844.555786508881</v>
      </c>
      <c r="AA300" s="0" t="n">
        <f aca="false">W_PH(AA$2,$A300)</f>
        <v>844.596411229702</v>
      </c>
      <c r="AB300" s="0" t="n">
        <f aca="false">W_PH(AB$2,$A300)</f>
        <v>844.637072078654</v>
      </c>
      <c r="AC300" s="0" t="n">
        <f aca="false">W_PH(AC$2,$A300)</f>
        <v>844.677776378891</v>
      </c>
      <c r="AD300" s="0" t="n">
        <f aca="false">W_PH(AD$2,$A300)</f>
        <v>844.71852031889</v>
      </c>
      <c r="AE300" s="0" t="n">
        <f aca="false">W_PH(AE$2,$A300)</f>
        <v>844.759305649624</v>
      </c>
      <c r="AF300" s="0" t="n">
        <f aca="false">W_PH(AF$2,$A300)</f>
        <v>844.80013830484</v>
      </c>
      <c r="AG300" s="0" t="n">
        <f aca="false">W_PH(AG$2,$A300)</f>
        <v>844.841015853528</v>
      </c>
      <c r="AH300" s="0" t="n">
        <f aca="false">W_PH(AH$2,$A300)</f>
        <v>845.252720040755</v>
      </c>
      <c r="AI300" s="0" t="n">
        <f aca="false">W_PH(AI$2,$A300)</f>
        <v>845.670899314039</v>
      </c>
      <c r="AJ300" s="0" t="n">
        <f aca="false">W_PH(AJ$2,$A300)</f>
        <v>846.097208600236</v>
      </c>
      <c r="AK300" s="0" t="n">
        <f aca="false">W_PH(AK$2,$A300)</f>
        <v>846.533287153176</v>
      </c>
      <c r="AL300" s="0" t="n">
        <f aca="false">W_PH(AL$2,$A300)</f>
        <v>846.980767627333</v>
      </c>
      <c r="AM300" s="0" t="n">
        <f aca="false">W_PH(AM$2,$A300)</f>
        <v>847.441268195004</v>
      </c>
      <c r="AN300" s="0" t="n">
        <f aca="false">W_PH(AN$2,$A300)</f>
        <v>847.916406142771</v>
      </c>
      <c r="AO300" s="0" t="n">
        <f aca="false">W_PH(AO$2,$A300)</f>
        <v>848.407779939021</v>
      </c>
      <c r="AP300" s="0" t="n">
        <f aca="false">W_PH(AP$2,$A300)</f>
        <v>2015</v>
      </c>
      <c r="AQ300" s="0" t="n">
        <f aca="false">W_PH(AQ$2,$A300)</f>
        <v>2015</v>
      </c>
      <c r="AR300" s="0" t="n">
        <f aca="false">W_PH(AR$2,$A300)</f>
        <v>2015</v>
      </c>
      <c r="AS300" s="0" t="n">
        <f aca="false">W_PH(AS$2,$A300)</f>
        <v>2015</v>
      </c>
    </row>
    <row r="301" customFormat="false" ht="13.8" hidden="false" customHeight="false" outlineLevel="0" collapsed="false">
      <c r="A301" s="0" t="n">
        <v>4610</v>
      </c>
      <c r="B301" s="0" t="n">
        <f aca="false">W_PH(B$2,$A301)</f>
        <v>845.691864439587</v>
      </c>
      <c r="C301" s="0" t="n">
        <f aca="false">W_PH(C$2,$A301)</f>
        <v>845.691904960046</v>
      </c>
      <c r="D301" s="0" t="n">
        <f aca="false">W_PH(D$2,$A301)</f>
        <v>845.69194548055</v>
      </c>
      <c r="E301" s="0" t="n">
        <f aca="false">W_PH(E$2,$A301)</f>
        <v>845.691987386735</v>
      </c>
      <c r="F301" s="0" t="n">
        <f aca="false">W_PH(F$2,$A301)</f>
        <v>845.692026521691</v>
      </c>
      <c r="G301" s="0" t="n">
        <f aca="false">W_PH(G$2,$A301)</f>
        <v>845.692434501364</v>
      </c>
      <c r="H301" s="0" t="n">
        <f aca="false">W_PH(H$2,$A301)</f>
        <v>845.692843871182</v>
      </c>
      <c r="I301" s="0" t="n">
        <f aca="false">W_PH(I$2,$A301)</f>
        <v>845.693251859851</v>
      </c>
      <c r="J301" s="0" t="n">
        <f aca="false">W_PH(J$2,$A301)</f>
        <v>845.693661238685</v>
      </c>
      <c r="K301" s="0" t="n">
        <f aca="false">W_PH(K$2,$A301)</f>
        <v>845.694069236358</v>
      </c>
      <c r="L301" s="0" t="n">
        <f aca="false">W_PH(L$2,$A301)</f>
        <v>845.694477238531</v>
      </c>
      <c r="M301" s="0" t="n">
        <f aca="false">W_PH(M$2,$A301)</f>
        <v>845.694885245208</v>
      </c>
      <c r="N301" s="0" t="n">
        <f aca="false">W_PH(N$2,$A301)</f>
        <v>845.695293256388</v>
      </c>
      <c r="O301" s="0" t="n">
        <f aca="false">W_PH(O$2,$A301)</f>
        <v>845.695701272075</v>
      </c>
      <c r="P301" s="0" t="n">
        <f aca="false">W_PH(P$2,$A301)</f>
        <v>845.699781677166</v>
      </c>
      <c r="Q301" s="0" t="n">
        <f aca="false">W_PH(Q$2,$A301)</f>
        <v>845.703865306519</v>
      </c>
      <c r="R301" s="0" t="n">
        <f aca="false">W_PH(R$2,$A301)</f>
        <v>845.707946618645</v>
      </c>
      <c r="S301" s="0" t="n">
        <f aca="false">W_PH(S$2,$A301)</f>
        <v>845.712031158872</v>
      </c>
      <c r="T301" s="0" t="n">
        <f aca="false">W_PH(T$2,$A301)</f>
        <v>845.716113385118</v>
      </c>
      <c r="U301" s="0" t="n">
        <f aca="false">W_PH(U$2,$A301)</f>
        <v>845.720196071008</v>
      </c>
      <c r="V301" s="0" t="n">
        <f aca="false">W_PH(V$2,$A301)</f>
        <v>845.724281990756</v>
      </c>
      <c r="W301" s="0" t="n">
        <f aca="false">W_PH(W$2,$A301)</f>
        <v>845.728365601393</v>
      </c>
      <c r="X301" s="0" t="n">
        <f aca="false">W_PH(X$2,$A301)</f>
        <v>845.732449676984</v>
      </c>
      <c r="Y301" s="0" t="n">
        <f aca="false">W_PH(Y$2,$A301)</f>
        <v>845.773310846488</v>
      </c>
      <c r="Z301" s="0" t="n">
        <f aca="false">W_PH(Z$2,$A301)</f>
        <v>845.814209349715</v>
      </c>
      <c r="AA301" s="0" t="n">
        <f aca="false">W_PH(AA$2,$A301)</f>
        <v>845.855141383249</v>
      </c>
      <c r="AB301" s="0" t="n">
        <f aca="false">W_PH(AB$2,$A301)</f>
        <v>845.896111466605</v>
      </c>
      <c r="AC301" s="0" t="n">
        <f aca="false">W_PH(AC$2,$A301)</f>
        <v>845.937119953792</v>
      </c>
      <c r="AD301" s="0" t="n">
        <f aca="false">W_PH(AD$2,$A301)</f>
        <v>845.978169976269</v>
      </c>
      <c r="AE301" s="0" t="n">
        <f aca="false">W_PH(AE$2,$A301)</f>
        <v>846.019261884153</v>
      </c>
      <c r="AF301" s="0" t="n">
        <f aca="false">W_PH(AF$2,$A301)</f>
        <v>846.060398807969</v>
      </c>
      <c r="AG301" s="0" t="n">
        <f aca="false">W_PH(AG$2,$A301)</f>
        <v>846.101579700942</v>
      </c>
      <c r="AH301" s="0" t="n">
        <f aca="false">W_PH(AH$2,$A301)</f>
        <v>846.516285776352</v>
      </c>
      <c r="AI301" s="0" t="n">
        <f aca="false">W_PH(AI$2,$A301)</f>
        <v>846.937385106771</v>
      </c>
      <c r="AJ301" s="0" t="n">
        <f aca="false">W_PH(AJ$2,$A301)</f>
        <v>847.366519928529</v>
      </c>
      <c r="AK301" s="0" t="n">
        <f aca="false">W_PH(AK$2,$A301)</f>
        <v>847.805319939266</v>
      </c>
      <c r="AL301" s="0" t="n">
        <f aca="false">W_PH(AL$2,$A301)</f>
        <v>848.25540569649</v>
      </c>
      <c r="AM301" s="0" t="n">
        <f aca="false">W_PH(AM$2,$A301)</f>
        <v>848.718386408222</v>
      </c>
      <c r="AN301" s="0" t="n">
        <f aca="false">W_PH(AN$2,$A301)</f>
        <v>849.195862017454</v>
      </c>
      <c r="AO301" s="0" t="n">
        <f aca="false">W_PH(AO$2,$A301)</f>
        <v>849.689425375425</v>
      </c>
      <c r="AP301" s="0" t="n">
        <f aca="false">W_PH(AP$2,$A301)</f>
        <v>2015</v>
      </c>
      <c r="AQ301" s="0" t="n">
        <f aca="false">W_PH(AQ$2,$A301)</f>
        <v>2015</v>
      </c>
      <c r="AR301" s="0" t="n">
        <f aca="false">W_PH(AR$2,$A301)</f>
        <v>2015</v>
      </c>
      <c r="AS301" s="0" t="n">
        <f aca="false">W_PH(AS$2,$A301)</f>
        <v>2015</v>
      </c>
    </row>
    <row r="302" customFormat="false" ht="13.8" hidden="false" customHeight="false" outlineLevel="0" collapsed="false">
      <c r="A302" s="0" t="n">
        <v>4620</v>
      </c>
      <c r="B302" s="0" t="n">
        <f aca="false">W_PH(B$2,$A302)</f>
        <v>846.945941764073</v>
      </c>
      <c r="C302" s="0" t="n">
        <f aca="false">W_PH(C$2,$A302)</f>
        <v>846.945981568373</v>
      </c>
      <c r="D302" s="0" t="n">
        <f aca="false">W_PH(D$2,$A302)</f>
        <v>846.946024139419</v>
      </c>
      <c r="E302" s="0" t="n">
        <f aca="false">W_PH(E$2,$A302)</f>
        <v>846.946063943805</v>
      </c>
      <c r="F302" s="0" t="n">
        <f aca="false">W_PH(F$2,$A302)</f>
        <v>846.946105131588</v>
      </c>
      <c r="G302" s="0" t="n">
        <f aca="false">W_PH(G$2,$A302)</f>
        <v>846.946515628484</v>
      </c>
      <c r="H302" s="0" t="n">
        <f aca="false">W_PH(H$2,$A302)</f>
        <v>846.946927513154</v>
      </c>
      <c r="I302" s="0" t="n">
        <f aca="false">W_PH(I$2,$A302)</f>
        <v>846.947339402248</v>
      </c>
      <c r="J302" s="0" t="n">
        <f aca="false">W_PH(J$2,$A302)</f>
        <v>846.947749912385</v>
      </c>
      <c r="K302" s="0" t="n">
        <f aca="false">W_PH(K$2,$A302)</f>
        <v>846.948160426933</v>
      </c>
      <c r="L302" s="0" t="n">
        <f aca="false">W_PH(L$2,$A302)</f>
        <v>846.948572329292</v>
      </c>
      <c r="M302" s="0" t="n">
        <f aca="false">W_PH(M$2,$A302)</f>
        <v>846.948984236082</v>
      </c>
      <c r="N302" s="0" t="n">
        <f aca="false">W_PH(N$2,$A302)</f>
        <v>846.949394763892</v>
      </c>
      <c r="O302" s="0" t="n">
        <f aca="false">W_PH(O$2,$A302)</f>
        <v>846.949805296121</v>
      </c>
      <c r="P302" s="0" t="n">
        <f aca="false">W_PH(P$2,$A302)</f>
        <v>846.953919162801</v>
      </c>
      <c r="Q302" s="0" t="n">
        <f aca="false">W_PH(Q$2,$A302)</f>
        <v>846.958030707072</v>
      </c>
      <c r="R302" s="0" t="n">
        <f aca="false">W_PH(R$2,$A302)</f>
        <v>846.962145464807</v>
      </c>
      <c r="S302" s="0" t="n">
        <f aca="false">W_PH(S$2,$A302)</f>
        <v>846.966257903356</v>
      </c>
      <c r="T302" s="0" t="n">
        <f aca="false">W_PH(T$2,$A302)</f>
        <v>846.970370791606</v>
      </c>
      <c r="U302" s="0" t="n">
        <f aca="false">W_PH(U$2,$A302)</f>
        <v>846.974485515172</v>
      </c>
      <c r="V302" s="0" t="n">
        <f aca="false">W_PH(V$2,$A302)</f>
        <v>846.9786006921</v>
      </c>
      <c r="W302" s="0" t="n">
        <f aca="false">W_PH(W$2,$A302)</f>
        <v>846.982714940142</v>
      </c>
      <c r="X302" s="0" t="n">
        <f aca="false">W_PH(X$2,$A302)</f>
        <v>846.986829644913</v>
      </c>
      <c r="Y302" s="0" t="n">
        <f aca="false">W_PH(Y$2,$A302)</f>
        <v>847.027996659848</v>
      </c>
      <c r="Z302" s="0" t="n">
        <f aca="false">W_PH(Z$2,$A302)</f>
        <v>847.06919741786</v>
      </c>
      <c r="AA302" s="0" t="n">
        <f aca="false">W_PH(AA$2,$A302)</f>
        <v>847.110433651715</v>
      </c>
      <c r="AB302" s="0" t="n">
        <f aca="false">W_PH(AB$2,$A302)</f>
        <v>847.151707092991</v>
      </c>
      <c r="AC302" s="0" t="n">
        <f aca="false">W_PH(AC$2,$A302)</f>
        <v>847.193016696625</v>
      </c>
      <c r="AD302" s="0" t="n">
        <f aca="false">W_PH(AD$2,$A302)</f>
        <v>847.234369741281</v>
      </c>
      <c r="AE302" s="0" t="n">
        <f aca="false">W_PH(AE$2,$A302)</f>
        <v>847.275762402627</v>
      </c>
      <c r="AF302" s="0" t="n">
        <f aca="false">W_PH(AF$2,$A302)</f>
        <v>847.317199182977</v>
      </c>
      <c r="AG302" s="0" t="n">
        <f aca="false">W_PH(AG$2,$A302)</f>
        <v>847.358681808019</v>
      </c>
      <c r="AH302" s="0" t="n">
        <f aca="false">W_PH(AH$2,$A302)</f>
        <v>847.776344035293</v>
      </c>
      <c r="AI302" s="0" t="n">
        <f aca="false">W_PH(AI$2,$A302)</f>
        <v>848.200322406253</v>
      </c>
      <c r="AJ302" s="0" t="n">
        <f aca="false">W_PH(AJ$2,$A302)</f>
        <v>848.632246653209</v>
      </c>
      <c r="AK302" s="0" t="n">
        <f aca="false">W_PH(AK$2,$A302)</f>
        <v>849.073732827623</v>
      </c>
      <c r="AL302" s="0" t="n">
        <f aca="false">W_PH(AL$2,$A302)</f>
        <v>849.526389497381</v>
      </c>
      <c r="AM302" s="0" t="n">
        <f aca="false">W_PH(AM$2,$A302)</f>
        <v>849.991814130904</v>
      </c>
      <c r="AN302" s="0" t="n">
        <f aca="false">W_PH(AN$2,$A302)</f>
        <v>850.471598042799</v>
      </c>
      <c r="AO302" s="0" t="n">
        <f aca="false">W_PH(AO$2,$A302)</f>
        <v>850.967321385074</v>
      </c>
      <c r="AP302" s="0" t="n">
        <f aca="false">W_PH(AP$2,$A302)</f>
        <v>2015</v>
      </c>
      <c r="AQ302" s="0" t="n">
        <f aca="false">W_PH(AQ$2,$A302)</f>
        <v>2015</v>
      </c>
      <c r="AR302" s="0" t="n">
        <f aca="false">W_PH(AR$2,$A302)</f>
        <v>2015</v>
      </c>
      <c r="AS302" s="0" t="n">
        <f aca="false">W_PH(AS$2,$A302)</f>
        <v>2015</v>
      </c>
    </row>
    <row r="303" customFormat="false" ht="13.8" hidden="false" customHeight="false" outlineLevel="0" collapsed="false">
      <c r="A303" s="0" t="n">
        <v>4630</v>
      </c>
      <c r="B303" s="0" t="n">
        <f aca="false">W_PH(B$2,$A303)</f>
        <v>848.196623525354</v>
      </c>
      <c r="C303" s="0" t="n">
        <f aca="false">W_PH(C$2,$A303)</f>
        <v>848.196666751528</v>
      </c>
      <c r="D303" s="0" t="n">
        <f aca="false">W_PH(D$2,$A303)</f>
        <v>848.196707215574</v>
      </c>
      <c r="E303" s="0" t="n">
        <f aca="false">W_PH(E$2,$A303)</f>
        <v>848.196747679663</v>
      </c>
      <c r="F303" s="0" t="n">
        <f aca="false">W_PH(F$2,$A303)</f>
        <v>848.196790905969</v>
      </c>
      <c r="G303" s="0" t="n">
        <f aca="false">W_PH(G$2,$A303)</f>
        <v>848.197203836191</v>
      </c>
      <c r="H303" s="0" t="n">
        <f aca="false">W_PH(H$2,$A303)</f>
        <v>848.197618151836</v>
      </c>
      <c r="I303" s="0" t="n">
        <f aca="false">W_PH(I$2,$A303)</f>
        <v>848.198032471819</v>
      </c>
      <c r="J303" s="0" t="n">
        <f aca="false">W_PH(J$2,$A303)</f>
        <v>848.198445415024</v>
      </c>
      <c r="K303" s="0" t="n">
        <f aca="false">W_PH(K$2,$A303)</f>
        <v>848.198861124804</v>
      </c>
      <c r="L303" s="0" t="n">
        <f aca="false">W_PH(L$2,$A303)</f>
        <v>848.199274076679</v>
      </c>
      <c r="M303" s="0" t="n">
        <f aca="false">W_PH(M$2,$A303)</f>
        <v>848.19968979516</v>
      </c>
      <c r="N303" s="0" t="n">
        <f aca="false">W_PH(N$2,$A303)</f>
        <v>848.200102755711</v>
      </c>
      <c r="O303" s="0" t="n">
        <f aca="false">W_PH(O$2,$A303)</f>
        <v>848.200518482901</v>
      </c>
      <c r="P303" s="0" t="n">
        <f aca="false">W_PH(P$2,$A303)</f>
        <v>848.20465942042</v>
      </c>
      <c r="Q303" s="0" t="n">
        <f aca="false">W_PH(Q$2,$A303)</f>
        <v>848.20880355696</v>
      </c>
      <c r="R303" s="0" t="n">
        <f aca="false">W_PH(R$2,$A303)</f>
        <v>848.212945369222</v>
      </c>
      <c r="S303" s="0" t="n">
        <f aca="false">W_PH(S$2,$A303)</f>
        <v>848.217090384281</v>
      </c>
      <c r="T303" s="0" t="n">
        <f aca="false">W_PH(T$2,$A303)</f>
        <v>848.221233078258</v>
      </c>
      <c r="U303" s="0" t="n">
        <f aca="false">W_PH(U$2,$A303)</f>
        <v>848.225377597223</v>
      </c>
      <c r="V303" s="0" t="n">
        <f aca="false">W_PH(V$2,$A303)</f>
        <v>848.229522561476</v>
      </c>
      <c r="W303" s="0" t="n">
        <f aca="false">W_PH(W$2,$A303)</f>
        <v>848.233666591029</v>
      </c>
      <c r="X303" s="0" t="n">
        <f aca="false">W_PH(X$2,$A303)</f>
        <v>848.237811069212</v>
      </c>
      <c r="Y303" s="0" t="n">
        <f aca="false">W_PH(Y$2,$A303)</f>
        <v>848.279278143939</v>
      </c>
      <c r="Z303" s="0" t="n">
        <f aca="false">W_PH(Z$2,$A303)</f>
        <v>848.320780928934</v>
      </c>
      <c r="AA303" s="0" t="n">
        <f aca="false">W_PH(AA$2,$A303)</f>
        <v>848.362315611848</v>
      </c>
      <c r="AB303" s="0" t="n">
        <f aca="false">W_PH(AB$2,$A303)</f>
        <v>848.403886675763</v>
      </c>
      <c r="AC303" s="0" t="n">
        <f aca="false">W_PH(AC$2,$A303)</f>
        <v>848.445495837557</v>
      </c>
      <c r="AD303" s="0" t="n">
        <f aca="false">W_PH(AD$2,$A303)</f>
        <v>848.487144812952</v>
      </c>
      <c r="AE303" s="0" t="n">
        <f aca="false">W_PH(AE$2,$A303)</f>
        <v>848.528835316522</v>
      </c>
      <c r="AF303" s="0" t="n">
        <f aca="false">W_PH(AF$2,$A303)</f>
        <v>848.570569061693</v>
      </c>
      <c r="AG303" s="0" t="n">
        <f aca="false">W_PH(AG$2,$A303)</f>
        <v>848.612344984189</v>
      </c>
      <c r="AH303" s="0" t="n">
        <f aca="false">W_PH(AH$2,$A303)</f>
        <v>849.032927289849</v>
      </c>
      <c r="AI303" s="0" t="n">
        <f aca="false">W_PH(AI$2,$A303)</f>
        <v>849.459744965574</v>
      </c>
      <c r="AJ303" s="0" t="n">
        <f aca="false">W_PH(AJ$2,$A303)</f>
        <v>849.894419523327</v>
      </c>
      <c r="AK303" s="0" t="n">
        <f aca="false">W_PH(AK$2,$A303)</f>
        <v>850.338554902598</v>
      </c>
      <c r="AL303" s="0" t="n">
        <f aca="false">W_PH(AL$2,$A303)</f>
        <v>850.793747809028</v>
      </c>
      <c r="AM303" s="0" t="n">
        <f aca="false">W_PH(AM$2,$A303)</f>
        <v>851.261586952063</v>
      </c>
      <c r="AN303" s="0" t="n">
        <f aca="false">W_PH(AN$2,$A303)</f>
        <v>851.743647979216</v>
      </c>
      <c r="AO303" s="0" t="n">
        <f aca="false">W_PH(AO$2,$A303)</f>
        <v>852.241502728016</v>
      </c>
      <c r="AP303" s="0" t="n">
        <f aca="false">W_PH(AP$2,$A303)</f>
        <v>2015</v>
      </c>
      <c r="AQ303" s="0" t="n">
        <f aca="false">W_PH(AQ$2,$A303)</f>
        <v>2015</v>
      </c>
      <c r="AR303" s="0" t="n">
        <f aca="false">W_PH(AR$2,$A303)</f>
        <v>2015</v>
      </c>
      <c r="AS303" s="0" t="n">
        <f aca="false">W_PH(AS$2,$A303)</f>
        <v>2015</v>
      </c>
    </row>
    <row r="304" customFormat="false" ht="13.8" hidden="false" customHeight="false" outlineLevel="0" collapsed="false">
      <c r="A304" s="0" t="n">
        <v>4640</v>
      </c>
      <c r="B304" s="0" t="n">
        <f aca="false">W_PH(B$2,$A304)</f>
        <v>849.443941951385</v>
      </c>
      <c r="C304" s="0" t="n">
        <f aca="false">W_PH(C$2,$A304)</f>
        <v>849.443983065488</v>
      </c>
      <c r="D304" s="0" t="n">
        <f aca="false">W_PH(D$2,$A304)</f>
        <v>849.444025558472</v>
      </c>
      <c r="E304" s="0" t="n">
        <f aca="false">W_PH(E$2,$A304)</f>
        <v>849.4440680515</v>
      </c>
      <c r="F304" s="0" t="n">
        <f aca="false">W_PH(F$2,$A304)</f>
        <v>849.44410916573</v>
      </c>
      <c r="G304" s="0" t="n">
        <f aca="false">W_PH(G$2,$A304)</f>
        <v>849.444525825728</v>
      </c>
      <c r="H304" s="0" t="n">
        <f aca="false">W_PH(H$2,$A304)</f>
        <v>849.444942489978</v>
      </c>
      <c r="I304" s="0" t="n">
        <f aca="false">W_PH(I$2,$A304)</f>
        <v>849.445360537344</v>
      </c>
      <c r="J304" s="0" t="n">
        <f aca="false">W_PH(J$2,$A304)</f>
        <v>849.445778588979</v>
      </c>
      <c r="K304" s="0" t="n">
        <f aca="false">W_PH(K$2,$A304)</f>
        <v>849.446195266008</v>
      </c>
      <c r="L304" s="0" t="n">
        <f aca="false">W_PH(L$2,$A304)</f>
        <v>849.446611947296</v>
      </c>
      <c r="M304" s="0" t="n">
        <f aca="false">W_PH(M$2,$A304)</f>
        <v>849.447028632844</v>
      </c>
      <c r="N304" s="0" t="n">
        <f aca="false">W_PH(N$2,$A304)</f>
        <v>849.447446701552</v>
      </c>
      <c r="O304" s="0" t="n">
        <f aca="false">W_PH(O$2,$A304)</f>
        <v>849.447864774537</v>
      </c>
      <c r="P304" s="0" t="n">
        <f aca="false">W_PH(P$2,$A304)</f>
        <v>849.452036087222</v>
      </c>
      <c r="Q304" s="0" t="n">
        <f aca="false">W_PH(Q$2,$A304)</f>
        <v>849.4562078286</v>
      </c>
      <c r="R304" s="0" t="n">
        <f aca="false">W_PH(R$2,$A304)</f>
        <v>849.46038137952</v>
      </c>
      <c r="S304" s="0" t="n">
        <f aca="false">W_PH(S$2,$A304)</f>
        <v>849.464555362735</v>
      </c>
      <c r="T304" s="0" t="n">
        <f aca="false">W_PH(T$2,$A304)</f>
        <v>849.468727021451</v>
      </c>
      <c r="U304" s="0" t="n">
        <f aca="false">W_PH(U$2,$A304)</f>
        <v>849.472901874301</v>
      </c>
      <c r="V304" s="0" t="n">
        <f aca="false">W_PH(V$2,$A304)</f>
        <v>849.47707578523</v>
      </c>
      <c r="W304" s="0" t="n">
        <f aca="false">W_PH(W$2,$A304)</f>
        <v>849.481250135228</v>
      </c>
      <c r="X304" s="0" t="n">
        <f aca="false">W_PH(X$2,$A304)</f>
        <v>849.485424926025</v>
      </c>
      <c r="Y304" s="0" t="n">
        <f aca="false">W_PH(Y$2,$A304)</f>
        <v>849.52718779641</v>
      </c>
      <c r="Z304" s="0" t="n">
        <f aca="false">W_PH(Z$2,$A304)</f>
        <v>849.568984209027</v>
      </c>
      <c r="AA304" s="0" t="n">
        <f aca="false">W_PH(AA$2,$A304)</f>
        <v>849.610814490114</v>
      </c>
      <c r="AB304" s="0" t="n">
        <f aca="false">W_PH(AB$2,$A304)</f>
        <v>849.652680344324</v>
      </c>
      <c r="AC304" s="0" t="n">
        <f aca="false">W_PH(AC$2,$A304)</f>
        <v>849.69458347518</v>
      </c>
      <c r="AD304" s="0" t="n">
        <f aca="false">W_PH(AD$2,$A304)</f>
        <v>849.736525585082</v>
      </c>
      <c r="AE304" s="0" t="n">
        <f aca="false">W_PH(AE$2,$A304)</f>
        <v>849.77850975983</v>
      </c>
      <c r="AF304" s="0" t="n">
        <f aca="false">W_PH(AF$2,$A304)</f>
        <v>849.820534931241</v>
      </c>
      <c r="AG304" s="0" t="n">
        <f aca="false">W_PH(AG$2,$A304)</f>
        <v>849.862602796228</v>
      </c>
      <c r="AH304" s="0" t="n">
        <f aca="false">W_PH(AH$2,$A304)</f>
        <v>850.286062024312</v>
      </c>
      <c r="AI304" s="0" t="n">
        <f aca="false">W_PH(AI$2,$A304)</f>
        <v>850.715683293116</v>
      </c>
      <c r="AJ304" s="0" t="n">
        <f aca="false">W_PH(AJ$2,$A304)</f>
        <v>851.153070253574</v>
      </c>
      <c r="AK304" s="0" t="n">
        <f aca="false">W_PH(AK$2,$A304)</f>
        <v>851.599817630189</v>
      </c>
      <c r="AL304" s="0" t="n">
        <f aca="false">W_PH(AL$2,$A304)</f>
        <v>852.057511791996</v>
      </c>
      <c r="AM304" s="0" t="n">
        <f aca="false">W_PH(AM$2,$A304)</f>
        <v>852.52773137082</v>
      </c>
      <c r="AN304" s="0" t="n">
        <f aca="false">W_PH(AN$2,$A304)</f>
        <v>853.012039325177</v>
      </c>
      <c r="AO304" s="0" t="n">
        <f aca="false">W_PH(AO$2,$A304)</f>
        <v>853.511997854978</v>
      </c>
      <c r="AP304" s="0" t="n">
        <f aca="false">W_PH(AP$2,$A304)</f>
        <v>2015</v>
      </c>
      <c r="AQ304" s="0" t="n">
        <f aca="false">W_PH(AQ$2,$A304)</f>
        <v>2015</v>
      </c>
      <c r="AR304" s="0" t="n">
        <f aca="false">W_PH(AR$2,$A304)</f>
        <v>2015</v>
      </c>
      <c r="AS304" s="0" t="n">
        <f aca="false">W_PH(AS$2,$A304)</f>
        <v>2015</v>
      </c>
    </row>
    <row r="305" customFormat="false" ht="13.8" hidden="false" customHeight="false" outlineLevel="0" collapsed="false">
      <c r="A305" s="0" t="n">
        <v>4650</v>
      </c>
      <c r="B305" s="0" t="n">
        <f aca="false">W_PH(B$2,$A305)</f>
        <v>850.687923395826</v>
      </c>
      <c r="C305" s="0" t="n">
        <f aca="false">W_PH(C$2,$A305)</f>
        <v>850.687965150591</v>
      </c>
      <c r="D305" s="0" t="n">
        <f aca="false">W_PH(D$2,$A305)</f>
        <v>850.688006905398</v>
      </c>
      <c r="E305" s="0" t="n">
        <f aca="false">W_PH(E$2,$A305)</f>
        <v>850.688048660246</v>
      </c>
      <c r="F305" s="0" t="n">
        <f aca="false">W_PH(F$2,$A305)</f>
        <v>850.688090415135</v>
      </c>
      <c r="G305" s="0" t="n">
        <f aca="false">W_PH(G$2,$A305)</f>
        <v>850.688510719554</v>
      </c>
      <c r="H305" s="0" t="n">
        <f aca="false">W_PH(H$2,$A305)</f>
        <v>850.688931028155</v>
      </c>
      <c r="I305" s="0" t="n">
        <f aca="false">W_PH(I$2,$A305)</f>
        <v>850.689351340941</v>
      </c>
      <c r="J305" s="0" t="n">
        <f aca="false">W_PH(J$2,$A305)</f>
        <v>850.689771657913</v>
      </c>
      <c r="K305" s="0" t="n">
        <f aca="false">W_PH(K$2,$A305)</f>
        <v>850.690191979072</v>
      </c>
      <c r="L305" s="0" t="n">
        <f aca="false">W_PH(L$2,$A305)</f>
        <v>850.690612304422</v>
      </c>
      <c r="M305" s="0" t="n">
        <f aca="false">W_PH(M$2,$A305)</f>
        <v>850.6910312573</v>
      </c>
      <c r="N305" s="0" t="n">
        <f aca="false">W_PH(N$2,$A305)</f>
        <v>850.691451591027</v>
      </c>
      <c r="O305" s="0" t="n">
        <f aca="false">W_PH(O$2,$A305)</f>
        <v>850.691870552272</v>
      </c>
      <c r="P305" s="0" t="n">
        <f aca="false">W_PH(P$2,$A305)</f>
        <v>850.6960741625</v>
      </c>
      <c r="Q305" s="0" t="n">
        <f aca="false">W_PH(Q$2,$A305)</f>
        <v>850.700275440454</v>
      </c>
      <c r="R305" s="0" t="n">
        <f aca="false">W_PH(R$2,$A305)</f>
        <v>850.704477141202</v>
      </c>
      <c r="S305" s="0" t="n">
        <f aca="false">W_PH(S$2,$A305)</f>
        <v>850.708679266459</v>
      </c>
      <c r="T305" s="0" t="n">
        <f aca="false">W_PH(T$2,$A305)</f>
        <v>850.712881817943</v>
      </c>
      <c r="U305" s="0" t="n">
        <f aca="false">W_PH(U$2,$A305)</f>
        <v>850.717084797367</v>
      </c>
      <c r="V305" s="0" t="n">
        <f aca="false">W_PH(V$2,$A305)</f>
        <v>850.721288206449</v>
      </c>
      <c r="W305" s="0" t="n">
        <f aca="false">W_PH(W$2,$A305)</f>
        <v>850.725492046904</v>
      </c>
      <c r="X305" s="0" t="n">
        <f aca="false">W_PH(X$2,$A305)</f>
        <v>850.729696320447</v>
      </c>
      <c r="Y305" s="0" t="n">
        <f aca="false">W_PH(Y$2,$A305)</f>
        <v>850.771752228956</v>
      </c>
      <c r="Z305" s="0" t="n">
        <f aca="false">W_PH(Z$2,$A305)</f>
        <v>850.813839534073</v>
      </c>
      <c r="AA305" s="0" t="n">
        <f aca="false">W_PH(AA$2,$A305)</f>
        <v>850.855959928338</v>
      </c>
      <c r="AB305" s="0" t="n">
        <f aca="false">W_PH(AB$2,$A305)</f>
        <v>850.898117863428</v>
      </c>
      <c r="AC305" s="0" t="n">
        <f aca="false">W_PH(AC$2,$A305)</f>
        <v>850.940309510597</v>
      </c>
      <c r="AD305" s="0" t="n">
        <f aca="false">W_PH(AD$2,$A305)</f>
        <v>850.982542080967</v>
      </c>
      <c r="AE305" s="0" t="n">
        <f aca="false">W_PH(AE$2,$A305)</f>
        <v>851.024814502434</v>
      </c>
      <c r="AF305" s="0" t="n">
        <f aca="false">W_PH(AF$2,$A305)</f>
        <v>851.067125696193</v>
      </c>
      <c r="AG305" s="0" t="n">
        <f aca="false">W_PH(AG$2,$A305)</f>
        <v>851.109482878502</v>
      </c>
      <c r="AH305" s="0" t="n">
        <f aca="false">W_PH(AH$2,$A305)</f>
        <v>851.535779916227</v>
      </c>
      <c r="AI305" s="0" t="n">
        <f aca="false">W_PH(AI$2,$A305)</f>
        <v>851.968161891683</v>
      </c>
      <c r="AJ305" s="0" t="n">
        <f aca="false">W_PH(AJ$2,$A305)</f>
        <v>852.408225903426</v>
      </c>
      <c r="AK305" s="0" t="n">
        <f aca="false">W_PH(AK$2,$A305)</f>
        <v>852.857552018779</v>
      </c>
      <c r="AL305" s="0" t="n">
        <f aca="false">W_PH(AL$2,$A305)</f>
        <v>853.31771497064</v>
      </c>
      <c r="AM305" s="0" t="n">
        <f aca="false">W_PH(AM$2,$A305)</f>
        <v>853.790281981265</v>
      </c>
      <c r="AN305" s="0" t="n">
        <f aca="false">W_PH(AN$2,$A305)</f>
        <v>854.276807690547</v>
      </c>
      <c r="AO305" s="0" t="n">
        <f aca="false">W_PH(AO$2,$A305)</f>
        <v>854.778843344464</v>
      </c>
      <c r="AP305" s="0" t="n">
        <f aca="false">W_PH(AP$2,$A305)</f>
        <v>2015</v>
      </c>
      <c r="AQ305" s="0" t="n">
        <f aca="false">W_PH(AQ$2,$A305)</f>
        <v>2015</v>
      </c>
      <c r="AR305" s="0" t="n">
        <f aca="false">W_PH(AR$2,$A305)</f>
        <v>2015</v>
      </c>
      <c r="AS305" s="0" t="n">
        <f aca="false">W_PH(AS$2,$A305)</f>
        <v>2015</v>
      </c>
    </row>
    <row r="306" customFormat="false" ht="13.8" hidden="false" customHeight="false" outlineLevel="0" collapsed="false">
      <c r="A306" s="0" t="n">
        <v>4660</v>
      </c>
      <c r="B306" s="0" t="n">
        <f aca="false">W_PH(B$2,$A306)</f>
        <v>851.928591138132</v>
      </c>
      <c r="C306" s="0" t="n">
        <f aca="false">W_PH(C$2,$A306)</f>
        <v>851.92863352428</v>
      </c>
      <c r="D306" s="0" t="n">
        <f aca="false">W_PH(D$2,$A306)</f>
        <v>851.92867591047</v>
      </c>
      <c r="E306" s="0" t="n">
        <f aca="false">W_PH(E$2,$A306)</f>
        <v>851.9287182967</v>
      </c>
      <c r="F306" s="0" t="n">
        <f aca="false">W_PH(F$2,$A306)</f>
        <v>851.928760682972</v>
      </c>
      <c r="G306" s="0" t="n">
        <f aca="false">W_PH(G$2,$A306)</f>
        <v>851.929184547952</v>
      </c>
      <c r="H306" s="0" t="n">
        <f aca="false">W_PH(H$2,$A306)</f>
        <v>851.929608417047</v>
      </c>
      <c r="I306" s="0" t="n">
        <f aca="false">W_PH(I$2,$A306)</f>
        <v>851.930029541414</v>
      </c>
      <c r="J306" s="0" t="n">
        <f aca="false">W_PH(J$2,$A306)</f>
        <v>851.930453418729</v>
      </c>
      <c r="K306" s="0" t="n">
        <f aca="false">W_PH(K$2,$A306)</f>
        <v>851.930877300165</v>
      </c>
      <c r="L306" s="0" t="n">
        <f aca="false">W_PH(L$2,$A306)</f>
        <v>851.931298436836</v>
      </c>
      <c r="M306" s="0" t="n">
        <f aca="false">W_PH(M$2,$A306)</f>
        <v>851.931722326503</v>
      </c>
      <c r="N306" s="0" t="n">
        <f aca="false">W_PH(N$2,$A306)</f>
        <v>851.932146220296</v>
      </c>
      <c r="O306" s="0" t="n">
        <f aca="false">W_PH(O$2,$A306)</f>
        <v>851.932567369286</v>
      </c>
      <c r="P306" s="0" t="n">
        <f aca="false">W_PH(P$2,$A306)</f>
        <v>851.936798328484</v>
      </c>
      <c r="Q306" s="0" t="n">
        <f aca="false">W_PH(Q$2,$A306)</f>
        <v>851.9410297014</v>
      </c>
      <c r="R306" s="0" t="n">
        <f aca="false">W_PH(R$2,$A306)</f>
        <v>851.945261489738</v>
      </c>
      <c r="S306" s="0" t="n">
        <f aca="false">W_PH(S$2,$A306)</f>
        <v>851.949490945717</v>
      </c>
      <c r="T306" s="0" t="n">
        <f aca="false">W_PH(T$2,$A306)</f>
        <v>851.953723569867</v>
      </c>
      <c r="U306" s="0" t="n">
        <f aca="false">W_PH(U$2,$A306)</f>
        <v>851.957953864785</v>
      </c>
      <c r="V306" s="0" t="n">
        <f aca="false">W_PH(V$2,$A306)</f>
        <v>851.962187331557</v>
      </c>
      <c r="W306" s="0" t="n">
        <f aca="false">W_PH(W$2,$A306)</f>
        <v>851.966418472223</v>
      </c>
      <c r="X306" s="0" t="n">
        <f aca="false">W_PH(X$2,$A306)</f>
        <v>851.970652788427</v>
      </c>
      <c r="Y306" s="0" t="n">
        <f aca="false">W_PH(Y$2,$A306)</f>
        <v>852.012994970693</v>
      </c>
      <c r="Z306" s="0" t="n">
        <f aca="false">W_PH(Z$2,$A306)</f>
        <v>852.055370551189</v>
      </c>
      <c r="AA306" s="0" t="n">
        <f aca="false">W_PH(AA$2,$A306)</f>
        <v>852.09777845919</v>
      </c>
      <c r="AB306" s="0" t="n">
        <f aca="false">W_PH(AB$2,$A306)</f>
        <v>852.140223128806</v>
      </c>
      <c r="AC306" s="0" t="n">
        <f aca="false">W_PH(AC$2,$A306)</f>
        <v>852.182700727259</v>
      </c>
      <c r="AD306" s="0" t="n">
        <f aca="false">W_PH(AD$2,$A306)</f>
        <v>852.225218443628</v>
      </c>
      <c r="AE306" s="0" t="n">
        <f aca="false">W_PH(AE$2,$A306)</f>
        <v>852.267775197339</v>
      </c>
      <c r="AF306" s="0" t="n">
        <f aca="false">W_PH(AF$2,$A306)</f>
        <v>852.310372662485</v>
      </c>
      <c r="AG306" s="0" t="n">
        <f aca="false">W_PH(AG$2,$A306)</f>
        <v>852.353012512094</v>
      </c>
      <c r="AH306" s="0" t="n">
        <f aca="false">W_PH(AH$2,$A306)</f>
        <v>852.782106690432</v>
      </c>
      <c r="AI306" s="0" t="n">
        <f aca="false">W_PH(AI$2,$A306)</f>
        <v>853.217213266499</v>
      </c>
      <c r="AJ306" s="0" t="n">
        <f aca="false">W_PH(AJ$2,$A306)</f>
        <v>853.659917335039</v>
      </c>
      <c r="AK306" s="0" t="n">
        <f aca="false">W_PH(AK$2,$A306)</f>
        <v>854.111787220399</v>
      </c>
      <c r="AL306" s="0" t="n">
        <f aca="false">W_PH(AL$2,$A306)</f>
        <v>854.57438614162</v>
      </c>
      <c r="AM306" s="0" t="n">
        <f aca="false">W_PH(AM$2,$A306)</f>
        <v>855.049270028007</v>
      </c>
      <c r="AN306" s="0" t="n">
        <f aca="false">W_PH(AN$2,$A306)</f>
        <v>855.537982445469</v>
      </c>
      <c r="AO306" s="0" t="n">
        <f aca="false">W_PH(AO$2,$A306)</f>
        <v>856.042066621933</v>
      </c>
      <c r="AP306" s="0" t="n">
        <f aca="false">W_PH(AP$2,$A306)</f>
        <v>2015</v>
      </c>
      <c r="AQ306" s="0" t="n">
        <f aca="false">W_PH(AQ$2,$A306)</f>
        <v>2015</v>
      </c>
      <c r="AR306" s="0" t="n">
        <f aca="false">W_PH(AR$2,$A306)</f>
        <v>2015</v>
      </c>
      <c r="AS306" s="0" t="n">
        <f aca="false">W_PH(AS$2,$A306)</f>
        <v>2015</v>
      </c>
    </row>
    <row r="307" customFormat="false" ht="13.8" hidden="false" customHeight="false" outlineLevel="0" collapsed="false">
      <c r="A307" s="0" t="n">
        <v>4670</v>
      </c>
      <c r="B307" s="0" t="n">
        <f aca="false">W_PH(B$2,$A307)</f>
        <v>853.16597776153</v>
      </c>
      <c r="C307" s="0" t="n">
        <f aca="false">W_PH(C$2,$A307)</f>
        <v>853.166019397738</v>
      </c>
      <c r="D307" s="0" t="n">
        <f aca="false">W_PH(D$2,$A307)</f>
        <v>853.166062406192</v>
      </c>
      <c r="E307" s="0" t="n">
        <f aca="false">W_PH(E$2,$A307)</f>
        <v>853.166105414686</v>
      </c>
      <c r="F307" s="0" t="n">
        <f aca="false">W_PH(F$2,$A307)</f>
        <v>853.166148423222</v>
      </c>
      <c r="G307" s="0" t="n">
        <f aca="false">W_PH(G$2,$A307)</f>
        <v>853.166573021955</v>
      </c>
      <c r="H307" s="0" t="n">
        <f aca="false">W_PH(H$2,$A307)</f>
        <v>853.167000369153</v>
      </c>
      <c r="I307" s="0" t="n">
        <f aca="false">W_PH(I$2,$A307)</f>
        <v>853.167424975943</v>
      </c>
      <c r="J307" s="0" t="n">
        <f aca="false">W_PH(J$2,$A307)</f>
        <v>853.167852331229</v>
      </c>
      <c r="K307" s="0" t="n">
        <f aca="false">W_PH(K$2,$A307)</f>
        <v>853.168276946082</v>
      </c>
      <c r="L307" s="0" t="n">
        <f aca="false">W_PH(L$2,$A307)</f>
        <v>853.168704309462</v>
      </c>
      <c r="M307" s="0" t="n">
        <f aca="false">W_PH(M$2,$A307)</f>
        <v>853.169128932385</v>
      </c>
      <c r="N307" s="0" t="n">
        <f aca="false">W_PH(N$2,$A307)</f>
        <v>853.169554931603</v>
      </c>
      <c r="O307" s="0" t="n">
        <f aca="false">W_PH(O$2,$A307)</f>
        <v>853.169980934866</v>
      </c>
      <c r="P307" s="0" t="n">
        <f aca="false">W_PH(P$2,$A307)</f>
        <v>853.174239818073</v>
      </c>
      <c r="Q307" s="0" t="n">
        <f aca="false">W_PH(Q$2,$A307)</f>
        <v>853.178499107616</v>
      </c>
      <c r="R307" s="0" t="n">
        <f aca="false">W_PH(R$2,$A307)</f>
        <v>853.182757432709</v>
      </c>
      <c r="S307" s="0" t="n">
        <f aca="false">W_PH(S$2,$A307)</f>
        <v>853.187018912468</v>
      </c>
      <c r="T307" s="0" t="n">
        <f aca="false">W_PH(T$2,$A307)</f>
        <v>853.191278058542</v>
      </c>
      <c r="U307" s="0" t="n">
        <f aca="false">W_PH(U$2,$A307)</f>
        <v>853.195537617571</v>
      </c>
      <c r="V307" s="0" t="n">
        <f aca="false">W_PH(V$2,$A307)</f>
        <v>853.199797591246</v>
      </c>
      <c r="W307" s="0" t="n">
        <f aca="false">W_PH(W$2,$A307)</f>
        <v>853.204060726893</v>
      </c>
      <c r="X307" s="0" t="n">
        <f aca="false">W_PH(X$2,$A307)</f>
        <v>853.208321535062</v>
      </c>
      <c r="Y307" s="0" t="n">
        <f aca="false">W_PH(Y$2,$A307)</f>
        <v>853.250947485187</v>
      </c>
      <c r="Z307" s="0" t="n">
        <f aca="false">W_PH(Z$2,$A307)</f>
        <v>853.293606094984</v>
      </c>
      <c r="AA307" s="0" t="n">
        <f aca="false">W_PH(AA$2,$A307)</f>
        <v>853.336299035098</v>
      </c>
      <c r="AB307" s="0" t="n">
        <f aca="false">W_PH(AB$2,$A307)</f>
        <v>853.379022472593</v>
      </c>
      <c r="AC307" s="0" t="n">
        <f aca="false">W_PH(AC$2,$A307)</f>
        <v>853.421783573043</v>
      </c>
      <c r="AD307" s="0" t="n">
        <f aca="false">W_PH(AD$2,$A307)</f>
        <v>853.464581249937</v>
      </c>
      <c r="AE307" s="0" t="n">
        <f aca="false">W_PH(AE$2,$A307)</f>
        <v>853.50741992097</v>
      </c>
      <c r="AF307" s="0" t="n">
        <f aca="false">W_PH(AF$2,$A307)</f>
        <v>853.55029573808</v>
      </c>
      <c r="AG307" s="0" t="n">
        <f aca="false">W_PH(AG$2,$A307)</f>
        <v>853.59321587361</v>
      </c>
      <c r="AH307" s="0" t="n">
        <f aca="false">W_PH(AH$2,$A307)</f>
        <v>854.025070489384</v>
      </c>
      <c r="AI307" s="0" t="n">
        <f aca="false">W_PH(AI$2,$A307)</f>
        <v>854.462866718648</v>
      </c>
      <c r="AJ307" s="0" t="n">
        <f aca="false">W_PH(AJ$2,$A307)</f>
        <v>854.908172187533</v>
      </c>
      <c r="AK307" s="0" t="n">
        <f aca="false">W_PH(AK$2,$A307)</f>
        <v>855.362551958913</v>
      </c>
      <c r="AL307" s="0" t="n">
        <f aca="false">W_PH(AL$2,$A307)</f>
        <v>855.827555073248</v>
      </c>
      <c r="AM307" s="0" t="n">
        <f aca="false">W_PH(AM$2,$A307)</f>
        <v>856.304723444844</v>
      </c>
      <c r="AN307" s="0" t="n">
        <f aca="false">W_PH(AN$2,$A307)</f>
        <v>856.795595336681</v>
      </c>
      <c r="AO307" s="0" t="n">
        <f aca="false">W_PH(AO$2,$A307)</f>
        <v>857.301700366081</v>
      </c>
      <c r="AP307" s="0" t="n">
        <f aca="false">W_PH(AP$2,$A307)</f>
        <v>2015</v>
      </c>
      <c r="AQ307" s="0" t="n">
        <f aca="false">W_PH(AQ$2,$A307)</f>
        <v>2015</v>
      </c>
      <c r="AR307" s="0" t="n">
        <f aca="false">W_PH(AR$2,$A307)</f>
        <v>2015</v>
      </c>
      <c r="AS307" s="0" t="n">
        <f aca="false">W_PH(AS$2,$A307)</f>
        <v>2015</v>
      </c>
    </row>
    <row r="308" customFormat="false" ht="13.8" hidden="false" customHeight="false" outlineLevel="0" collapsed="false">
      <c r="A308" s="0" t="n">
        <v>4680</v>
      </c>
      <c r="B308" s="0" t="n">
        <f aca="false">W_PH(B$2,$A308)</f>
        <v>854.400107272197</v>
      </c>
      <c r="C308" s="0" t="n">
        <f aca="false">W_PH(C$2,$A308)</f>
        <v>854.400148153851</v>
      </c>
      <c r="D308" s="0" t="n">
        <f aca="false">W_PH(D$2,$A308)</f>
        <v>854.400191775604</v>
      </c>
      <c r="E308" s="0" t="n">
        <f aca="false">W_PH(E$2,$A308)</f>
        <v>854.400235397398</v>
      </c>
      <c r="F308" s="0" t="n">
        <f aca="false">W_PH(F$2,$A308)</f>
        <v>854.4002776492</v>
      </c>
      <c r="G308" s="0" t="n">
        <f aca="false">W_PH(G$2,$A308)</f>
        <v>854.40070701956</v>
      </c>
      <c r="H308" s="0" t="n">
        <f aca="false">W_PH(H$2,$A308)</f>
        <v>854.401135023843</v>
      </c>
      <c r="I308" s="0" t="n">
        <f aca="false">W_PH(I$2,$A308)</f>
        <v>854.401563032082</v>
      </c>
      <c r="J308" s="0" t="n">
        <f aca="false">W_PH(J$2,$A308)</f>
        <v>854.40199104428</v>
      </c>
      <c r="K308" s="0" t="n">
        <f aca="false">W_PH(K$2,$A308)</f>
        <v>854.40242180057</v>
      </c>
      <c r="L308" s="0" t="n">
        <f aca="false">W_PH(L$2,$A308)</f>
        <v>854.402849820703</v>
      </c>
      <c r="M308" s="0" t="n">
        <f aca="false">W_PH(M$2,$A308)</f>
        <v>854.4032778448</v>
      </c>
      <c r="N308" s="0" t="n">
        <f aca="false">W_PH(N$2,$A308)</f>
        <v>854.403705872862</v>
      </c>
      <c r="O308" s="0" t="n">
        <f aca="false">W_PH(O$2,$A308)</f>
        <v>854.404136645077</v>
      </c>
      <c r="P308" s="0" t="n">
        <f aca="false">W_PH(P$2,$A308)</f>
        <v>854.408422664687</v>
      </c>
      <c r="Q308" s="0" t="n">
        <f aca="false">W_PH(Q$2,$A308)</f>
        <v>854.412709083364</v>
      </c>
      <c r="R308" s="0" t="n">
        <f aca="false">W_PH(R$2,$A308)</f>
        <v>854.416995902785</v>
      </c>
      <c r="S308" s="0" t="n">
        <f aca="false">W_PH(S$2,$A308)</f>
        <v>854.421285865355</v>
      </c>
      <c r="T308" s="0" t="n">
        <f aca="false">W_PH(T$2,$A308)</f>
        <v>854.425573491428</v>
      </c>
      <c r="U308" s="0" t="n">
        <f aca="false">W_PH(U$2,$A308)</f>
        <v>854.429861523273</v>
      </c>
      <c r="V308" s="0" t="n">
        <f aca="false">W_PH(V$2,$A308)</f>
        <v>854.434149962567</v>
      </c>
      <c r="W308" s="0" t="n">
        <f aca="false">W_PH(W$2,$A308)</f>
        <v>854.438438810985</v>
      </c>
      <c r="X308" s="0" t="n">
        <f aca="false">W_PH(X$2,$A308)</f>
        <v>854.442728070203</v>
      </c>
      <c r="Y308" s="0" t="n">
        <f aca="false">W_PH(Y$2,$A308)</f>
        <v>854.485635396702</v>
      </c>
      <c r="Z308" s="0" t="n">
        <f aca="false">W_PH(Z$2,$A308)</f>
        <v>854.528574661205</v>
      </c>
      <c r="AA308" s="0" t="n">
        <f aca="false">W_PH(AA$2,$A308)</f>
        <v>854.571544776062</v>
      </c>
      <c r="AB308" s="0" t="n">
        <f aca="false">W_PH(AB$2,$A308)</f>
        <v>854.614547393997</v>
      </c>
      <c r="AC308" s="0" t="n">
        <f aca="false">W_PH(AC$2,$A308)</f>
        <v>854.65758691489</v>
      </c>
      <c r="AD308" s="0" t="n">
        <f aca="false">W_PH(AD$2,$A308)</f>
        <v>854.70066224395</v>
      </c>
      <c r="AE308" s="0" t="n">
        <f aca="false">W_PH(AE$2,$A308)</f>
        <v>854.743775030837</v>
      </c>
      <c r="AF308" s="0" t="n">
        <f aca="false">W_PH(AF$2,$A308)</f>
        <v>854.786929676421</v>
      </c>
      <c r="AG308" s="0" t="n">
        <f aca="false">W_PH(AG$2,$A308)</f>
        <v>854.830125078807</v>
      </c>
      <c r="AH308" s="0" t="n">
        <f aca="false">W_PH(AH$2,$A308)</f>
        <v>855.264701856709</v>
      </c>
      <c r="AI308" s="0" t="n">
        <f aca="false">W_PH(AI$2,$A308)</f>
        <v>855.705146987751</v>
      </c>
      <c r="AJ308" s="0" t="n">
        <f aca="false">W_PH(AJ$2,$A308)</f>
        <v>856.153023290917</v>
      </c>
      <c r="AK308" s="0" t="n">
        <f aca="false">W_PH(AK$2,$A308)</f>
        <v>856.609875942046</v>
      </c>
      <c r="AL308" s="0" t="n">
        <f aca="false">W_PH(AL$2,$A308)</f>
        <v>857.077248272917</v>
      </c>
      <c r="AM308" s="0" t="n">
        <f aca="false">W_PH(AM$2,$A308)</f>
        <v>857.556675386589</v>
      </c>
      <c r="AN308" s="0" t="n">
        <f aca="false">W_PH(AN$2,$A308)</f>
        <v>858.049677625767</v>
      </c>
      <c r="AO308" s="0" t="n">
        <f aca="false">W_PH(AO$2,$A308)</f>
        <v>858.557776749966</v>
      </c>
      <c r="AP308" s="0" t="n">
        <f aca="false">W_PH(AP$2,$A308)</f>
        <v>2015</v>
      </c>
      <c r="AQ308" s="0" t="n">
        <f aca="false">W_PH(AQ$2,$A308)</f>
        <v>2015</v>
      </c>
      <c r="AR308" s="0" t="n">
        <f aca="false">W_PH(AR$2,$A308)</f>
        <v>2015</v>
      </c>
      <c r="AS308" s="0" t="n">
        <f aca="false">W_PH(AS$2,$A308)</f>
        <v>2015</v>
      </c>
    </row>
    <row r="309" customFormat="false" ht="13.8" hidden="false" customHeight="false" outlineLevel="0" collapsed="false">
      <c r="A309" s="0" t="n">
        <v>4690</v>
      </c>
      <c r="B309" s="0" t="n">
        <f aca="false">W_PH(B$2,$A309)</f>
        <v>855.631003378017</v>
      </c>
      <c r="C309" s="0" t="n">
        <f aca="false">W_PH(C$2,$A309)</f>
        <v>855.631046236346</v>
      </c>
      <c r="D309" s="0" t="n">
        <f aca="false">W_PH(D$2,$A309)</f>
        <v>855.631089094714</v>
      </c>
      <c r="E309" s="0" t="n">
        <f aca="false">W_PH(E$2,$A309)</f>
        <v>855.631133320994</v>
      </c>
      <c r="F309" s="0" t="n">
        <f aca="false">W_PH(F$2,$A309)</f>
        <v>855.631174811566</v>
      </c>
      <c r="G309" s="0" t="n">
        <f aca="false">W_PH(G$2,$A309)</f>
        <v>855.631606133905</v>
      </c>
      <c r="H309" s="0" t="n">
        <f aca="false">W_PH(H$2,$A309)</f>
        <v>855.632037460134</v>
      </c>
      <c r="I309" s="0" t="n">
        <f aca="false">W_PH(I$2,$A309)</f>
        <v>855.632468790256</v>
      </c>
      <c r="J309" s="0" t="n">
        <f aca="false">W_PH(J$2,$A309)</f>
        <v>855.632901492172</v>
      </c>
      <c r="K309" s="0" t="n">
        <f aca="false">W_PH(K$2,$A309)</f>
        <v>855.633332830089</v>
      </c>
      <c r="L309" s="0" t="n">
        <f aca="false">W_PH(L$2,$A309)</f>
        <v>855.633764171904</v>
      </c>
      <c r="M309" s="0" t="n">
        <f aca="false">W_PH(M$2,$A309)</f>
        <v>855.634196885538</v>
      </c>
      <c r="N309" s="0" t="n">
        <f aca="false">W_PH(N$2,$A309)</f>
        <v>855.634628235159</v>
      </c>
      <c r="O309" s="0" t="n">
        <f aca="false">W_PH(O$2,$A309)</f>
        <v>855.635059588682</v>
      </c>
      <c r="P309" s="0" t="n">
        <f aca="false">W_PH(P$2,$A309)</f>
        <v>855.639373338896</v>
      </c>
      <c r="Q309" s="0" t="n">
        <f aca="false">W_PH(Q$2,$A309)</f>
        <v>855.643687481155</v>
      </c>
      <c r="R309" s="0" t="n">
        <f aca="false">W_PH(R$2,$A309)</f>
        <v>855.648002017124</v>
      </c>
      <c r="S309" s="0" t="n">
        <f aca="false">W_PH(S$2,$A309)</f>
        <v>855.652319684869</v>
      </c>
      <c r="T309" s="0" t="n">
        <f aca="false">W_PH(T$2,$A309)</f>
        <v>855.65663501338</v>
      </c>
      <c r="U309" s="0" t="n">
        <f aca="false">W_PH(U$2,$A309)</f>
        <v>855.660950740591</v>
      </c>
      <c r="V309" s="0" t="n">
        <f aca="false">W_PH(V$2,$A309)</f>
        <v>855.665266868164</v>
      </c>
      <c r="W309" s="0" t="n">
        <f aca="false">W_PH(W$2,$A309)</f>
        <v>855.669583397762</v>
      </c>
      <c r="X309" s="0" t="n">
        <f aca="false">W_PH(X$2,$A309)</f>
        <v>855.673900331048</v>
      </c>
      <c r="Y309" s="0" t="n">
        <f aca="false">W_PH(Y$2,$A309)</f>
        <v>855.71708401728</v>
      </c>
      <c r="Z309" s="0" t="n">
        <f aca="false">W_PH(Z$2,$A309)</f>
        <v>855.760296193954</v>
      </c>
      <c r="AA309" s="0" t="n">
        <f aca="false">W_PH(AA$2,$A309)</f>
        <v>855.803542613834</v>
      </c>
      <c r="AB309" s="0" t="n">
        <f aca="false">W_PH(AB$2,$A309)</f>
        <v>855.846820809433</v>
      </c>
      <c r="AC309" s="0" t="n">
        <f aca="false">W_PH(AC$2,$A309)</f>
        <v>855.890133791759</v>
      </c>
      <c r="AD309" s="0" t="n">
        <f aca="false">W_PH(AD$2,$A309)</f>
        <v>855.933481828402</v>
      </c>
      <c r="AE309" s="0" t="n">
        <f aca="false">W_PH(AE$2,$A309)</f>
        <v>855.976869302923</v>
      </c>
      <c r="AF309" s="0" t="n">
        <f aca="false">W_PH(AF$2,$A309)</f>
        <v>856.020295107711</v>
      </c>
      <c r="AG309" s="0" t="n">
        <f aca="false">W_PH(AG$2,$A309)</f>
        <v>856.063763627006</v>
      </c>
      <c r="AH309" s="0" t="n">
        <f aca="false">W_PH(AH$2,$A309)</f>
        <v>856.501022671866</v>
      </c>
      <c r="AI309" s="0" t="n">
        <f aca="false">W_PH(AI$2,$A309)</f>
        <v>856.944084009984</v>
      </c>
      <c r="AJ309" s="0" t="n">
        <f aca="false">W_PH(AJ$2,$A309)</f>
        <v>857.394494682467</v>
      </c>
      <c r="AK309" s="0" t="n">
        <f aca="false">W_PH(AK$2,$A309)</f>
        <v>857.853788456629</v>
      </c>
      <c r="AL309" s="0" t="n">
        <f aca="false">W_PH(AL$2,$A309)</f>
        <v>858.323501684345</v>
      </c>
      <c r="AM309" s="0" t="n">
        <f aca="false">W_PH(AM$2,$A309)</f>
        <v>858.80515288003</v>
      </c>
      <c r="AN309" s="0" t="n">
        <f aca="false">W_PH(AN$2,$A309)</f>
        <v>859.300257261559</v>
      </c>
      <c r="AO309" s="0" t="n">
        <f aca="false">W_PH(AO$2,$A309)</f>
        <v>859.810324602234</v>
      </c>
      <c r="AP309" s="0" t="n">
        <f aca="false">W_PH(AP$2,$A309)</f>
        <v>2015</v>
      </c>
      <c r="AQ309" s="0" t="n">
        <f aca="false">W_PH(AQ$2,$A309)</f>
        <v>2015</v>
      </c>
      <c r="AR309" s="0" t="n">
        <f aca="false">W_PH(AR$2,$A309)</f>
        <v>2015</v>
      </c>
      <c r="AS309" s="0" t="n">
        <f aca="false">W_PH(AS$2,$A309)</f>
        <v>2015</v>
      </c>
    </row>
    <row r="310" customFormat="false" ht="13.8" hidden="false" customHeight="false" outlineLevel="0" collapsed="false">
      <c r="A310" s="0" t="n">
        <v>4700</v>
      </c>
      <c r="B310" s="0" t="n">
        <f aca="false">W_PH(B$2,$A310)</f>
        <v>856.858694957107</v>
      </c>
      <c r="C310" s="0" t="n">
        <f aca="false">W_PH(C$2,$A310)</f>
        <v>856.85873704767</v>
      </c>
      <c r="D310" s="0" t="n">
        <f aca="false">W_PH(D$2,$A310)</f>
        <v>856.858781869732</v>
      </c>
      <c r="E310" s="0" t="n">
        <f aca="false">W_PH(E$2,$A310)</f>
        <v>856.85882396037</v>
      </c>
      <c r="F310" s="0" t="n">
        <f aca="false">W_PH(F$2,$A310)</f>
        <v>856.85886878251</v>
      </c>
      <c r="G310" s="0" t="n">
        <f aca="false">W_PH(G$2,$A310)</f>
        <v>856.859303348695</v>
      </c>
      <c r="H310" s="0" t="n">
        <f aca="false">W_PH(H$2,$A310)</f>
        <v>856.859737918708</v>
      </c>
      <c r="I310" s="0" t="n">
        <f aca="false">W_PH(I$2,$A310)</f>
        <v>856.860169761045</v>
      </c>
      <c r="J310" s="0" t="n">
        <f aca="false">W_PH(J$2,$A310)</f>
        <v>856.860604338704</v>
      </c>
      <c r="K310" s="0" t="n">
        <f aca="false">W_PH(K$2,$A310)</f>
        <v>856.861038920193</v>
      </c>
      <c r="L310" s="0" t="n">
        <f aca="false">W_PH(L$2,$A310)</f>
        <v>856.861473505517</v>
      </c>
      <c r="M310" s="0" t="n">
        <f aca="false">W_PH(M$2,$A310)</f>
        <v>856.861908094675</v>
      </c>
      <c r="N310" s="0" t="n">
        <f aca="false">W_PH(N$2,$A310)</f>
        <v>856.862342687671</v>
      </c>
      <c r="O310" s="0" t="n">
        <f aca="false">W_PH(O$2,$A310)</f>
        <v>856.862775918713</v>
      </c>
      <c r="P310" s="0" t="n">
        <f aca="false">W_PH(P$2,$A310)</f>
        <v>856.86711800089</v>
      </c>
      <c r="Q310" s="0" t="n">
        <f aca="false">W_PH(Q$2,$A310)</f>
        <v>856.871459102409</v>
      </c>
      <c r="R310" s="0" t="n">
        <f aca="false">W_PH(R$2,$A310)</f>
        <v>856.87580332269</v>
      </c>
      <c r="S310" s="0" t="n">
        <f aca="false">W_PH(S$2,$A310)</f>
        <v>856.880145199557</v>
      </c>
      <c r="T310" s="0" t="n">
        <f aca="false">W_PH(T$2,$A310)</f>
        <v>856.884487466509</v>
      </c>
      <c r="U310" s="0" t="n">
        <f aca="false">W_PH(U$2,$A310)</f>
        <v>856.888830125196</v>
      </c>
      <c r="V310" s="0" t="n">
        <f aca="false">W_PH(V$2,$A310)</f>
        <v>856.893175909776</v>
      </c>
      <c r="W310" s="0" t="n">
        <f aca="false">W_PH(W$2,$A310)</f>
        <v>856.897519357015</v>
      </c>
      <c r="X310" s="0" t="n">
        <f aca="false">W_PH(X$2,$A310)</f>
        <v>856.901863200939</v>
      </c>
      <c r="Y310" s="0" t="n">
        <f aca="false">W_PH(Y$2,$A310)</f>
        <v>856.945318352644</v>
      </c>
      <c r="Z310" s="0" t="n">
        <f aca="false">W_PH(Z$2,$A310)</f>
        <v>856.988804040326</v>
      </c>
      <c r="AA310" s="0" t="n">
        <f aca="false">W_PH(AA$2,$A310)</f>
        <v>857.032321896611</v>
      </c>
      <c r="AB310" s="0" t="n">
        <f aca="false">W_PH(AB$2,$A310)</f>
        <v>857.075870815087</v>
      </c>
      <c r="AC310" s="0" t="n">
        <f aca="false">W_PH(AC$2,$A310)</f>
        <v>857.119452422461</v>
      </c>
      <c r="AD310" s="0" t="n">
        <f aca="false">W_PH(AD$2,$A310)</f>
        <v>857.163071085156</v>
      </c>
      <c r="AE310" s="0" t="n">
        <f aca="false">W_PH(AE$2,$A310)</f>
        <v>857.206728431885</v>
      </c>
      <c r="AF310" s="0" t="n">
        <f aca="false">W_PH(AF$2,$A310)</f>
        <v>857.250423347066</v>
      </c>
      <c r="AG310" s="0" t="n">
        <f aca="false">W_PH(AG$2,$A310)</f>
        <v>857.294157453526</v>
      </c>
      <c r="AH310" s="0" t="n">
        <f aca="false">W_PH(AH$2,$A310)</f>
        <v>857.734065530781</v>
      </c>
      <c r="AI310" s="0" t="n">
        <f aca="false">W_PH(AI$2,$A310)</f>
        <v>858.179707336063</v>
      </c>
      <c r="AJ310" s="0" t="n">
        <f aca="false">W_PH(AJ$2,$A310)</f>
        <v>858.632615606718</v>
      </c>
      <c r="AK310" s="0" t="n">
        <f aca="false">W_PH(AK$2,$A310)</f>
        <v>859.094319775303</v>
      </c>
      <c r="AL310" s="0" t="n">
        <f aca="false">W_PH(AL$2,$A310)</f>
        <v>859.566339541105</v>
      </c>
      <c r="AM310" s="0" t="n">
        <f aca="false">W_PH(AM$2,$A310)</f>
        <v>860.050188170244</v>
      </c>
      <c r="AN310" s="0" t="n">
        <f aca="false">W_PH(AN$2,$A310)</f>
        <v>860.547365999059</v>
      </c>
      <c r="AO310" s="0" t="n">
        <f aca="false">W_PH(AO$2,$A310)</f>
        <v>861.059372290229</v>
      </c>
      <c r="AP310" s="0" t="n">
        <f aca="false">W_PH(AP$2,$A310)</f>
        <v>2015</v>
      </c>
      <c r="AQ310" s="0" t="n">
        <f aca="false">W_PH(AQ$2,$A310)</f>
        <v>2015</v>
      </c>
      <c r="AR310" s="0" t="n">
        <f aca="false">W_PH(AR$2,$A310)</f>
        <v>2015</v>
      </c>
      <c r="AS310" s="0" t="n">
        <f aca="false">W_PH(AS$2,$A310)</f>
        <v>2015</v>
      </c>
    </row>
    <row r="311" customFormat="false" ht="13.8" hidden="false" customHeight="false" outlineLevel="0" collapsed="false">
      <c r="A311" s="0" t="n">
        <v>4710</v>
      </c>
      <c r="B311" s="0" t="n">
        <f aca="false">W_PH(B$2,$A311)</f>
        <v>858.083206475561</v>
      </c>
      <c r="C311" s="0" t="n">
        <f aca="false">W_PH(C$2,$A311)</f>
        <v>858.083249157677</v>
      </c>
      <c r="D311" s="0" t="n">
        <f aca="false">W_PH(D$2,$A311)</f>
        <v>858.08329456704</v>
      </c>
      <c r="E311" s="0" t="n">
        <f aca="false">W_PH(E$2,$A311)</f>
        <v>858.083337249231</v>
      </c>
      <c r="F311" s="0" t="n">
        <f aca="false">W_PH(F$2,$A311)</f>
        <v>858.083381295065</v>
      </c>
      <c r="G311" s="0" t="n">
        <f aca="false">W_PH(G$2,$A311)</f>
        <v>858.083817664649</v>
      </c>
      <c r="H311" s="0" t="n">
        <f aca="false">W_PH(H$2,$A311)</f>
        <v>858.084255401603</v>
      </c>
      <c r="I311" s="0" t="n">
        <f aca="false">W_PH(I$2,$A311)</f>
        <v>858.084691778697</v>
      </c>
      <c r="J311" s="0" t="n">
        <f aca="false">W_PH(J$2,$A311)</f>
        <v>858.085128159546</v>
      </c>
      <c r="K311" s="0" t="n">
        <f aca="false">W_PH(K$2,$A311)</f>
        <v>858.08556590779</v>
      </c>
      <c r="L311" s="0" t="n">
        <f aca="false">W_PH(L$2,$A311)</f>
        <v>858.086002296159</v>
      </c>
      <c r="M311" s="0" t="n">
        <f aca="false">W_PH(M$2,$A311)</f>
        <v>858.086438688288</v>
      </c>
      <c r="N311" s="0" t="n">
        <f aca="false">W_PH(N$2,$A311)</f>
        <v>858.086876447836</v>
      </c>
      <c r="O311" s="0" t="n">
        <f aca="false">W_PH(O$2,$A311)</f>
        <v>858.087312847494</v>
      </c>
      <c r="P311" s="0" t="n">
        <f aca="false">W_PH(P$2,$A311)</f>
        <v>858.091681142576</v>
      </c>
      <c r="Q311" s="0" t="n">
        <f aca="false">W_PH(Q$2,$A311)</f>
        <v>858.09605117991</v>
      </c>
      <c r="R311" s="0" t="n">
        <f aca="false">W_PH(R$2,$A311)</f>
        <v>858.100418869747</v>
      </c>
      <c r="S311" s="0" t="n">
        <f aca="false">W_PH(S$2,$A311)</f>
        <v>858.104789669039</v>
      </c>
      <c r="T311" s="0" t="n">
        <f aca="false">W_PH(T$2,$A311)</f>
        <v>858.109159487839</v>
      </c>
      <c r="U311" s="0" t="n">
        <f aca="false">W_PH(U$2,$A311)</f>
        <v>858.113529691648</v>
      </c>
      <c r="V311" s="0" t="n">
        <f aca="false">W_PH(V$2,$A311)</f>
        <v>858.117898917981</v>
      </c>
      <c r="W311" s="0" t="n">
        <f aca="false">W_PH(W$2,$A311)</f>
        <v>858.122271260841</v>
      </c>
      <c r="X311" s="0" t="n">
        <f aca="false">W_PH(X$2,$A311)</f>
        <v>858.126641265248</v>
      </c>
      <c r="Y311" s="0" t="n">
        <f aca="false">W_PH(Y$2,$A311)</f>
        <v>858.170365837776</v>
      </c>
      <c r="Z311" s="0" t="n">
        <f aca="false">W_PH(Z$2,$A311)</f>
        <v>858.214120268031</v>
      </c>
      <c r="AA311" s="0" t="n">
        <f aca="false">W_PH(AA$2,$A311)</f>
        <v>858.257903443845</v>
      </c>
      <c r="AB311" s="0" t="n">
        <f aca="false">W_PH(AB$2,$A311)</f>
        <v>858.301719714322</v>
      </c>
      <c r="AC311" s="0" t="n">
        <f aca="false">W_PH(AC$2,$A311)</f>
        <v>858.3455706978</v>
      </c>
      <c r="AD311" s="0" t="n">
        <f aca="false">W_PH(AD$2,$A311)</f>
        <v>858.389455275335</v>
      </c>
      <c r="AE311" s="0" t="n">
        <f aca="false">W_PH(AE$2,$A311)</f>
        <v>858.433375059456</v>
      </c>
      <c r="AF311" s="0" t="n">
        <f aca="false">W_PH(AF$2,$A311)</f>
        <v>858.477337139595</v>
      </c>
      <c r="AG311" s="0" t="n">
        <f aca="false">W_PH(AG$2,$A311)</f>
        <v>858.521334913519</v>
      </c>
      <c r="AH311" s="0" t="n">
        <f aca="false">W_PH(AH$2,$A311)</f>
        <v>858.963855765069</v>
      </c>
      <c r="AI311" s="0" t="n">
        <f aca="false">W_PH(AI$2,$A311)</f>
        <v>859.412040607105</v>
      </c>
      <c r="AJ311" s="0" t="n">
        <f aca="false">W_PH(AJ$2,$A311)</f>
        <v>859.867414916659</v>
      </c>
      <c r="AK311" s="0" t="n">
        <f aca="false">W_PH(AK$2,$A311)</f>
        <v>860.331494174874</v>
      </c>
      <c r="AL311" s="0" t="n">
        <f aca="false">W_PH(AL$2,$A311)</f>
        <v>860.805791299941</v>
      </c>
      <c r="AM311" s="0" t="n">
        <f aca="false">W_PH(AM$2,$A311)</f>
        <v>861.291807415084</v>
      </c>
      <c r="AN311" s="0" t="n">
        <f aca="false">W_PH(AN$2,$A311)</f>
        <v>861.791032300212</v>
      </c>
      <c r="AO311" s="0" t="n">
        <f aca="false">W_PH(AO$2,$A311)</f>
        <v>862.304953406525</v>
      </c>
      <c r="AP311" s="0" t="n">
        <f aca="false">W_PH(AP$2,$A311)</f>
        <v>2015</v>
      </c>
      <c r="AQ311" s="0" t="n">
        <f aca="false">W_PH(AQ$2,$A311)</f>
        <v>2015</v>
      </c>
      <c r="AR311" s="0" t="n">
        <f aca="false">W_PH(AR$2,$A311)</f>
        <v>2015</v>
      </c>
      <c r="AS311" s="0" t="n">
        <f aca="false">W_PH(AS$2,$A311)</f>
        <v>2015</v>
      </c>
    </row>
    <row r="312" customFormat="false" ht="13.8" hidden="false" customHeight="false" outlineLevel="0" collapsed="false">
      <c r="A312" s="0" t="n">
        <v>4720</v>
      </c>
      <c r="B312" s="0" t="n">
        <f aca="false">W_PH(B$2,$A312)</f>
        <v>859.304563471069</v>
      </c>
      <c r="C312" s="0" t="n">
        <f aca="false">W_PH(C$2,$A312)</f>
        <v>859.304608097823</v>
      </c>
      <c r="D312" s="0" t="n">
        <f aca="false">W_PH(D$2,$A312)</f>
        <v>859.304651363119</v>
      </c>
      <c r="E312" s="0" t="n">
        <f aca="false">W_PH(E$2,$A312)</f>
        <v>859.304694628451</v>
      </c>
      <c r="F312" s="0" t="n">
        <f aca="false">W_PH(F$2,$A312)</f>
        <v>859.304739255317</v>
      </c>
      <c r="G312" s="0" t="n">
        <f aca="false">W_PH(G$2,$A312)</f>
        <v>859.305178718521</v>
      </c>
      <c r="H312" s="0" t="n">
        <f aca="false">W_PH(H$2,$A312)</f>
        <v>859.305618185414</v>
      </c>
      <c r="I312" s="0" t="n">
        <f aca="false">W_PH(I$2,$A312)</f>
        <v>859.306057655998</v>
      </c>
      <c r="J312" s="0" t="n">
        <f aca="false">W_PH(J$2,$A312)</f>
        <v>859.306498491798</v>
      </c>
      <c r="K312" s="0" t="n">
        <f aca="false">W_PH(K$2,$A312)</f>
        <v>859.306936608246</v>
      </c>
      <c r="L312" s="0" t="n">
        <f aca="false">W_PH(L$2,$A312)</f>
        <v>859.30737745145</v>
      </c>
      <c r="M312" s="0" t="n">
        <f aca="false">W_PH(M$2,$A312)</f>
        <v>859.307815575279</v>
      </c>
      <c r="N312" s="0" t="n">
        <f aca="false">W_PH(N$2,$A312)</f>
        <v>859.308256425893</v>
      </c>
      <c r="O312" s="0" t="n">
        <f aca="false">W_PH(O$2,$A312)</f>
        <v>859.308694557109</v>
      </c>
      <c r="P312" s="0" t="n">
        <f aca="false">W_PH(P$2,$A312)</f>
        <v>859.313089688673</v>
      </c>
      <c r="Q312" s="0" t="n">
        <f aca="false">W_PH(Q$2,$A312)</f>
        <v>859.317485192119</v>
      </c>
      <c r="R312" s="0" t="n">
        <f aca="false">W_PH(R$2,$A312)</f>
        <v>859.321881069073</v>
      </c>
      <c r="S312" s="0" t="n">
        <f aca="false">W_PH(S$2,$A312)</f>
        <v>859.32627732116</v>
      </c>
      <c r="T312" s="0" t="n">
        <f aca="false">W_PH(T$2,$A312)</f>
        <v>859.330673950007</v>
      </c>
      <c r="U312" s="0" t="n">
        <f aca="false">W_PH(U$2,$A312)</f>
        <v>859.335070957237</v>
      </c>
      <c r="V312" s="0" t="n">
        <f aca="false">W_PH(V$2,$A312)</f>
        <v>859.339468344477</v>
      </c>
      <c r="W312" s="0" t="n">
        <f aca="false">W_PH(W$2,$A312)</f>
        <v>859.34386475128</v>
      </c>
      <c r="X312" s="0" t="n">
        <f aca="false">W_PH(X$2,$A312)</f>
        <v>859.348261541214</v>
      </c>
      <c r="Y312" s="0" t="n">
        <f aca="false">W_PH(Y$2,$A312)</f>
        <v>859.392250870182</v>
      </c>
      <c r="Z312" s="0" t="n">
        <f aca="false">W_PH(Z$2,$A312)</f>
        <v>859.436269391668</v>
      </c>
      <c r="AA312" s="0" t="n">
        <f aca="false">W_PH(AA$2,$A312)</f>
        <v>859.480318713697</v>
      </c>
      <c r="AB312" s="0" t="n">
        <f aca="false">W_PH(AB$2,$A312)</f>
        <v>859.524397713931</v>
      </c>
      <c r="AC312" s="0" t="n">
        <f aca="false">W_PH(AC$2,$A312)</f>
        <v>859.568510725373</v>
      </c>
      <c r="AD312" s="0" t="n">
        <f aca="false">W_PH(AD$2,$A312)</f>
        <v>859.612656621252</v>
      </c>
      <c r="AE312" s="0" t="n">
        <f aca="false">W_PH(AE$2,$A312)</f>
        <v>859.656839735284</v>
      </c>
      <c r="AF312" s="0" t="n">
        <f aca="false">W_PH(AF$2,$A312)</f>
        <v>859.701061670837</v>
      </c>
      <c r="AG312" s="0" t="n">
        <f aca="false">W_PH(AG$2,$A312)</f>
        <v>859.745321294511</v>
      </c>
      <c r="AH312" s="0" t="n">
        <f aca="false">W_PH(AH$2,$A312)</f>
        <v>860.190418377727</v>
      </c>
      <c r="AI312" s="0" t="n">
        <f aca="false">W_PH(AI$2,$A312)</f>
        <v>860.641111273384</v>
      </c>
      <c r="AJ312" s="0" t="n">
        <f aca="false">W_PH(AJ$2,$A312)</f>
        <v>861.098918307942</v>
      </c>
      <c r="AK312" s="0" t="n">
        <f aca="false">W_PH(AK$2,$A312)</f>
        <v>861.565342531761</v>
      </c>
      <c r="AL312" s="0" t="n">
        <f aca="false">W_PH(AL$2,$A312)</f>
        <v>862.041886000944</v>
      </c>
      <c r="AM312" s="0" t="n">
        <f aca="false">W_PH(AM$2,$A312)</f>
        <v>862.530039177489</v>
      </c>
      <c r="AN312" s="0" t="n">
        <f aca="false">W_PH(AN$2,$A312)</f>
        <v>863.031284192468</v>
      </c>
      <c r="AO312" s="0" t="n">
        <f aca="false">W_PH(AO$2,$A312)</f>
        <v>863.547096807901</v>
      </c>
      <c r="AP312" s="0" t="n">
        <f aca="false">W_PH(AP$2,$A312)</f>
        <v>2015</v>
      </c>
      <c r="AQ312" s="0" t="n">
        <f aca="false">W_PH(AQ$2,$A312)</f>
        <v>2015</v>
      </c>
      <c r="AR312" s="0" t="n">
        <f aca="false">W_PH(AR$2,$A312)</f>
        <v>2015</v>
      </c>
      <c r="AS312" s="0" t="n">
        <f aca="false">W_PH(AS$2,$A312)</f>
        <v>2015</v>
      </c>
    </row>
    <row r="313" customFormat="false" ht="13.8" hidden="false" customHeight="false" outlineLevel="0" collapsed="false">
      <c r="A313" s="0" t="n">
        <v>4730</v>
      </c>
      <c r="B313" s="0" t="n">
        <f aca="false">W_PH(B$2,$A313)</f>
        <v>860.522791188435</v>
      </c>
      <c r="C313" s="0" t="n">
        <f aca="false">W_PH(C$2,$A313)</f>
        <v>860.522835028567</v>
      </c>
      <c r="D313" s="0" t="n">
        <f aca="false">W_PH(D$2,$A313)</f>
        <v>860.522878868734</v>
      </c>
      <c r="E313" s="0" t="n">
        <f aca="false">W_PH(E$2,$A313)</f>
        <v>860.522922708937</v>
      </c>
      <c r="F313" s="0" t="n">
        <f aca="false">W_PH(F$2,$A313)</f>
        <v>860.522966549177</v>
      </c>
      <c r="G313" s="0" t="n">
        <f aca="false">W_PH(G$2,$A313)</f>
        <v>860.523410391189</v>
      </c>
      <c r="H313" s="0" t="n">
        <f aca="false">W_PH(H$2,$A313)</f>
        <v>860.523851518007</v>
      </c>
      <c r="I313" s="0" t="n">
        <f aca="false">W_PH(I$2,$A313)</f>
        <v>860.524294007867</v>
      </c>
      <c r="J313" s="0" t="n">
        <f aca="false">W_PH(J$2,$A313)</f>
        <v>860.52473650136</v>
      </c>
      <c r="K313" s="0" t="n">
        <f aca="false">W_PH(K$2,$A313)</f>
        <v>860.525177639049</v>
      </c>
      <c r="L313" s="0" t="n">
        <f aca="false">W_PH(L$2,$A313)</f>
        <v>860.525621499247</v>
      </c>
      <c r="M313" s="0" t="n">
        <f aca="false">W_PH(M$2,$A313)</f>
        <v>860.526062644196</v>
      </c>
      <c r="N313" s="0" t="n">
        <f aca="false">W_PH(N$2,$A313)</f>
        <v>860.52650379277</v>
      </c>
      <c r="O313" s="0" t="n">
        <f aca="false">W_PH(O$2,$A313)</f>
        <v>860.526947663897</v>
      </c>
      <c r="P313" s="0" t="n">
        <f aca="false">W_PH(P$2,$A313)</f>
        <v>860.531367543063</v>
      </c>
      <c r="Q313" s="0" t="n">
        <f aca="false">W_PH(Q$2,$A313)</f>
        <v>860.53579050669</v>
      </c>
      <c r="R313" s="0" t="n">
        <f aca="false">W_PH(R$2,$A313)</f>
        <v>860.54021111816</v>
      </c>
      <c r="S313" s="0" t="n">
        <f aca="false">W_PH(S$2,$A313)</f>
        <v>860.544634817572</v>
      </c>
      <c r="T313" s="0" t="n">
        <f aca="false">W_PH(T$2,$A313)</f>
        <v>860.549056167798</v>
      </c>
      <c r="U313" s="0" t="n">
        <f aca="false">W_PH(U$2,$A313)</f>
        <v>860.553480609447</v>
      </c>
      <c r="V313" s="0" t="n">
        <f aca="false">W_PH(V$2,$A313)</f>
        <v>860.557902704882</v>
      </c>
      <c r="W313" s="0" t="n">
        <f aca="false">W_PH(W$2,$A313)</f>
        <v>860.562325175277</v>
      </c>
      <c r="X313" s="0" t="n">
        <f aca="false">W_PH(X$2,$A313)</f>
        <v>860.566750742315</v>
      </c>
      <c r="Y313" s="0" t="n">
        <f aca="false">W_PH(Y$2,$A313)</f>
        <v>860.611000279491</v>
      </c>
      <c r="Z313" s="0" t="n">
        <f aca="false">W_PH(Z$2,$A313)</f>
        <v>860.655278356783</v>
      </c>
      <c r="AA313" s="0" t="n">
        <f aca="false">W_PH(AA$2,$A313)</f>
        <v>860.69958657013</v>
      </c>
      <c r="AB313" s="0" t="n">
        <f aca="false">W_PH(AB$2,$A313)</f>
        <v>860.743926514554</v>
      </c>
      <c r="AC313" s="0" t="n">
        <f aca="false">W_PH(AC$2,$A313)</f>
        <v>860.788297057741</v>
      </c>
      <c r="AD313" s="0" t="n">
        <f aca="false">W_PH(AD$2,$A313)</f>
        <v>860.832705244477</v>
      </c>
      <c r="AE313" s="0" t="n">
        <f aca="false">W_PH(AE$2,$A313)</f>
        <v>860.877145848449</v>
      </c>
      <c r="AF313" s="0" t="n">
        <f aca="false">W_PH(AF$2,$A313)</f>
        <v>860.921624550693</v>
      </c>
      <c r="AG313" s="0" t="n">
        <f aca="false">W_PH(AG$2,$A313)</f>
        <v>860.966141575946</v>
      </c>
      <c r="AH313" s="0" t="n">
        <f aca="false">W_PH(AH$2,$A313)</f>
        <v>861.413778049511</v>
      </c>
      <c r="AI313" s="0" t="n">
        <f aca="false">W_PH(AI$2,$A313)</f>
        <v>861.866946431096</v>
      </c>
      <c r="AJ313" s="0" t="n">
        <f aca="false">W_PH(AJ$2,$A313)</f>
        <v>862.3271538884</v>
      </c>
      <c r="AK313" s="0" t="n">
        <f aca="false">W_PH(AK$2,$A313)</f>
        <v>862.79589253378</v>
      </c>
      <c r="AL313" s="0" t="n">
        <f aca="false">W_PH(AL$2,$A313)</f>
        <v>863.274650879649</v>
      </c>
      <c r="AM313" s="0" t="n">
        <f aca="false">W_PH(AM$2,$A313)</f>
        <v>863.764913005249</v>
      </c>
      <c r="AN313" s="0" t="n">
        <f aca="false">W_PH(AN$2,$A313)</f>
        <v>864.268149277873</v>
      </c>
      <c r="AO313" s="0" t="n">
        <f aca="false">W_PH(AO$2,$A313)</f>
        <v>864.785828080826</v>
      </c>
      <c r="AP313" s="0" t="n">
        <f aca="false">W_PH(AP$2,$A313)</f>
        <v>2015</v>
      </c>
      <c r="AQ313" s="0" t="n">
        <f aca="false">W_PH(AQ$2,$A313)</f>
        <v>2015</v>
      </c>
      <c r="AR313" s="0" t="n">
        <f aca="false">W_PH(AR$2,$A313)</f>
        <v>2015</v>
      </c>
      <c r="AS313" s="0" t="n">
        <f aca="false">W_PH(AS$2,$A313)</f>
        <v>2015</v>
      </c>
    </row>
    <row r="314" customFormat="false" ht="13.8" hidden="false" customHeight="false" outlineLevel="0" collapsed="false">
      <c r="A314" s="0" t="n">
        <v>4740</v>
      </c>
      <c r="B314" s="0" t="n">
        <f aca="false">W_PH(B$2,$A314)</f>
        <v>861.737911870345</v>
      </c>
      <c r="C314" s="0" t="n">
        <f aca="false">W_PH(C$2,$A314)</f>
        <v>861.737956277216</v>
      </c>
      <c r="D314" s="0" t="n">
        <f aca="false">W_PH(D$2,$A314)</f>
        <v>861.738000684121</v>
      </c>
      <c r="E314" s="0" t="n">
        <f aca="false">W_PH(E$2,$A314)</f>
        <v>861.738045091063</v>
      </c>
      <c r="F314" s="0" t="n">
        <f aca="false">W_PH(F$2,$A314)</f>
        <v>861.738090855367</v>
      </c>
      <c r="G314" s="0" t="n">
        <f aca="false">W_PH(G$2,$A314)</f>
        <v>861.73853628443</v>
      </c>
      <c r="H314" s="0" t="n">
        <f aca="false">W_PH(H$2,$A314)</f>
        <v>861.738980359722</v>
      </c>
      <c r="I314" s="0" t="n">
        <f aca="false">W_PH(I$2,$A314)</f>
        <v>861.739424438572</v>
      </c>
      <c r="J314" s="0" t="n">
        <f aca="false">W_PH(J$2,$A314)</f>
        <v>861.739868520982</v>
      </c>
      <c r="K314" s="0" t="n">
        <f aca="false">W_PH(K$2,$A314)</f>
        <v>861.740315321672</v>
      </c>
      <c r="L314" s="0" t="n">
        <f aca="false">W_PH(L$2,$A314)</f>
        <v>861.740759411218</v>
      </c>
      <c r="M314" s="0" t="n">
        <f aca="false">W_PH(M$2,$A314)</f>
        <v>861.741203504329</v>
      </c>
      <c r="N314" s="0" t="n">
        <f aca="false">W_PH(N$2,$A314)</f>
        <v>861.741647601006</v>
      </c>
      <c r="O314" s="0" t="n">
        <f aca="false">W_PH(O$2,$A314)</f>
        <v>861.742093058635</v>
      </c>
      <c r="P314" s="0" t="n">
        <f aca="false">W_PH(P$2,$A314)</f>
        <v>861.746541044959</v>
      </c>
      <c r="Q314" s="0" t="n">
        <f aca="false">W_PH(Q$2,$A314)</f>
        <v>861.750988032932</v>
      </c>
      <c r="R314" s="0" t="n">
        <f aca="false">W_PH(R$2,$A314)</f>
        <v>861.755435381542</v>
      </c>
      <c r="S314" s="0" t="n">
        <f aca="false">W_PH(S$2,$A314)</f>
        <v>861.759883092388</v>
      </c>
      <c r="T314" s="0" t="n">
        <f aca="false">W_PH(T$2,$A314)</f>
        <v>861.764331167071</v>
      </c>
      <c r="U314" s="0" t="n">
        <f aca="false">W_PH(U$2,$A314)</f>
        <v>861.768779607194</v>
      </c>
      <c r="V314" s="0" t="n">
        <f aca="false">W_PH(V$2,$A314)</f>
        <v>861.773229772181</v>
      </c>
      <c r="W314" s="0" t="n">
        <f aca="false">W_PH(W$2,$A314)</f>
        <v>861.777677590158</v>
      </c>
      <c r="X314" s="0" t="n">
        <f aca="false">W_PH(X$2,$A314)</f>
        <v>861.7821271362</v>
      </c>
      <c r="Y314" s="0" t="n">
        <f aca="false">W_PH(Y$2,$A314)</f>
        <v>861.826635160437</v>
      </c>
      <c r="Z314" s="0" t="n">
        <f aca="false">W_PH(Z$2,$A314)</f>
        <v>861.871171087471</v>
      </c>
      <c r="AA314" s="0" t="n">
        <f aca="false">W_PH(AA$2,$A314)</f>
        <v>861.915736501294</v>
      </c>
      <c r="AB314" s="0" t="n">
        <f aca="false">W_PH(AB$2,$A314)</f>
        <v>861.960332985008</v>
      </c>
      <c r="AC314" s="0" t="n">
        <f aca="false">W_PH(AC$2,$A314)</f>
        <v>862.004959398637</v>
      </c>
      <c r="AD314" s="0" t="n">
        <f aca="false">W_PH(AD$2,$A314)</f>
        <v>862.049620043178</v>
      </c>
      <c r="AE314" s="0" t="n">
        <f aca="false">W_PH(AE$2,$A314)</f>
        <v>862.094316499066</v>
      </c>
      <c r="AF314" s="0" t="n">
        <f aca="false">W_PH(AF$2,$A314)</f>
        <v>862.139050345853</v>
      </c>
      <c r="AG314" s="0" t="n">
        <f aca="false">W_PH(AG$2,$A314)</f>
        <v>862.183820435021</v>
      </c>
      <c r="AH314" s="0" t="n">
        <f aca="false">W_PH(AH$2,$A314)</f>
        <v>862.633964624414</v>
      </c>
      <c r="AI314" s="0" t="n">
        <f aca="false">W_PH(AI$2,$A314)</f>
        <v>863.089575581279</v>
      </c>
      <c r="AJ314" s="0" t="n">
        <f aca="false">W_PH(AJ$2,$A314)</f>
        <v>863.552146633076</v>
      </c>
      <c r="AK314" s="0" t="n">
        <f aca="false">W_PH(AK$2,$A314)</f>
        <v>864.023167324951</v>
      </c>
      <c r="AL314" s="0" t="n">
        <f aca="false">W_PH(AL$2,$A314)</f>
        <v>864.504115569889</v>
      </c>
      <c r="AM314" s="0" t="n">
        <f aca="false">W_PH(AM$2,$A314)</f>
        <v>864.996458026902</v>
      </c>
      <c r="AN314" s="0" t="n">
        <f aca="false">W_PH(AN$2,$A314)</f>
        <v>865.501658958043</v>
      </c>
      <c r="AO314" s="0" t="n">
        <f aca="false">W_PH(AO$2,$A314)</f>
        <v>866.021178043455</v>
      </c>
      <c r="AP314" s="0" t="n">
        <f aca="false">W_PH(AP$2,$A314)</f>
        <v>2015</v>
      </c>
      <c r="AQ314" s="0" t="n">
        <f aca="false">W_PH(AQ$2,$A314)</f>
        <v>2015</v>
      </c>
      <c r="AR314" s="0" t="n">
        <f aca="false">W_PH(AR$2,$A314)</f>
        <v>2015</v>
      </c>
      <c r="AS314" s="0" t="n">
        <f aca="false">W_PH(AS$2,$A314)</f>
        <v>2015</v>
      </c>
    </row>
    <row r="315" customFormat="false" ht="13.8" hidden="false" customHeight="false" outlineLevel="0" collapsed="false">
      <c r="A315" s="0" t="n">
        <v>4750</v>
      </c>
      <c r="B315" s="0" t="n">
        <f aca="false">W_PH(B$2,$A315)</f>
        <v>862.949954270125</v>
      </c>
      <c r="C315" s="0" t="n">
        <f aca="false">W_PH(C$2,$A315)</f>
        <v>862.949997880471</v>
      </c>
      <c r="D315" s="0" t="n">
        <f aca="false">W_PH(D$2,$A315)</f>
        <v>862.950042846117</v>
      </c>
      <c r="E315" s="0" t="n">
        <f aca="false">W_PH(E$2,$A315)</f>
        <v>862.950087811797</v>
      </c>
      <c r="F315" s="0" t="n">
        <f aca="false">W_PH(F$2,$A315)</f>
        <v>862.950132777513</v>
      </c>
      <c r="G315" s="0" t="n">
        <f aca="false">W_PH(G$2,$A315)</f>
        <v>862.95057972606</v>
      </c>
      <c r="H315" s="0" t="n">
        <f aca="false">W_PH(H$2,$A315)</f>
        <v>862.951026678106</v>
      </c>
      <c r="I315" s="0" t="n">
        <f aca="false">W_PH(I$2,$A315)</f>
        <v>862.951473633651</v>
      </c>
      <c r="J315" s="0" t="n">
        <f aca="false">W_PH(J$2,$A315)</f>
        <v>862.951921947988</v>
      </c>
      <c r="K315" s="0" t="n">
        <f aca="false">W_PH(K$2,$A315)</f>
        <v>862.95237026584</v>
      </c>
      <c r="L315" s="0" t="n">
        <f aca="false">W_PH(L$2,$A315)</f>
        <v>862.952817231905</v>
      </c>
      <c r="M315" s="0" t="n">
        <f aca="false">W_PH(M$2,$A315)</f>
        <v>862.953264201476</v>
      </c>
      <c r="N315" s="0" t="n">
        <f aca="false">W_PH(N$2,$A315)</f>
        <v>862.953711174553</v>
      </c>
      <c r="O315" s="0" t="n">
        <f aca="false">W_PH(O$2,$A315)</f>
        <v>862.95415815114</v>
      </c>
      <c r="P315" s="0" t="n">
        <f aca="false">W_PH(P$2,$A315)</f>
        <v>862.958630821112</v>
      </c>
      <c r="Q315" s="0" t="n">
        <f aca="false">W_PH(Q$2,$A315)</f>
        <v>862.963103843967</v>
      </c>
      <c r="R315" s="0" t="n">
        <f aca="false">W_PH(R$2,$A315)</f>
        <v>862.967577221294</v>
      </c>
      <c r="S315" s="0" t="n">
        <f aca="false">W_PH(S$2,$A315)</f>
        <v>862.972050954681</v>
      </c>
      <c r="T315" s="0" t="n">
        <f aca="false">W_PH(T$2,$A315)</f>
        <v>862.976525045718</v>
      </c>
      <c r="U315" s="0" t="n">
        <f aca="false">W_PH(U$2,$A315)</f>
        <v>862.980999495994</v>
      </c>
      <c r="V315" s="0" t="n">
        <f aca="false">W_PH(V$2,$A315)</f>
        <v>862.985472951339</v>
      </c>
      <c r="W315" s="0" t="n">
        <f aca="false">W_PH(W$2,$A315)</f>
        <v>862.989946768975</v>
      </c>
      <c r="X315" s="0" t="n">
        <f aca="false">W_PH(X$2,$A315)</f>
        <v>862.994422306374</v>
      </c>
      <c r="Y315" s="0" t="n">
        <f aca="false">W_PH(Y$2,$A315)</f>
        <v>863.03918448498</v>
      </c>
      <c r="Z315" s="0" t="n">
        <f aca="false">W_PH(Z$2,$A315)</f>
        <v>863.083973941339</v>
      </c>
      <c r="AA315" s="0" t="n">
        <f aca="false">W_PH(AA$2,$A315)</f>
        <v>863.128792247638</v>
      </c>
      <c r="AB315" s="0" t="n">
        <f aca="false">W_PH(AB$2,$A315)</f>
        <v>863.173639616827</v>
      </c>
      <c r="AC315" s="0" t="n">
        <f aca="false">W_PH(AC$2,$A315)</f>
        <v>863.218518976472</v>
      </c>
      <c r="AD315" s="0" t="n">
        <f aca="false">W_PH(AD$2,$A315)</f>
        <v>863.263433255753</v>
      </c>
      <c r="AE315" s="0" t="n">
        <f aca="false">W_PH(AE$2,$A315)</f>
        <v>863.308379944577</v>
      </c>
      <c r="AF315" s="0" t="n">
        <f aca="false">W_PH(AF$2,$A315)</f>
        <v>863.353363328759</v>
      </c>
      <c r="AG315" s="0" t="n">
        <f aca="false">W_PH(AG$2,$A315)</f>
        <v>863.398384975287</v>
      </c>
      <c r="AH315" s="0" t="n">
        <f aca="false">W_PH(AH$2,$A315)</f>
        <v>863.85099802783</v>
      </c>
      <c r="AI315" s="0" t="n">
        <f aca="false">W_PH(AI$2,$A315)</f>
        <v>864.309016876848</v>
      </c>
      <c r="AJ315" s="0" t="n">
        <f aca="false">W_PH(AJ$2,$A315)</f>
        <v>864.773926693367</v>
      </c>
      <c r="AK315" s="0" t="n">
        <f aca="false">W_PH(AK$2,$A315)</f>
        <v>865.247198020251</v>
      </c>
      <c r="AL315" s="0" t="n">
        <f aca="false">W_PH(AL$2,$A315)</f>
        <v>865.73030234657</v>
      </c>
      <c r="AM315" s="0" t="n">
        <f aca="false">W_PH(AM$2,$A315)</f>
        <v>866.224697371799</v>
      </c>
      <c r="AN315" s="0" t="n">
        <f aca="false">W_PH(AN$2,$A315)</f>
        <v>866.731839986729</v>
      </c>
      <c r="AO315" s="0" t="n">
        <f aca="false">W_PH(AO$2,$A315)</f>
        <v>867.253177067224</v>
      </c>
      <c r="AP315" s="0" t="n">
        <f aca="false">W_PH(AP$2,$A315)</f>
        <v>2015</v>
      </c>
      <c r="AQ315" s="0" t="n">
        <f aca="false">W_PH(AQ$2,$A315)</f>
        <v>2015</v>
      </c>
      <c r="AR315" s="0" t="n">
        <f aca="false">W_PH(AR$2,$A315)</f>
        <v>2015</v>
      </c>
      <c r="AS315" s="0" t="n">
        <f aca="false">W_PH(AS$2,$A315)</f>
        <v>2015</v>
      </c>
    </row>
    <row r="316" customFormat="false" ht="13.8" hidden="false" customHeight="false" outlineLevel="0" collapsed="false">
      <c r="A316" s="0" t="n">
        <v>4760</v>
      </c>
      <c r="B316" s="0" t="n">
        <f aca="false">W_PH(B$2,$A316)</f>
        <v>864.158938720056</v>
      </c>
      <c r="C316" s="0" t="n">
        <f aca="false">W_PH(C$2,$A316)</f>
        <v>864.15898288332</v>
      </c>
      <c r="D316" s="0" t="n">
        <f aca="false">W_PH(D$2,$A316)</f>
        <v>864.159028399838</v>
      </c>
      <c r="E316" s="0" t="n">
        <f aca="false">W_PH(E$2,$A316)</f>
        <v>864.15907391639</v>
      </c>
      <c r="F316" s="0" t="n">
        <f aca="false">W_PH(F$2,$A316)</f>
        <v>864.159119432977</v>
      </c>
      <c r="G316" s="0" t="n">
        <f aca="false">W_PH(G$2,$A316)</f>
        <v>864.159569187859</v>
      </c>
      <c r="H316" s="0" t="n">
        <f aca="false">W_PH(H$2,$A316)</f>
        <v>864.160018946181</v>
      </c>
      <c r="I316" s="0" t="n">
        <f aca="false">W_PH(I$2,$A316)</f>
        <v>864.160468707944</v>
      </c>
      <c r="J316" s="0" t="n">
        <f aca="false">W_PH(J$2,$A316)</f>
        <v>864.16091847315</v>
      </c>
      <c r="K316" s="0" t="n">
        <f aca="false">W_PH(K$2,$A316)</f>
        <v>864.161368241801</v>
      </c>
      <c r="L316" s="0" t="n">
        <f aca="false">W_PH(L$2,$A316)</f>
        <v>864.161818013898</v>
      </c>
      <c r="M316" s="0" t="n">
        <f aca="false">W_PH(M$2,$A316)</f>
        <v>864.162267789443</v>
      </c>
      <c r="N316" s="0" t="n">
        <f aca="false">W_PH(N$2,$A316)</f>
        <v>864.162717568437</v>
      </c>
      <c r="O316" s="0" t="n">
        <f aca="false">W_PH(O$2,$A316)</f>
        <v>864.163167350882</v>
      </c>
      <c r="P316" s="0" t="n">
        <f aca="false">W_PH(P$2,$A316)</f>
        <v>864.167665365477</v>
      </c>
      <c r="Q316" s="0" t="n">
        <f aca="false">W_PH(Q$2,$A316)</f>
        <v>864.172162373498</v>
      </c>
      <c r="R316" s="0" t="n">
        <f aca="false">W_PH(R$2,$A316)</f>
        <v>864.176659729797</v>
      </c>
      <c r="S316" s="0" t="n">
        <f aca="false">W_PH(S$2,$A316)</f>
        <v>864.181158789473</v>
      </c>
      <c r="T316" s="0" t="n">
        <f aca="false">W_PH(T$2,$A316)</f>
        <v>864.185658200705</v>
      </c>
      <c r="U316" s="0" t="n">
        <f aca="false">W_PH(U$2,$A316)</f>
        <v>864.190157965069</v>
      </c>
      <c r="V316" s="0" t="n">
        <f aca="false">W_PH(V$2,$A316)</f>
        <v>864.194656730437</v>
      </c>
      <c r="W316" s="0" t="n">
        <f aca="false">W_PH(W$2,$A316)</f>
        <v>864.199155851968</v>
      </c>
      <c r="X316" s="0" t="n">
        <f aca="false">W_PH(X$2,$A316)</f>
        <v>864.203656685067</v>
      </c>
      <c r="Y316" s="0" t="n">
        <f aca="false">W_PH(Y$2,$A316)</f>
        <v>864.248668791992</v>
      </c>
      <c r="Z316" s="0" t="n">
        <f aca="false">W_PH(Z$2,$A316)</f>
        <v>864.293707563679</v>
      </c>
      <c r="AA316" s="0" t="n">
        <f aca="false">W_PH(AA$2,$A316)</f>
        <v>864.33877456064</v>
      </c>
      <c r="AB316" s="0" t="n">
        <f aca="false">W_PH(AB$2,$A316)</f>
        <v>864.3838740551</v>
      </c>
      <c r="AC316" s="0" t="n">
        <f aca="false">W_PH(AC$2,$A316)</f>
        <v>864.429002181976</v>
      </c>
      <c r="AD316" s="0" t="n">
        <f aca="false">W_PH(AD$2,$A316)</f>
        <v>864.47416321057</v>
      </c>
      <c r="AE316" s="0" t="n">
        <f aca="false">W_PH(AE$2,$A316)</f>
        <v>864.519358698005</v>
      </c>
      <c r="AF316" s="0" t="n">
        <f aca="false">W_PH(AF$2,$A316)</f>
        <v>864.564588841833</v>
      </c>
      <c r="AG316" s="0" t="n">
        <f aca="false">W_PH(AG$2,$A316)</f>
        <v>864.609856554999</v>
      </c>
      <c r="AH316" s="0" t="n">
        <f aca="false">W_PH(AH$2,$A316)</f>
        <v>865.064908831156</v>
      </c>
      <c r="AI316" s="0" t="n">
        <f aca="false">W_PH(AI$2,$A316)</f>
        <v>865.525304648751</v>
      </c>
      <c r="AJ316" s="0" t="n">
        <f aca="false">W_PH(AJ$2,$A316)</f>
        <v>865.992515583383</v>
      </c>
      <c r="AK316" s="0" t="n">
        <f aca="false">W_PH(AK$2,$A316)</f>
        <v>866.468009807947</v>
      </c>
      <c r="AL316" s="0" t="n">
        <f aca="false">W_PH(AL$2,$A316)</f>
        <v>866.953241474463</v>
      </c>
      <c r="AM316" s="0" t="n">
        <f aca="false">W_PH(AM$2,$A316)</f>
        <v>867.449663570112</v>
      </c>
      <c r="AN316" s="0" t="n">
        <f aca="false">W_PH(AN$2,$A316)</f>
        <v>867.958718718612</v>
      </c>
      <c r="AO316" s="0" t="n">
        <f aca="false">W_PH(AO$2,$A316)</f>
        <v>868.481848058825</v>
      </c>
      <c r="AP316" s="0" t="n">
        <f aca="false">W_PH(AP$2,$A316)</f>
        <v>2015</v>
      </c>
      <c r="AQ316" s="0" t="n">
        <f aca="false">W_PH(AQ$2,$A316)</f>
        <v>2015</v>
      </c>
      <c r="AR316" s="0" t="n">
        <f aca="false">W_PH(AR$2,$A316)</f>
        <v>2015</v>
      </c>
      <c r="AS316" s="0" t="n">
        <f aca="false">W_PH(AS$2,$A316)</f>
        <v>2015</v>
      </c>
    </row>
    <row r="317" customFormat="false" ht="13.8" hidden="false" customHeight="false" outlineLevel="0" collapsed="false">
      <c r="A317" s="0" t="n">
        <v>4770</v>
      </c>
      <c r="B317" s="0" t="n">
        <f aca="false">W_PH(B$2,$A317)</f>
        <v>865.364890709688</v>
      </c>
      <c r="C317" s="0" t="n">
        <f aca="false">W_PH(C$2,$A317)</f>
        <v>865.364935418117</v>
      </c>
      <c r="D317" s="0" t="n">
        <f aca="false">W_PH(D$2,$A317)</f>
        <v>865.364980126579</v>
      </c>
      <c r="E317" s="0" t="n">
        <f aca="false">W_PH(E$2,$A317)</f>
        <v>865.365026186264</v>
      </c>
      <c r="F317" s="0" t="n">
        <f aca="false">W_PH(F$2,$A317)</f>
        <v>865.365072245984</v>
      </c>
      <c r="G317" s="0" t="n">
        <f aca="false">W_PH(G$2,$A317)</f>
        <v>865.365523386706</v>
      </c>
      <c r="H317" s="0" t="n">
        <f aca="false">W_PH(H$2,$A317)</f>
        <v>865.365974530798</v>
      </c>
      <c r="I317" s="0" t="n">
        <f aca="false">W_PH(I$2,$A317)</f>
        <v>865.366427029472</v>
      </c>
      <c r="J317" s="0" t="n">
        <f aca="false">W_PH(J$2,$A317)</f>
        <v>865.366879531532</v>
      </c>
      <c r="K317" s="0" t="n">
        <f aca="false">W_PH(K$2,$A317)</f>
        <v>865.367332036979</v>
      </c>
      <c r="L317" s="0" t="n">
        <f aca="false">W_PH(L$2,$A317)</f>
        <v>865.367784545815</v>
      </c>
      <c r="M317" s="0" t="n">
        <f aca="false">W_PH(M$2,$A317)</f>
        <v>865.368237058041</v>
      </c>
      <c r="N317" s="0" t="n">
        <f aca="false">W_PH(N$2,$A317)</f>
        <v>865.36868957366</v>
      </c>
      <c r="O317" s="0" t="n">
        <f aca="false">W_PH(O$2,$A317)</f>
        <v>865.369142092673</v>
      </c>
      <c r="P317" s="0" t="n">
        <f aca="false">W_PH(P$2,$A317)</f>
        <v>865.373664767191</v>
      </c>
      <c r="Q317" s="0" t="n">
        <f aca="false">W_PH(Q$2,$A317)</f>
        <v>865.378187782568</v>
      </c>
      <c r="R317" s="0" t="n">
        <f aca="false">W_PH(R$2,$A317)</f>
        <v>865.382709788941</v>
      </c>
      <c r="S317" s="0" t="n">
        <f aca="false">W_PH(S$2,$A317)</f>
        <v>865.387232139181</v>
      </c>
      <c r="T317" s="0" t="n">
        <f aca="false">W_PH(T$2,$A317)</f>
        <v>865.391756186402</v>
      </c>
      <c r="U317" s="0" t="n">
        <f aca="false">W_PH(U$2,$A317)</f>
        <v>865.396280580742</v>
      </c>
      <c r="V317" s="0" t="n">
        <f aca="false">W_PH(V$2,$A317)</f>
        <v>865.400805323766</v>
      </c>
      <c r="W317" s="0" t="n">
        <f aca="false">W_PH(W$2,$A317)</f>
        <v>865.405329065309</v>
      </c>
      <c r="X317" s="0" t="n">
        <f aca="false">W_PH(X$2,$A317)</f>
        <v>865.409853158545</v>
      </c>
      <c r="Y317" s="0" t="n">
        <f aca="false">W_PH(Y$2,$A317)</f>
        <v>865.455113778221</v>
      </c>
      <c r="Z317" s="0" t="n">
        <f aca="false">W_PH(Z$2,$A317)</f>
        <v>865.500400463914</v>
      </c>
      <c r="AA317" s="0" t="n">
        <f aca="false">W_PH(AA$2,$A317)</f>
        <v>865.545712057387</v>
      </c>
      <c r="AB317" s="0" t="n">
        <f aca="false">W_PH(AB$2,$A317)</f>
        <v>865.591055520003</v>
      </c>
      <c r="AC317" s="0" t="n">
        <f aca="false">W_PH(AC$2,$A317)</f>
        <v>865.636429693071</v>
      </c>
      <c r="AD317" s="0" t="n">
        <f aca="false">W_PH(AD$2,$A317)</f>
        <v>865.681836123081</v>
      </c>
      <c r="AE317" s="0" t="n">
        <f aca="false">W_PH(AE$2,$A317)</f>
        <v>865.727276355693</v>
      </c>
      <c r="AF317" s="0" t="n">
        <f aca="false">W_PH(AF$2,$A317)</f>
        <v>865.772749222496</v>
      </c>
      <c r="AG317" s="0" t="n">
        <f aca="false">W_PH(AG$2,$A317)</f>
        <v>865.81826169281</v>
      </c>
      <c r="AH317" s="0" t="n">
        <f aca="false">W_PH(AH$2,$A317)</f>
        <v>866.27571908471</v>
      </c>
      <c r="AI317" s="0" t="n">
        <f aca="false">W_PH(AI$2,$A317)</f>
        <v>866.738456416264</v>
      </c>
      <c r="AJ317" s="0" t="n">
        <f aca="false">W_PH(AJ$2,$A317)</f>
        <v>867.207942757382</v>
      </c>
      <c r="AK317" s="0" t="n">
        <f aca="false">W_PH(AK$2,$A317)</f>
        <v>867.68562752862</v>
      </c>
      <c r="AL317" s="0" t="n">
        <f aca="false">W_PH(AL$2,$A317)</f>
        <v>868.172960049242</v>
      </c>
      <c r="AM317" s="0" t="n">
        <f aca="false">W_PH(AM$2,$A317)</f>
        <v>868.671378982713</v>
      </c>
      <c r="AN317" s="0" t="n">
        <f aca="false">W_PH(AN$2,$A317)</f>
        <v>869.182323912489</v>
      </c>
      <c r="AO317" s="0" t="n">
        <f aca="false">W_PH(AO$2,$A317)</f>
        <v>869.707219161225</v>
      </c>
      <c r="AP317" s="0" t="n">
        <f aca="false">W_PH(AP$2,$A317)</f>
        <v>2015</v>
      </c>
      <c r="AQ317" s="0" t="n">
        <f aca="false">W_PH(AQ$2,$A317)</f>
        <v>2015</v>
      </c>
      <c r="AR317" s="0" t="n">
        <f aca="false">W_PH(AR$2,$A317)</f>
        <v>2015</v>
      </c>
      <c r="AS317" s="0" t="n">
        <f aca="false">W_PH(AS$2,$A317)</f>
        <v>2015</v>
      </c>
    </row>
    <row r="318" customFormat="false" ht="13.8" hidden="false" customHeight="false" outlineLevel="0" collapsed="false">
      <c r="A318" s="0" t="n">
        <v>4780</v>
      </c>
      <c r="B318" s="0" t="n">
        <f aca="false">W_PH(B$2,$A318)</f>
        <v>866.567832754985</v>
      </c>
      <c r="C318" s="0" t="n">
        <f aca="false">W_PH(C$2,$A318)</f>
        <v>866.567876651778</v>
      </c>
      <c r="D318" s="0" t="n">
        <f aca="false">W_PH(D$2,$A318)</f>
        <v>866.56792324695</v>
      </c>
      <c r="E318" s="0" t="n">
        <f aca="false">W_PH(E$2,$A318)</f>
        <v>866.567968492982</v>
      </c>
      <c r="F318" s="0" t="n">
        <f aca="false">W_PH(F$2,$A318)</f>
        <v>866.568013739047</v>
      </c>
      <c r="G318" s="0" t="n">
        <f aca="false">W_PH(G$2,$A318)</f>
        <v>866.568468899873</v>
      </c>
      <c r="H318" s="0" t="n">
        <f aca="false">W_PH(H$2,$A318)</f>
        <v>866.568924064026</v>
      </c>
      <c r="I318" s="0" t="n">
        <f aca="false">W_PH(I$2,$A318)</f>
        <v>866.569379231507</v>
      </c>
      <c r="J318" s="0" t="n">
        <f aca="false">W_PH(J$2,$A318)</f>
        <v>866.569831703921</v>
      </c>
      <c r="K318" s="0" t="n">
        <f aca="false">W_PH(K$2,$A318)</f>
        <v>866.570286878051</v>
      </c>
      <c r="L318" s="0" t="n">
        <f aca="false">W_PH(L$2,$A318)</f>
        <v>866.570742055514</v>
      </c>
      <c r="M318" s="0" t="n">
        <f aca="false">W_PH(M$2,$A318)</f>
        <v>866.571197236312</v>
      </c>
      <c r="N318" s="0" t="n">
        <f aca="false">W_PH(N$2,$A318)</f>
        <v>866.571652420446</v>
      </c>
      <c r="O318" s="0" t="n">
        <f aca="false">W_PH(O$2,$A318)</f>
        <v>866.572106258688</v>
      </c>
      <c r="P318" s="0" t="n">
        <f aca="false">W_PH(P$2,$A318)</f>
        <v>866.576654269378</v>
      </c>
      <c r="Q318" s="0" t="n">
        <f aca="false">W_PH(Q$2,$A318)</f>
        <v>866.581201265823</v>
      </c>
      <c r="R318" s="0" t="n">
        <f aca="false">W_PH(R$2,$A318)</f>
        <v>866.585748598804</v>
      </c>
      <c r="S318" s="0" t="n">
        <f aca="false">W_PH(S$2,$A318)</f>
        <v>866.590296269875</v>
      </c>
      <c r="T318" s="0" t="n">
        <f aca="false">W_PH(T$2,$A318)</f>
        <v>866.594844280589</v>
      </c>
      <c r="U318" s="0" t="n">
        <f aca="false">W_PH(U$2,$A318)</f>
        <v>866.599392632501</v>
      </c>
      <c r="V318" s="0" t="n">
        <f aca="false">W_PH(V$2,$A318)</f>
        <v>866.603941327163</v>
      </c>
      <c r="W318" s="0" t="n">
        <f aca="false">W_PH(W$2,$A318)</f>
        <v>866.60849036613</v>
      </c>
      <c r="X318" s="0" t="n">
        <f aca="false">W_PH(X$2,$A318)</f>
        <v>866.613038401186</v>
      </c>
      <c r="Y318" s="0" t="n">
        <f aca="false">W_PH(Y$2,$A318)</f>
        <v>866.65854216007</v>
      </c>
      <c r="Z318" s="0" t="n">
        <f aca="false">W_PH(Z$2,$A318)</f>
        <v>866.704070045619</v>
      </c>
      <c r="AA318" s="0" t="n">
        <f aca="false">W_PH(AA$2,$A318)</f>
        <v>866.749627648293</v>
      </c>
      <c r="AB318" s="0" t="n">
        <f aca="false">W_PH(AB$2,$A318)</f>
        <v>866.795213804118</v>
      </c>
      <c r="AC318" s="0" t="n">
        <f aca="false">W_PH(AC$2,$A318)</f>
        <v>866.840827343528</v>
      </c>
      <c r="AD318" s="0" t="n">
        <f aca="false">W_PH(AD$2,$A318)</f>
        <v>866.886475211493</v>
      </c>
      <c r="AE318" s="0" t="n">
        <f aca="false">W_PH(AE$2,$A318)</f>
        <v>866.93215623803</v>
      </c>
      <c r="AF318" s="0" t="n">
        <f aca="false">W_PH(AF$2,$A318)</f>
        <v>866.977871956667</v>
      </c>
      <c r="AG318" s="0" t="n">
        <f aca="false">W_PH(AG$2,$A318)</f>
        <v>867.023623900135</v>
      </c>
      <c r="AH318" s="0" t="n">
        <f aca="false">W_PH(AH$2,$A318)</f>
        <v>867.483450555485</v>
      </c>
      <c r="AI318" s="0" t="n">
        <f aca="false">W_PH(AI$2,$A318)</f>
        <v>867.948503100907</v>
      </c>
      <c r="AJ318" s="0" t="n">
        <f aca="false">W_PH(AJ$2,$A318)</f>
        <v>868.420229073991</v>
      </c>
      <c r="AK318" s="0" t="n">
        <f aca="false">W_PH(AK$2,$A318)</f>
        <v>868.900075682061</v>
      </c>
      <c r="AL318" s="0" t="n">
        <f aca="false">W_PH(AL$2,$A318)</f>
        <v>869.389480645878</v>
      </c>
      <c r="AM318" s="0" t="n">
        <f aca="false">W_PH(AM$2,$A318)</f>
        <v>869.889873961802</v>
      </c>
      <c r="AN318" s="0" t="n">
        <f aca="false">W_PH(AN$2,$A318)</f>
        <v>870.402681133799</v>
      </c>
      <c r="AO318" s="0" t="n">
        <f aca="false">W_PH(AO$2,$A318)</f>
        <v>870.929320908157</v>
      </c>
      <c r="AP318" s="0" t="n">
        <f aca="false">W_PH(AP$2,$A318)</f>
        <v>2015</v>
      </c>
      <c r="AQ318" s="0" t="n">
        <f aca="false">W_PH(AQ$2,$A318)</f>
        <v>2015</v>
      </c>
      <c r="AR318" s="0" t="n">
        <f aca="false">W_PH(AR$2,$A318)</f>
        <v>2015</v>
      </c>
      <c r="AS318" s="0" t="n">
        <f aca="false">W_PH(AS$2,$A318)</f>
        <v>2015</v>
      </c>
    </row>
    <row r="319" customFormat="false" ht="13.8" hidden="false" customHeight="false" outlineLevel="0" collapsed="false">
      <c r="A319" s="0" t="n">
        <v>4790</v>
      </c>
      <c r="B319" s="0" t="n">
        <f aca="false">W_PH(B$2,$A319)</f>
        <v>867.767788464828</v>
      </c>
      <c r="C319" s="0" t="n">
        <f aca="false">W_PH(C$2,$A319)</f>
        <v>867.767832893655</v>
      </c>
      <c r="D319" s="0" t="n">
        <f aca="false">W_PH(D$2,$A319)</f>
        <v>867.76788001686</v>
      </c>
      <c r="E319" s="0" t="n">
        <f aca="false">W_PH(E$2,$A319)</f>
        <v>867.767924445752</v>
      </c>
      <c r="F319" s="0" t="n">
        <f aca="false">W_PH(F$2,$A319)</f>
        <v>867.767971569023</v>
      </c>
      <c r="G319" s="0" t="n">
        <f aca="false">W_PH(G$2,$A319)</f>
        <v>867.768426637438</v>
      </c>
      <c r="H319" s="0" t="n">
        <f aca="false">W_PH(H$2,$A319)</f>
        <v>867.768884403473</v>
      </c>
      <c r="I319" s="0" t="n">
        <f aca="false">W_PH(I$2,$A319)</f>
        <v>867.769342172781</v>
      </c>
      <c r="J319" s="0" t="n">
        <f aca="false">W_PH(J$2,$A319)</f>
        <v>867.769799945363</v>
      </c>
      <c r="K319" s="0" t="n">
        <f aca="false">W_PH(K$2,$A319)</f>
        <v>867.770255026814</v>
      </c>
      <c r="L319" s="0" t="n">
        <f aca="false">W_PH(L$2,$A319)</f>
        <v>867.770712805938</v>
      </c>
      <c r="M319" s="0" t="n">
        <f aca="false">W_PH(M$2,$A319)</f>
        <v>867.771170588341</v>
      </c>
      <c r="N319" s="0" t="n">
        <f aca="false">W_PH(N$2,$A319)</f>
        <v>867.771628374024</v>
      </c>
      <c r="O319" s="0" t="n">
        <f aca="false">W_PH(O$2,$A319)</f>
        <v>867.772083468535</v>
      </c>
      <c r="P319" s="0" t="n">
        <f aca="false">W_PH(P$2,$A319)</f>
        <v>867.77665614978</v>
      </c>
      <c r="Q319" s="0" t="n">
        <f aca="false">W_PH(Q$2,$A319)</f>
        <v>867.781226465768</v>
      </c>
      <c r="R319" s="0" t="n">
        <f aca="false">W_PH(R$2,$A319)</f>
        <v>867.785799807303</v>
      </c>
      <c r="S319" s="0" t="n">
        <f aca="false">W_PH(S$2,$A319)</f>
        <v>867.79037078643</v>
      </c>
      <c r="T319" s="0" t="n">
        <f aca="false">W_PH(T$2,$A319)</f>
        <v>867.79494209938</v>
      </c>
      <c r="U319" s="0" t="n">
        <f aca="false">W_PH(U$2,$A319)</f>
        <v>867.799513747695</v>
      </c>
      <c r="V319" s="0" t="n">
        <f aca="false">W_PH(V$2,$A319)</f>
        <v>867.804088428201</v>
      </c>
      <c r="W319" s="0" t="n">
        <f aca="false">W_PH(W$2,$A319)</f>
        <v>867.808660751992</v>
      </c>
      <c r="X319" s="0" t="n">
        <f aca="false">W_PH(X$2,$A319)</f>
        <v>867.813233415773</v>
      </c>
      <c r="Y319" s="0" t="n">
        <f aca="false">W_PH(Y$2,$A319)</f>
        <v>867.858976395545</v>
      </c>
      <c r="Z319" s="0" t="n">
        <f aca="false">W_PH(Z$2,$A319)</f>
        <v>867.904745624861</v>
      </c>
      <c r="AA319" s="0" t="n">
        <f aca="false">W_PH(AA$2,$A319)</f>
        <v>867.950541282255</v>
      </c>
      <c r="AB319" s="0" t="n">
        <f aca="false">W_PH(AB$2,$A319)</f>
        <v>867.996366243349</v>
      </c>
      <c r="AC319" s="0" t="n">
        <f aca="false">W_PH(AC$2,$A319)</f>
        <v>868.042220683907</v>
      </c>
      <c r="AD319" s="0" t="n">
        <f aca="false">W_PH(AD$2,$A319)</f>
        <v>868.08810612785</v>
      </c>
      <c r="AE319" s="0" t="n">
        <f aca="false">W_PH(AE$2,$A319)</f>
        <v>868.134024098309</v>
      </c>
      <c r="AF319" s="0" t="n">
        <f aca="false">W_PH(AF$2,$A319)</f>
        <v>868.179977470112</v>
      </c>
      <c r="AG319" s="0" t="n">
        <f aca="false">W_PH(AG$2,$A319)</f>
        <v>868.225966413521</v>
      </c>
      <c r="AH319" s="0" t="n">
        <f aca="false">W_PH(AH$2,$A319)</f>
        <v>868.68813288601</v>
      </c>
      <c r="AI319" s="0" t="n">
        <f aca="false">W_PH(AI$2,$A319)</f>
        <v>869.155464355881</v>
      </c>
      <c r="AJ319" s="0" t="n">
        <f aca="false">W_PH(AJ$2,$A319)</f>
        <v>869.629403317051</v>
      </c>
      <c r="AK319" s="0" t="n">
        <f aca="false">W_PH(AK$2,$A319)</f>
        <v>870.111383938282</v>
      </c>
      <c r="AL319" s="0" t="n">
        <f aca="false">W_PH(AL$2,$A319)</f>
        <v>870.602832415292</v>
      </c>
      <c r="AM319" s="0" t="n">
        <f aca="false">W_PH(AM$2,$A319)</f>
        <v>871.105172912626</v>
      </c>
      <c r="AN319" s="0" t="n">
        <f aca="false">W_PH(AN$2,$A319)</f>
        <v>871.619816965502</v>
      </c>
      <c r="AO319" s="0" t="n">
        <f aca="false">W_PH(AO$2,$A319)</f>
        <v>872.148179218621</v>
      </c>
      <c r="AP319" s="0" t="n">
        <f aca="false">W_PH(AP$2,$A319)</f>
        <v>2015</v>
      </c>
      <c r="AQ319" s="0" t="n">
        <f aca="false">W_PH(AQ$2,$A319)</f>
        <v>2015</v>
      </c>
      <c r="AR319" s="0" t="n">
        <f aca="false">W_PH(AR$2,$A319)</f>
        <v>2015</v>
      </c>
      <c r="AS319" s="0" t="n">
        <f aca="false">W_PH(AS$2,$A319)</f>
        <v>2015</v>
      </c>
    </row>
    <row r="320" customFormat="false" ht="13.8" hidden="false" customHeight="false" outlineLevel="0" collapsed="false">
      <c r="A320" s="0" t="n">
        <v>4800</v>
      </c>
      <c r="B320" s="0" t="n">
        <f aca="false">W_PH(B$2,$A320)</f>
        <v>868.964779845289</v>
      </c>
      <c r="C320" s="0" t="n">
        <f aca="false">W_PH(C$2,$A320)</f>
        <v>868.96482614394</v>
      </c>
      <c r="D320" s="0" t="n">
        <f aca="false">W_PH(D$2,$A320)</f>
        <v>868.964872442623</v>
      </c>
      <c r="E320" s="0" t="n">
        <f aca="false">W_PH(E$2,$A320)</f>
        <v>868.964917396152</v>
      </c>
      <c r="F320" s="0" t="n">
        <f aca="false">W_PH(F$2,$A320)</f>
        <v>868.964965040087</v>
      </c>
      <c r="G320" s="0" t="n">
        <f aca="false">W_PH(G$2,$A320)</f>
        <v>868.965422648576</v>
      </c>
      <c r="H320" s="0" t="n">
        <f aca="false">W_PH(H$2,$A320)</f>
        <v>868.965882950658</v>
      </c>
      <c r="I320" s="0" t="n">
        <f aca="false">W_PH(I$2,$A320)</f>
        <v>868.966343255958</v>
      </c>
      <c r="J320" s="0" t="n">
        <f aca="false">W_PH(J$2,$A320)</f>
        <v>868.966800874055</v>
      </c>
      <c r="K320" s="0" t="n">
        <f aca="false">W_PH(K$2,$A320)</f>
        <v>868.967261185784</v>
      </c>
      <c r="L320" s="0" t="n">
        <f aca="false">W_PH(L$2,$A320)</f>
        <v>868.967721500736</v>
      </c>
      <c r="M320" s="0" t="n">
        <f aca="false">W_PH(M$2,$A320)</f>
        <v>868.968179128456</v>
      </c>
      <c r="N320" s="0" t="n">
        <f aca="false">W_PH(N$2,$A320)</f>
        <v>868.968639449847</v>
      </c>
      <c r="O320" s="0" t="n">
        <f aca="false">W_PH(O$2,$A320)</f>
        <v>868.969099774465</v>
      </c>
      <c r="P320" s="0" t="n">
        <f aca="false">W_PH(P$2,$A320)</f>
        <v>868.973695126707</v>
      </c>
      <c r="Q320" s="0" t="n">
        <f aca="false">W_PH(Q$2,$A320)</f>
        <v>868.978288111968</v>
      </c>
      <c r="R320" s="0" t="n">
        <f aca="false">W_PH(R$2,$A320)</f>
        <v>868.982884113091</v>
      </c>
      <c r="S320" s="0" t="n">
        <f aca="false">W_PH(S$2,$A320)</f>
        <v>868.987480441009</v>
      </c>
      <c r="T320" s="0" t="n">
        <f aca="false">W_PH(T$2,$A320)</f>
        <v>868.99207575172</v>
      </c>
      <c r="U320" s="0" t="n">
        <f aca="false">W_PH(U$2,$A320)</f>
        <v>868.996671392171</v>
      </c>
      <c r="V320" s="0" t="n">
        <f aca="false">W_PH(V$2,$A320)</f>
        <v>869.001268709542</v>
      </c>
      <c r="W320" s="0" t="n">
        <f aca="false">W_PH(W$2,$A320)</f>
        <v>869.005863668415</v>
      </c>
      <c r="X320" s="0" t="n">
        <f aca="false">W_PH(X$2,$A320)</f>
        <v>869.010461653035</v>
      </c>
      <c r="Y320" s="0" t="n">
        <f aca="false">W_PH(Y$2,$A320)</f>
        <v>869.056441381624</v>
      </c>
      <c r="Z320" s="0" t="n">
        <f aca="false">W_PH(Z$2,$A320)</f>
        <v>869.102448139981</v>
      </c>
      <c r="AA320" s="0" t="n">
        <f aca="false">W_PH(AA$2,$A320)</f>
        <v>869.148480751715</v>
      </c>
      <c r="AB320" s="0" t="n">
        <f aca="false">W_PH(AB$2,$A320)</f>
        <v>869.194540731191</v>
      </c>
      <c r="AC320" s="0" t="n">
        <f aca="false">W_PH(AC$2,$A320)</f>
        <v>869.240629592008</v>
      </c>
      <c r="AD320" s="0" t="n">
        <f aca="false">W_PH(AD$2,$A320)</f>
        <v>869.286750196253</v>
      </c>
      <c r="AE320" s="0" t="n">
        <f aca="false">W_PH(AE$2,$A320)</f>
        <v>869.332902707884</v>
      </c>
      <c r="AF320" s="0" t="n">
        <f aca="false">W_PH(AF$2,$A320)</f>
        <v>869.379089988617</v>
      </c>
      <c r="AG320" s="0" t="n">
        <f aca="false">W_PH(AG$2,$A320)</f>
        <v>869.425312199713</v>
      </c>
      <c r="AH320" s="0" t="n">
        <f aca="false">W_PH(AH$2,$A320)</f>
        <v>869.889787254215</v>
      </c>
      <c r="AI320" s="0" t="n">
        <f aca="false">W_PH(AI$2,$A320)</f>
        <v>870.359367735953</v>
      </c>
      <c r="AJ320" s="0" t="n">
        <f aca="false">W_PH(AJ$2,$A320)</f>
        <v>870.835488451652</v>
      </c>
      <c r="AK320" s="0" t="n">
        <f aca="false">W_PH(AK$2,$A320)</f>
        <v>871.319573359975</v>
      </c>
      <c r="AL320" s="0" t="n">
        <f aca="false">W_PH(AL$2,$A320)</f>
        <v>871.813039997145</v>
      </c>
      <c r="AM320" s="0" t="n">
        <f aca="false">W_PH(AM$2,$A320)</f>
        <v>872.317298504647</v>
      </c>
      <c r="AN320" s="0" t="n">
        <f aca="false">W_PH(AN$2,$A320)</f>
        <v>872.833759003006</v>
      </c>
      <c r="AO320" s="0" t="n">
        <f aca="false">W_PH(AO$2,$A320)</f>
        <v>873.363819629343</v>
      </c>
      <c r="AP320" s="0" t="n">
        <f aca="false">W_PH(AP$2,$A320)</f>
        <v>2015</v>
      </c>
      <c r="AQ320" s="0" t="n">
        <f aca="false">W_PH(AQ$2,$A320)</f>
        <v>2015</v>
      </c>
      <c r="AR320" s="0" t="n">
        <f aca="false">W_PH(AR$2,$A320)</f>
        <v>2015</v>
      </c>
      <c r="AS320" s="0" t="n">
        <f aca="false">W_PH(AS$2,$A320)</f>
        <v>2015</v>
      </c>
    </row>
    <row r="321" customFormat="false" ht="13.8" hidden="false" customHeight="false" outlineLevel="0" collapsed="false">
      <c r="A321" s="0" t="n">
        <v>4810</v>
      </c>
      <c r="B321" s="0" t="n">
        <f aca="false">W_PH(B$2,$A321)</f>
        <v>870.158831343748</v>
      </c>
      <c r="C321" s="0" t="n">
        <f aca="false">W_PH(C$2,$A321)</f>
        <v>870.158876814574</v>
      </c>
      <c r="D321" s="0" t="n">
        <f aca="false">W_PH(D$2,$A321)</f>
        <v>870.15892497186</v>
      </c>
      <c r="E321" s="0" t="n">
        <f aca="false">W_PH(E$2,$A321)</f>
        <v>870.158970442749</v>
      </c>
      <c r="F321" s="0" t="n">
        <f aca="false">W_PH(F$2,$A321)</f>
        <v>870.159015913669</v>
      </c>
      <c r="G321" s="0" t="n">
        <f aca="false">W_PH(G$2,$A321)</f>
        <v>870.159478683899</v>
      </c>
      <c r="H321" s="0" t="n">
        <f aca="false">W_PH(H$2,$A321)</f>
        <v>870.159938770837</v>
      </c>
      <c r="I321" s="0" t="n">
        <f aca="false">W_PH(I$2,$A321)</f>
        <v>870.160401547383</v>
      </c>
      <c r="J321" s="0" t="n">
        <f aca="false">W_PH(J$2,$A321)</f>
        <v>870.160864327095</v>
      </c>
      <c r="K321" s="0" t="n">
        <f aca="false">W_PH(K$2,$A321)</f>
        <v>870.161324423485</v>
      </c>
      <c r="L321" s="0" t="n">
        <f aca="false">W_PH(L$2,$A321)</f>
        <v>870.161787209522</v>
      </c>
      <c r="M321" s="0" t="n">
        <f aca="false">W_PH(M$2,$A321)</f>
        <v>870.16224999873</v>
      </c>
      <c r="N321" s="0" t="n">
        <f aca="false">W_PH(N$2,$A321)</f>
        <v>870.162710104587</v>
      </c>
      <c r="O321" s="0" t="n">
        <f aca="false">W_PH(O$2,$A321)</f>
        <v>870.163172900129</v>
      </c>
      <c r="P321" s="0" t="n">
        <f aca="false">W_PH(P$2,$A321)</f>
        <v>870.167790283838</v>
      </c>
      <c r="Q321" s="0" t="n">
        <f aca="false">W_PH(Q$2,$A321)</f>
        <v>870.172409329051</v>
      </c>
      <c r="R321" s="0" t="n">
        <f aca="false">W_PH(R$2,$A321)</f>
        <v>870.17702869402</v>
      </c>
      <c r="S321" s="0" t="n">
        <f aca="false">W_PH(S$2,$A321)</f>
        <v>870.181647036766</v>
      </c>
      <c r="T321" s="0" t="n">
        <f aca="false">W_PH(T$2,$A321)</f>
        <v>870.186265702191</v>
      </c>
      <c r="U321" s="0" t="n">
        <f aca="false">W_PH(U$2,$A321)</f>
        <v>870.190884691815</v>
      </c>
      <c r="V321" s="0" t="n">
        <f aca="false">W_PH(V$2,$A321)</f>
        <v>870.195506694501</v>
      </c>
      <c r="W321" s="0" t="n">
        <f aca="false">W_PH(W$2,$A321)</f>
        <v>870.200126337197</v>
      </c>
      <c r="X321" s="0" t="n">
        <f aca="false">W_PH(X$2,$A321)</f>
        <v>870.204746308649</v>
      </c>
      <c r="Y321" s="0" t="n">
        <f aca="false">W_PH(Y$2,$A321)</f>
        <v>870.250959061514</v>
      </c>
      <c r="Z321" s="0" t="n">
        <f aca="false">W_PH(Z$2,$A321)</f>
        <v>870.297198286375</v>
      </c>
      <c r="AA321" s="0" t="n">
        <f aca="false">W_PH(AA$2,$A321)</f>
        <v>870.343464145292</v>
      </c>
      <c r="AB321" s="0" t="n">
        <f aca="false">W_PH(AB$2,$A321)</f>
        <v>870.389756797261</v>
      </c>
      <c r="AC321" s="0" t="n">
        <f aca="false">W_PH(AC$2,$A321)</f>
        <v>870.436079091557</v>
      </c>
      <c r="AD321" s="0" t="n">
        <f aca="false">W_PH(AD$2,$A321)</f>
        <v>870.482431184516</v>
      </c>
      <c r="AE321" s="0" t="n">
        <f aca="false">W_PH(AE$2,$A321)</f>
        <v>870.528814577241</v>
      </c>
      <c r="AF321" s="0" t="n">
        <f aca="false">W_PH(AF$2,$A321)</f>
        <v>870.575233466873</v>
      </c>
      <c r="AG321" s="0" t="n">
        <f aca="false">W_PH(AG$2,$A321)</f>
        <v>870.621685309565</v>
      </c>
      <c r="AH321" s="0" t="n">
        <f aca="false">W_PH(AH$2,$A321)</f>
        <v>871.088437280306</v>
      </c>
      <c r="AI321" s="0" t="n">
        <f aca="false">W_PH(AI$2,$A321)</f>
        <v>871.560237754536</v>
      </c>
      <c r="AJ321" s="0" t="n">
        <f aca="false">W_PH(AJ$2,$A321)</f>
        <v>872.038511237258</v>
      </c>
      <c r="AK321" s="0" t="n">
        <f aca="false">W_PH(AK$2,$A321)</f>
        <v>872.524672936246</v>
      </c>
      <c r="AL321" s="0" t="n">
        <f aca="false">W_PH(AL$2,$A321)</f>
        <v>873.020127693493</v>
      </c>
      <c r="AM321" s="0" t="n">
        <f aca="false">W_PH(AM$2,$A321)</f>
        <v>873.526281365733</v>
      </c>
      <c r="AN321" s="0" t="n">
        <f aca="false">W_PH(AN$2,$A321)</f>
        <v>874.044531687259</v>
      </c>
      <c r="AO321" s="0" t="n">
        <f aca="false">W_PH(AO$2,$A321)</f>
        <v>874.576267302532</v>
      </c>
      <c r="AP321" s="0" t="n">
        <f aca="false">W_PH(AP$2,$A321)</f>
        <v>2015</v>
      </c>
      <c r="AQ321" s="0" t="n">
        <f aca="false">W_PH(AQ$2,$A321)</f>
        <v>2015</v>
      </c>
      <c r="AR321" s="0" t="n">
        <f aca="false">W_PH(AR$2,$A321)</f>
        <v>2015</v>
      </c>
      <c r="AS321" s="0" t="n">
        <f aca="false">W_PH(AS$2,$A321)</f>
        <v>2015</v>
      </c>
    </row>
    <row r="322" customFormat="false" ht="13.8" hidden="false" customHeight="false" outlineLevel="0" collapsed="false">
      <c r="A322" s="0" t="n">
        <v>4820</v>
      </c>
      <c r="B322" s="0" t="n">
        <f aca="false">W_PH(B$2,$A322)</f>
        <v>871.349964468667</v>
      </c>
      <c r="C322" s="0" t="n">
        <f aca="false">W_PH(C$2,$A322)</f>
        <v>871.350010449694</v>
      </c>
      <c r="D322" s="0" t="n">
        <f aca="false">W_PH(D$2,$A322)</f>
        <v>871.350056430751</v>
      </c>
      <c r="E322" s="0" t="n">
        <f aca="false">W_PH(E$2,$A322)</f>
        <v>871.350105094355</v>
      </c>
      <c r="F322" s="0" t="n">
        <f aca="false">W_PH(F$2,$A322)</f>
        <v>871.350151075474</v>
      </c>
      <c r="G322" s="0" t="n">
        <f aca="false">W_PH(G$2,$A322)</f>
        <v>871.350613570884</v>
      </c>
      <c r="H322" s="0" t="n">
        <f aca="false">W_PH(H$2,$A322)</f>
        <v>871.351078751921</v>
      </c>
      <c r="I322" s="0" t="n">
        <f aca="false">W_PH(I$2,$A322)</f>
        <v>871.351542594794</v>
      </c>
      <c r="J322" s="0" t="n">
        <f aca="false">W_PH(J$2,$A322)</f>
        <v>871.352006440769</v>
      </c>
      <c r="K322" s="0" t="n">
        <f aca="false">W_PH(K$2,$A322)</f>
        <v>871.352471631133</v>
      </c>
      <c r="L322" s="0" t="n">
        <f aca="false">W_PH(L$2,$A322)</f>
        <v>871.352934142029</v>
      </c>
      <c r="M322" s="0" t="n">
        <f aca="false">W_PH(M$2,$A322)</f>
        <v>871.353399338616</v>
      </c>
      <c r="N322" s="0" t="n">
        <f aca="false">W_PH(N$2,$A322)</f>
        <v>871.353863197019</v>
      </c>
      <c r="O322" s="0" t="n">
        <f aca="false">W_PH(O$2,$A322)</f>
        <v>871.354327058531</v>
      </c>
      <c r="P322" s="0" t="n">
        <f aca="false">W_PH(P$2,$A322)</f>
        <v>871.358968527731</v>
      </c>
      <c r="Q322" s="0" t="n">
        <f aca="false">W_PH(Q$2,$A322)</f>
        <v>871.363610309752</v>
      </c>
      <c r="R322" s="0" t="n">
        <f aca="false">W_PH(R$2,$A322)</f>
        <v>871.368252406104</v>
      </c>
      <c r="S322" s="0" t="n">
        <f aca="false">W_PH(S$2,$A322)</f>
        <v>871.372894818295</v>
      </c>
      <c r="T322" s="0" t="n">
        <f aca="false">W_PH(T$2,$A322)</f>
        <v>871.377537547834</v>
      </c>
      <c r="U322" s="0" t="n">
        <f aca="false">W_PH(U$2,$A322)</f>
        <v>871.382179254576</v>
      </c>
      <c r="V322" s="0" t="n">
        <f aca="false">W_PH(V$2,$A322)</f>
        <v>871.386821281569</v>
      </c>
      <c r="W322" s="0" t="n">
        <f aca="false">W_PH(W$2,$A322)</f>
        <v>871.391464972086</v>
      </c>
      <c r="X322" s="0" t="n">
        <f aca="false">W_PH(X$2,$A322)</f>
        <v>871.396108985983</v>
      </c>
      <c r="Y322" s="0" t="n">
        <f aca="false">W_PH(Y$2,$A322)</f>
        <v>871.442553818687</v>
      </c>
      <c r="Z322" s="0" t="n">
        <f aca="false">W_PH(Z$2,$A322)</f>
        <v>871.489021892713</v>
      </c>
      <c r="AA322" s="0" t="n">
        <f aca="false">W_PH(AA$2,$A322)</f>
        <v>871.535517388342</v>
      </c>
      <c r="AB322" s="0" t="n">
        <f aca="false">W_PH(AB$2,$A322)</f>
        <v>871.582039113264</v>
      </c>
      <c r="AC322" s="0" t="n">
        <f aca="false">W_PH(AC$2,$A322)</f>
        <v>871.628591248559</v>
      </c>
      <c r="AD322" s="0" t="n">
        <f aca="false">W_PH(AD$2,$A322)</f>
        <v>871.675169907691</v>
      </c>
      <c r="AE322" s="0" t="n">
        <f aca="false">W_PH(AE$2,$A322)</f>
        <v>871.721783306552</v>
      </c>
      <c r="AF322" s="0" t="n">
        <f aca="false">W_PH(AF$2,$A322)</f>
        <v>871.768428900673</v>
      </c>
      <c r="AG322" s="0" t="n">
        <f aca="false">W_PH(AG$2,$A322)</f>
        <v>871.815108178865</v>
      </c>
      <c r="AH322" s="0" t="n">
        <f aca="false">W_PH(AH$2,$A322)</f>
        <v>872.284106305607</v>
      </c>
      <c r="AI322" s="0" t="n">
        <f aca="false">W_PH(AI$2,$A322)</f>
        <v>872.758095911418</v>
      </c>
      <c r="AJ322" s="0" t="n">
        <f aca="false">W_PH(AJ$2,$A322)</f>
        <v>873.23849265425</v>
      </c>
      <c r="AK322" s="0" t="n">
        <f aca="false">W_PH(AK$2,$A322)</f>
        <v>873.726703090048</v>
      </c>
      <c r="AL322" s="0" t="n">
        <f aca="false">W_PH(AL$2,$A322)</f>
        <v>874.224122224374</v>
      </c>
      <c r="AM322" s="0" t="n">
        <f aca="false">W_PH(AM$2,$A322)</f>
        <v>874.732146218899</v>
      </c>
      <c r="AN322" s="0" t="n">
        <f aca="false">W_PH(AN$2,$A322)</f>
        <v>875.252161876612</v>
      </c>
      <c r="AO322" s="0" t="n">
        <f aca="false">W_PH(AO$2,$A322)</f>
        <v>875.785549813113</v>
      </c>
      <c r="AP322" s="0" t="n">
        <f aca="false">W_PH(AP$2,$A322)</f>
        <v>2015</v>
      </c>
      <c r="AQ322" s="0" t="n">
        <f aca="false">W_PH(AQ$2,$A322)</f>
        <v>2015</v>
      </c>
      <c r="AR322" s="0" t="n">
        <f aca="false">W_PH(AR$2,$A322)</f>
        <v>2015</v>
      </c>
      <c r="AS322" s="0" t="n">
        <f aca="false">W_PH(AS$2,$A322)</f>
        <v>2015</v>
      </c>
    </row>
    <row r="323" customFormat="false" ht="13.8" hidden="false" customHeight="false" outlineLevel="0" collapsed="false">
      <c r="A323" s="0" t="n">
        <v>4830</v>
      </c>
      <c r="B323" s="0" t="n">
        <f aca="false">W_PH(B$2,$A323)</f>
        <v>872.538200492207</v>
      </c>
      <c r="C323" s="0" t="n">
        <f aca="false">W_PH(C$2,$A323)</f>
        <v>872.538248315701</v>
      </c>
      <c r="D323" s="0" t="n">
        <f aca="false">W_PH(D$2,$A323)</f>
        <v>872.538294799914</v>
      </c>
      <c r="E323" s="0" t="n">
        <f aca="false">W_PH(E$2,$A323)</f>
        <v>872.538342623471</v>
      </c>
      <c r="F323" s="0" t="n">
        <f aca="false">W_PH(F$2,$A323)</f>
        <v>872.538389107744</v>
      </c>
      <c r="G323" s="0" t="n">
        <f aca="false">W_PH(G$2,$A323)</f>
        <v>872.53885395215</v>
      </c>
      <c r="H323" s="0" t="n">
        <f aca="false">W_PH(H$2,$A323)</f>
        <v>872.539321478243</v>
      </c>
      <c r="I323" s="0" t="n">
        <f aca="false">W_PH(I$2,$A323)</f>
        <v>872.539786328732</v>
      </c>
      <c r="J323" s="0" t="n">
        <f aca="false">W_PH(J$2,$A323)</f>
        <v>872.540253860934</v>
      </c>
      <c r="K323" s="0" t="n">
        <f aca="false">W_PH(K$2,$A323)</f>
        <v>872.540720056856</v>
      </c>
      <c r="L323" s="0" t="n">
        <f aca="false">W_PH(L$2,$A323)</f>
        <v>872.541186255831</v>
      </c>
      <c r="M323" s="0" t="n">
        <f aca="false">W_PH(M$2,$A323)</f>
        <v>872.541653797214</v>
      </c>
      <c r="N323" s="0" t="n">
        <f aca="false">W_PH(N$2,$A323)</f>
        <v>872.542118662945</v>
      </c>
      <c r="O323" s="0" t="n">
        <f aca="false">W_PH(O$2,$A323)</f>
        <v>872.542586210452</v>
      </c>
      <c r="P323" s="0" t="n">
        <f aca="false">W_PH(P$2,$A323)</f>
        <v>872.547251139255</v>
      </c>
      <c r="Q323" s="0" t="n">
        <f aca="false">W_PH(Q$2,$A323)</f>
        <v>872.551913696704</v>
      </c>
      <c r="R323" s="0" t="n">
        <f aca="false">W_PH(R$2,$A323)</f>
        <v>872.556579242097</v>
      </c>
      <c r="S323" s="0" t="n">
        <f aca="false">W_PH(S$2,$A323)</f>
        <v>872.561245098088</v>
      </c>
      <c r="T323" s="0" t="n">
        <f aca="false">W_PH(T$2,$A323)</f>
        <v>872.56590858688</v>
      </c>
      <c r="U323" s="0" t="n">
        <f aca="false">W_PH(U$2,$A323)</f>
        <v>872.570575068446</v>
      </c>
      <c r="V323" s="0" t="n">
        <f aca="false">W_PH(V$2,$A323)</f>
        <v>872.575239185583</v>
      </c>
      <c r="W323" s="0" t="n">
        <f aca="false">W_PH(W$2,$A323)</f>
        <v>872.579906298713</v>
      </c>
      <c r="X323" s="0" t="n">
        <f aca="false">W_PH(X$2,$A323)</f>
        <v>872.584571050183</v>
      </c>
      <c r="Y323" s="0" t="n">
        <f aca="false">W_PH(Y$2,$A323)</f>
        <v>872.631244419062</v>
      </c>
      <c r="Z323" s="0" t="n">
        <f aca="false">W_PH(Z$2,$A323)</f>
        <v>872.677940498932</v>
      </c>
      <c r="AA323" s="0" t="n">
        <f aca="false">W_PH(AA$2,$A323)</f>
        <v>872.724660772229</v>
      </c>
      <c r="AB323" s="0" t="n">
        <f aca="false">W_PH(AB$2,$A323)</f>
        <v>872.771409404913</v>
      </c>
      <c r="AC323" s="0" t="n">
        <f aca="false">W_PH(AC$2,$A323)</f>
        <v>872.818186538667</v>
      </c>
      <c r="AD323" s="0" t="n">
        <f aca="false">W_PH(AD$2,$A323)</f>
        <v>872.864992312204</v>
      </c>
      <c r="AE323" s="0" t="n">
        <f aca="false">W_PH(AE$2,$A323)</f>
        <v>872.911829548893</v>
      </c>
      <c r="AF323" s="0" t="n">
        <f aca="false">W_PH(AF$2,$A323)</f>
        <v>872.958701073629</v>
      </c>
      <c r="AG323" s="0" t="n">
        <f aca="false">W_PH(AG$2,$A323)</f>
        <v>873.005602988197</v>
      </c>
      <c r="AH323" s="0" t="n">
        <f aca="false">W_PH(AH$2,$A323)</f>
        <v>873.47681469672</v>
      </c>
      <c r="AI323" s="0" t="n">
        <f aca="false">W_PH(AI$2,$A323)</f>
        <v>873.952966143929</v>
      </c>
      <c r="AJ323" s="0" t="n">
        <f aca="false">W_PH(AJ$2,$A323)</f>
        <v>874.435458846205</v>
      </c>
      <c r="AK323" s="0" t="n">
        <f aca="false">W_PH(AK$2,$A323)</f>
        <v>874.925689421845</v>
      </c>
      <c r="AL323" s="0" t="n">
        <f aca="false">W_PH(AL$2,$A323)</f>
        <v>875.425047222351</v>
      </c>
      <c r="AM323" s="0" t="n">
        <f aca="false">W_PH(AM$2,$A323)</f>
        <v>875.934914692717</v>
      </c>
      <c r="AN323" s="0" t="n">
        <f aca="false">W_PH(AN$2,$A323)</f>
        <v>876.456670534974</v>
      </c>
      <c r="AO323" s="0" t="n">
        <f aca="false">W_PH(AO$2,$A323)</f>
        <v>876.991690194317</v>
      </c>
      <c r="AP323" s="0" t="n">
        <f aca="false">W_PH(AP$2,$A323)</f>
        <v>2015</v>
      </c>
      <c r="AQ323" s="0" t="n">
        <f aca="false">W_PH(AQ$2,$A323)</f>
        <v>2015</v>
      </c>
      <c r="AR323" s="0" t="n">
        <f aca="false">W_PH(AR$2,$A323)</f>
        <v>2015</v>
      </c>
      <c r="AS323" s="0" t="n">
        <f aca="false">W_PH(AS$2,$A323)</f>
        <v>2015</v>
      </c>
    </row>
    <row r="324" customFormat="false" ht="13.8" hidden="false" customHeight="false" outlineLevel="0" collapsed="false">
      <c r="A324" s="0" t="n">
        <v>4840</v>
      </c>
      <c r="B324" s="0" t="n">
        <f aca="false">W_PH(B$2,$A324)</f>
        <v>873.723563129164</v>
      </c>
      <c r="C324" s="0" t="n">
        <f aca="false">W_PH(C$2,$A324)</f>
        <v>873.723610109567</v>
      </c>
      <c r="D324" s="0" t="n">
        <f aca="false">W_PH(D$2,$A324)</f>
        <v>873.723657090001</v>
      </c>
      <c r="E324" s="0" t="n">
        <f aca="false">W_PH(E$2,$A324)</f>
        <v>873.723704070465</v>
      </c>
      <c r="F324" s="0" t="n">
        <f aca="false">W_PH(F$2,$A324)</f>
        <v>873.723751050959</v>
      </c>
      <c r="G324" s="0" t="n">
        <f aca="false">W_PH(G$2,$A324)</f>
        <v>873.72422085755</v>
      </c>
      <c r="H324" s="0" t="n">
        <f aca="false">W_PH(H$2,$A324)</f>
        <v>873.724687992356</v>
      </c>
      <c r="I324" s="0" t="n">
        <f aca="false">W_PH(I$2,$A324)</f>
        <v>873.725157804951</v>
      </c>
      <c r="J324" s="0" t="n">
        <f aca="false">W_PH(J$2,$A324)</f>
        <v>873.725626283149</v>
      </c>
      <c r="K324" s="0" t="n">
        <f aca="false">W_PH(K$2,$A324)</f>
        <v>873.726094764347</v>
      </c>
      <c r="L324" s="0" t="n">
        <f aca="false">W_PH(L$2,$A324)</f>
        <v>873.726564585965</v>
      </c>
      <c r="M324" s="0" t="n">
        <f aca="false">W_PH(M$2,$A324)</f>
        <v>873.72703173575</v>
      </c>
      <c r="N324" s="0" t="n">
        <f aca="false">W_PH(N$2,$A324)</f>
        <v>873.727501563386</v>
      </c>
      <c r="O324" s="0" t="n">
        <f aca="false">W_PH(O$2,$A324)</f>
        <v>873.72796871917</v>
      </c>
      <c r="P324" s="0" t="n">
        <f aca="false">W_PH(P$2,$A324)</f>
        <v>873.732656491942</v>
      </c>
      <c r="Q324" s="0" t="n">
        <f aca="false">W_PH(Q$2,$A324)</f>
        <v>873.737343229631</v>
      </c>
      <c r="R324" s="0" t="n">
        <f aca="false">W_PH(R$2,$A324)</f>
        <v>873.742030271155</v>
      </c>
      <c r="S324" s="0" t="n">
        <f aca="false">W_PH(S$2,$A324)</f>
        <v>873.746717618004</v>
      </c>
      <c r="T324" s="0" t="n">
        <f aca="false">W_PH(T$2,$A324)</f>
        <v>873.751405271663</v>
      </c>
      <c r="U324" s="0" t="n">
        <f aca="false">W_PH(U$2,$A324)</f>
        <v>873.75609189585</v>
      </c>
      <c r="V324" s="0" t="n">
        <f aca="false">W_PH(V$2,$A324)</f>
        <v>873.760781505358</v>
      </c>
      <c r="W324" s="0" t="n">
        <f aca="false">W_PH(W$2,$A324)</f>
        <v>873.765468750487</v>
      </c>
      <c r="X324" s="0" t="n">
        <f aca="false">W_PH(X$2,$A324)</f>
        <v>873.77015630826</v>
      </c>
      <c r="Y324" s="0" t="n">
        <f aca="false">W_PH(Y$2,$A324)</f>
        <v>873.81705476235</v>
      </c>
      <c r="Z324" s="0" t="n">
        <f aca="false">W_PH(Z$2,$A324)</f>
        <v>873.863974068318</v>
      </c>
      <c r="AA324" s="0" t="n">
        <f aca="false">W_PH(AA$2,$A324)</f>
        <v>873.91091971508</v>
      </c>
      <c r="AB324" s="0" t="n">
        <f aca="false">W_PH(AB$2,$A324)</f>
        <v>873.957891836883</v>
      </c>
      <c r="AC324" s="0" t="n">
        <f aca="false">W_PH(AC$2,$A324)</f>
        <v>874.004890565043</v>
      </c>
      <c r="AD324" s="0" t="n">
        <f aca="false">W_PH(AD$2,$A324)</f>
        <v>874.051920051765</v>
      </c>
      <c r="AE324" s="0" t="n">
        <f aca="false">W_PH(AE$2,$A324)</f>
        <v>874.098979085694</v>
      </c>
      <c r="AF324" s="0" t="n">
        <f aca="false">W_PH(AF$2,$A324)</f>
        <v>874.146069135101</v>
      </c>
      <c r="AG324" s="0" t="n">
        <f aca="false">W_PH(AG$2,$A324)</f>
        <v>874.19319435342</v>
      </c>
      <c r="AH324" s="0" t="n">
        <f aca="false">W_PH(AH$2,$A324)</f>
        <v>874.666590658733</v>
      </c>
      <c r="AI324" s="0" t="n">
        <f aca="false">W_PH(AI$2,$A324)</f>
        <v>875.144872102998</v>
      </c>
      <c r="AJ324" s="0" t="n">
        <f aca="false">W_PH(AJ$2,$A324)</f>
        <v>875.629432925678</v>
      </c>
      <c r="AK324" s="0" t="n">
        <f aca="false">W_PH(AK$2,$A324)</f>
        <v>876.121657211628</v>
      </c>
      <c r="AL324" s="0" t="n">
        <f aca="false">W_PH(AL$2,$A324)</f>
        <v>876.62292463226</v>
      </c>
      <c r="AM324" s="0" t="n">
        <f aca="false">W_PH(AM$2,$A324)</f>
        <v>877.134613601383</v>
      </c>
      <c r="AN324" s="0" t="n">
        <f aca="false">W_PH(AN$2,$A324)</f>
        <v>877.658089347055</v>
      </c>
      <c r="AO324" s="0" t="n">
        <f aca="false">W_PH(AO$2,$A324)</f>
        <v>878.194716676484</v>
      </c>
      <c r="AP324" s="0" t="n">
        <f aca="false">W_PH(AP$2,$A324)</f>
        <v>2015</v>
      </c>
      <c r="AQ324" s="0" t="n">
        <f aca="false">W_PH(AQ$2,$A324)</f>
        <v>2015</v>
      </c>
      <c r="AR324" s="0" t="n">
        <f aca="false">W_PH(AR$2,$A324)</f>
        <v>2015</v>
      </c>
      <c r="AS324" s="0" t="n">
        <f aca="false">W_PH(AS$2,$A324)</f>
        <v>2015</v>
      </c>
    </row>
    <row r="325" customFormat="false" ht="13.8" hidden="false" customHeight="false" outlineLevel="0" collapsed="false">
      <c r="A325" s="0" t="n">
        <v>4850</v>
      </c>
      <c r="B325" s="0" t="n">
        <f aca="false">W_PH(B$2,$A325)</f>
        <v>874.90607318003</v>
      </c>
      <c r="C325" s="0" t="n">
        <f aca="false">W_PH(C$2,$A325)</f>
        <v>874.906120649833</v>
      </c>
      <c r="D325" s="0" t="n">
        <f aca="false">W_PH(D$2,$A325)</f>
        <v>874.906168119666</v>
      </c>
      <c r="E325" s="0" t="n">
        <f aca="false">W_PH(E$2,$A325)</f>
        <v>874.906215589528</v>
      </c>
      <c r="F325" s="0" t="n">
        <f aca="false">W_PH(F$2,$A325)</f>
        <v>874.90626305942</v>
      </c>
      <c r="G325" s="0" t="n">
        <f aca="false">W_PH(G$2,$A325)</f>
        <v>874.906732418085</v>
      </c>
      <c r="H325" s="0" t="n">
        <f aca="false">W_PH(H$2,$A325)</f>
        <v>874.907204450643</v>
      </c>
      <c r="I325" s="0" t="n">
        <f aca="false">W_PH(I$2,$A325)</f>
        <v>874.907673815189</v>
      </c>
      <c r="J325" s="0" t="n">
        <f aca="false">W_PH(J$2,$A325)</f>
        <v>874.908145853652</v>
      </c>
      <c r="K325" s="0" t="n">
        <f aca="false">W_PH(K$2,$A325)</f>
        <v>874.908617895076</v>
      </c>
      <c r="L325" s="0" t="n">
        <f aca="false">W_PH(L$2,$A325)</f>
        <v>874.90908726846</v>
      </c>
      <c r="M325" s="0" t="n">
        <f aca="false">W_PH(M$2,$A325)</f>
        <v>874.909559315798</v>
      </c>
      <c r="N325" s="0" t="n">
        <f aca="false">W_PH(N$2,$A325)</f>
        <v>874.910028695078</v>
      </c>
      <c r="O325" s="0" t="n">
        <f aca="false">W_PH(O$2,$A325)</f>
        <v>874.910500748337</v>
      </c>
      <c r="P325" s="0" t="n">
        <f aca="false">W_PH(P$2,$A325)</f>
        <v>874.915208088688</v>
      </c>
      <c r="Q325" s="0" t="n">
        <f aca="false">W_PH(Q$2,$A325)</f>
        <v>874.919918397471</v>
      </c>
      <c r="R325" s="0" t="n">
        <f aca="false">W_PH(R$2,$A325)</f>
        <v>874.924626333763</v>
      </c>
      <c r="S325" s="0" t="n">
        <f aca="false">W_PH(S$2,$A325)</f>
        <v>874.929337241661</v>
      </c>
      <c r="T325" s="0" t="n">
        <f aca="false">W_PH(T$2,$A325)</f>
        <v>874.934045779798</v>
      </c>
      <c r="U325" s="0" t="n">
        <f aca="false">W_PH(U$2,$A325)</f>
        <v>874.938757292712</v>
      </c>
      <c r="V325" s="0" t="n">
        <f aca="false">W_PH(V$2,$A325)</f>
        <v>874.943466438597</v>
      </c>
      <c r="W325" s="0" t="n">
        <f aca="false">W_PH(W$2,$A325)</f>
        <v>874.948175890515</v>
      </c>
      <c r="X325" s="0" t="n">
        <f aca="false">W_PH(X$2,$A325)</f>
        <v>874.952888321967</v>
      </c>
      <c r="Y325" s="0" t="n">
        <f aca="false">W_PH(Y$2,$A325)</f>
        <v>875.000005827984</v>
      </c>
      <c r="Z325" s="0" t="n">
        <f aca="false">W_PH(Z$2,$A325)</f>
        <v>875.047146349846</v>
      </c>
      <c r="AA325" s="0" t="n">
        <f aca="false">W_PH(AA$2,$A325)</f>
        <v>875.094312688094</v>
      </c>
      <c r="AB325" s="0" t="n">
        <f aca="false">W_PH(AB$2,$A325)</f>
        <v>875.141503630147</v>
      </c>
      <c r="AC325" s="0" t="n">
        <f aca="false">W_PH(AC$2,$A325)</f>
        <v>875.188723313375</v>
      </c>
      <c r="AD325" s="0" t="n">
        <f aca="false">W_PH(AD$2,$A325)</f>
        <v>875.235971860935</v>
      </c>
      <c r="AE325" s="0" t="n">
        <f aca="false">W_PH(AE$2,$A325)</f>
        <v>875.283249393104</v>
      </c>
      <c r="AF325" s="0" t="n">
        <f aca="false">W_PH(AF$2,$A325)</f>
        <v>875.33056004849</v>
      </c>
      <c r="AG325" s="0" t="n">
        <f aca="false">W_PH(AG$2,$A325)</f>
        <v>875.377902605609</v>
      </c>
      <c r="AH325" s="0" t="n">
        <f aca="false">W_PH(AH$2,$A325)</f>
        <v>875.853454021701</v>
      </c>
      <c r="AI325" s="0" t="n">
        <f aca="false">W_PH(AI$2,$A325)</f>
        <v>876.333837158509</v>
      </c>
      <c r="AJ325" s="0" t="n">
        <f aca="false">W_PH(AJ$2,$A325)</f>
        <v>876.820436359024</v>
      </c>
      <c r="AK325" s="0" t="n">
        <f aca="false">W_PH(AK$2,$A325)</f>
        <v>877.314628700391</v>
      </c>
      <c r="AL325" s="0" t="n">
        <f aca="false">W_PH(AL$2,$A325)</f>
        <v>877.817782933902</v>
      </c>
      <c r="AM325" s="0" t="n">
        <f aca="false">W_PH(AM$2,$A325)</f>
        <v>878.331266668215</v>
      </c>
      <c r="AN325" s="0" t="n">
        <f aca="false">W_PH(AN$2,$A325)</f>
        <v>878.856438587686</v>
      </c>
      <c r="AO325" s="0" t="n">
        <f aca="false">W_PH(AO$2,$A325)</f>
        <v>879.394654350303</v>
      </c>
      <c r="AP325" s="0" t="n">
        <f aca="false">W_PH(AP$2,$A325)</f>
        <v>2015</v>
      </c>
      <c r="AQ325" s="0" t="n">
        <f aca="false">W_PH(AQ$2,$A325)</f>
        <v>2015</v>
      </c>
      <c r="AR325" s="0" t="n">
        <f aca="false">W_PH(AR$2,$A325)</f>
        <v>2015</v>
      </c>
      <c r="AS325" s="0" t="n">
        <f aca="false">W_PH(AS$2,$A325)</f>
        <v>2015</v>
      </c>
    </row>
    <row r="326" customFormat="false" ht="13.8" hidden="false" customHeight="false" outlineLevel="0" collapsed="false">
      <c r="A326" s="0" t="n">
        <v>4860</v>
      </c>
      <c r="B326" s="0" t="n">
        <f aca="false">W_PH(B$2,$A326)</f>
        <v>876.085752554974</v>
      </c>
      <c r="C326" s="0" t="n">
        <f aca="false">W_PH(C$2,$A326)</f>
        <v>876.085799173898</v>
      </c>
      <c r="D326" s="0" t="n">
        <f aca="false">W_PH(D$2,$A326)</f>
        <v>876.085847126415</v>
      </c>
      <c r="E326" s="0" t="n">
        <f aca="false">W_PH(E$2,$A326)</f>
        <v>876.085895078961</v>
      </c>
      <c r="F326" s="0" t="n">
        <f aca="false">W_PH(F$2,$A326)</f>
        <v>876.085941697971</v>
      </c>
      <c r="G326" s="0" t="n">
        <f aca="false">W_PH(G$2,$A326)</f>
        <v>876.08641455749</v>
      </c>
      <c r="H326" s="0" t="n">
        <f aca="false">W_PH(H$2,$A326)</f>
        <v>876.08688875348</v>
      </c>
      <c r="I326" s="0" t="n">
        <f aca="false">W_PH(I$2,$A326)</f>
        <v>876.087360285215</v>
      </c>
      <c r="J326" s="0" t="n">
        <f aca="false">W_PH(J$2,$A326)</f>
        <v>876.087834487011</v>
      </c>
      <c r="K326" s="0" t="n">
        <f aca="false">W_PH(K$2,$A326)</f>
        <v>876.088306024534</v>
      </c>
      <c r="L326" s="0" t="n">
        <f aca="false">W_PH(L$2,$A326)</f>
        <v>876.088780232143</v>
      </c>
      <c r="M326" s="0" t="n">
        <f aca="false">W_PH(M$2,$A326)</f>
        <v>876.089253109062</v>
      </c>
      <c r="N326" s="0" t="n">
        <f aca="false">W_PH(N$2,$A326)</f>
        <v>876.089725988886</v>
      </c>
      <c r="O326" s="0" t="n">
        <f aca="false">W_PH(O$2,$A326)</f>
        <v>876.090200205229</v>
      </c>
      <c r="P326" s="0" t="n">
        <f aca="false">W_PH(P$2,$A326)</f>
        <v>876.09492919272</v>
      </c>
      <c r="Q326" s="0" t="n">
        <f aca="false">W_PH(Q$2,$A326)</f>
        <v>876.099661139848</v>
      </c>
      <c r="R326" s="0" t="n">
        <f aca="false">W_PH(R$2,$A326)</f>
        <v>876.104392047075</v>
      </c>
      <c r="S326" s="0" t="n">
        <f aca="false">W_PH(S$2,$A326)</f>
        <v>876.109123249534</v>
      </c>
      <c r="T326" s="0" t="n">
        <f aca="false">W_PH(T$2,$A326)</f>
        <v>876.113856082576</v>
      </c>
      <c r="U326" s="0" t="n">
        <f aca="false">W_PH(U$2,$A326)</f>
        <v>876.118586546008</v>
      </c>
      <c r="V326" s="0" t="n">
        <f aca="false">W_PH(V$2,$A326)</f>
        <v>876.123318642954</v>
      </c>
      <c r="W326" s="0" t="n">
        <f aca="false">W_PH(W$2,$A326)</f>
        <v>876.128051040992</v>
      </c>
      <c r="X326" s="0" t="n">
        <f aca="false">W_PH(X$2,$A326)</f>
        <v>876.132782407484</v>
      </c>
      <c r="Y326" s="0" t="n">
        <f aca="false">W_PH(Y$2,$A326)</f>
        <v>876.180118367915</v>
      </c>
      <c r="Z326" s="0" t="n">
        <f aca="false">W_PH(Z$2,$A326)</f>
        <v>876.227478177377</v>
      </c>
      <c r="AA326" s="0" t="n">
        <f aca="false">W_PH(AA$2,$A326)</f>
        <v>876.274860618466</v>
      </c>
      <c r="AB326" s="0" t="n">
        <f aca="false">W_PH(AB$2,$A326)</f>
        <v>876.322269813862</v>
      </c>
      <c r="AC326" s="0" t="n">
        <f aca="false">W_PH(AC$2,$A326)</f>
        <v>876.369705879462</v>
      </c>
      <c r="AD326" s="0" t="n">
        <f aca="false">W_PH(AD$2,$A326)</f>
        <v>876.417170265683</v>
      </c>
      <c r="AE326" s="0" t="n">
        <f aca="false">W_PH(AE$2,$A326)</f>
        <v>876.464664422274</v>
      </c>
      <c r="AF326" s="0" t="n">
        <f aca="false">W_PH(AF$2,$A326)</f>
        <v>876.512189798316</v>
      </c>
      <c r="AG326" s="0" t="n">
        <f aca="false">W_PH(AG$2,$A326)</f>
        <v>876.559747842226</v>
      </c>
      <c r="AH326" s="0" t="n">
        <f aca="false">W_PH(AH$2,$A326)</f>
        <v>877.037427061939</v>
      </c>
      <c r="AI326" s="0" t="n">
        <f aca="false">W_PH(AI$2,$A326)</f>
        <v>877.519884404521</v>
      </c>
      <c r="AJ326" s="0" t="n">
        <f aca="false">W_PH(AJ$2,$A326)</f>
        <v>878.008495757349</v>
      </c>
      <c r="AK326" s="0" t="n">
        <f aca="false">W_PH(AK$2,$A326)</f>
        <v>878.504628558869</v>
      </c>
      <c r="AL326" s="0" t="n">
        <f aca="false">W_PH(AL$2,$A326)</f>
        <v>879.009643438593</v>
      </c>
      <c r="AM326" s="0" t="n">
        <f aca="false">W_PH(AM$2,$A326)</f>
        <v>879.5248972963</v>
      </c>
      <c r="AN326" s="0" t="n">
        <f aca="false">W_PH(AN$2,$A326)</f>
        <v>880.051743726857</v>
      </c>
      <c r="AO326" s="0" t="n">
        <f aca="false">W_PH(AO$2,$A326)</f>
        <v>880.591525198917</v>
      </c>
      <c r="AP326" s="0" t="n">
        <f aca="false">W_PH(AP$2,$A326)</f>
        <v>2015</v>
      </c>
      <c r="AQ326" s="0" t="n">
        <f aca="false">W_PH(AQ$2,$A326)</f>
        <v>2015</v>
      </c>
      <c r="AR326" s="0" t="n">
        <f aca="false">W_PH(AR$2,$A326)</f>
        <v>2015</v>
      </c>
      <c r="AS326" s="0" t="n">
        <f aca="false">W_PH(AS$2,$A326)</f>
        <v>2015</v>
      </c>
    </row>
    <row r="327" customFormat="false" ht="13.8" hidden="false" customHeight="false" outlineLevel="0" collapsed="false">
      <c r="A327" s="0" t="n">
        <v>4870</v>
      </c>
      <c r="B327" s="0" t="n">
        <f aca="false">W_PH(B$2,$A327)</f>
        <v>877.262620273274</v>
      </c>
      <c r="C327" s="0" t="n">
        <f aca="false">W_PH(C$2,$A327)</f>
        <v>877.262668701837</v>
      </c>
      <c r="D327" s="0" t="n">
        <f aca="false">W_PH(D$2,$A327)</f>
        <v>877.262715798755</v>
      </c>
      <c r="E327" s="0" t="n">
        <f aca="false">W_PH(E$2,$A327)</f>
        <v>877.262762895701</v>
      </c>
      <c r="F327" s="0" t="n">
        <f aca="false">W_PH(F$2,$A327)</f>
        <v>877.26281132435</v>
      </c>
      <c r="G327" s="0" t="n">
        <f aca="false">W_PH(G$2,$A327)</f>
        <v>877.263286290685</v>
      </c>
      <c r="H327" s="0" t="n">
        <f aca="false">W_PH(H$2,$A327)</f>
        <v>877.263761259867</v>
      </c>
      <c r="I327" s="0" t="n">
        <f aca="false">W_PH(I$2,$A327)</f>
        <v>877.264237563588</v>
      </c>
      <c r="J327" s="0" t="n">
        <f aca="false">W_PH(J$2,$A327)</f>
        <v>877.264711206775</v>
      </c>
      <c r="K327" s="0" t="n">
        <f aca="false">W_PH(K$2,$A327)</f>
        <v>877.265187516208</v>
      </c>
      <c r="L327" s="0" t="n">
        <f aca="false">W_PH(L$2,$A327)</f>
        <v>877.265661165088</v>
      </c>
      <c r="M327" s="0" t="n">
        <f aca="false">W_PH(M$2,$A327)</f>
        <v>877.266137480238</v>
      </c>
      <c r="N327" s="0" t="n">
        <f aca="false">W_PH(N$2,$A327)</f>
        <v>877.266613798253</v>
      </c>
      <c r="O327" s="0" t="n">
        <f aca="false">W_PH(O$2,$A327)</f>
        <v>877.267087455689</v>
      </c>
      <c r="P327" s="0" t="n">
        <f aca="false">W_PH(P$2,$A327)</f>
        <v>877.271840168229</v>
      </c>
      <c r="Q327" s="0" t="n">
        <f aca="false">W_PH(Q$2,$A327)</f>
        <v>877.276593168267</v>
      </c>
      <c r="R327" s="0" t="n">
        <f aca="false">W_PH(R$2,$A327)</f>
        <v>877.281346457257</v>
      </c>
      <c r="S327" s="0" t="n">
        <f aca="false">W_PH(S$2,$A327)</f>
        <v>877.286097372777</v>
      </c>
      <c r="T327" s="0" t="n">
        <f aca="false">W_PH(T$2,$A327)</f>
        <v>877.290851243928</v>
      </c>
      <c r="U327" s="0" t="n">
        <f aca="false">W_PH(U$2,$A327)</f>
        <v>877.295605408395</v>
      </c>
      <c r="V327" s="0" t="n">
        <f aca="false">W_PH(V$2,$A327)</f>
        <v>877.300357203433</v>
      </c>
      <c r="W327" s="0" t="n">
        <f aca="false">W_PH(W$2,$A327)</f>
        <v>877.30511195879</v>
      </c>
      <c r="X327" s="0" t="n">
        <f aca="false">W_PH(X$2,$A327)</f>
        <v>877.309865679618</v>
      </c>
      <c r="Y327" s="0" t="n">
        <f aca="false">W_PH(Y$2,$A327)</f>
        <v>877.357416908837</v>
      </c>
      <c r="Z327" s="0" t="n">
        <f aca="false">W_PH(Z$2,$A327)</f>
        <v>877.404990159605</v>
      </c>
      <c r="AA327" s="0" t="n">
        <f aca="false">W_PH(AA$2,$A327)</f>
        <v>877.452588207839</v>
      </c>
      <c r="AB327" s="0" t="n">
        <f aca="false">W_PH(AB$2,$A327)</f>
        <v>877.500212496587</v>
      </c>
      <c r="AC327" s="0" t="n">
        <f aca="false">W_PH(AC$2,$A327)</f>
        <v>877.54786046358</v>
      </c>
      <c r="AD327" s="0" t="n">
        <f aca="false">W_PH(AD$2,$A327)</f>
        <v>877.595538887426</v>
      </c>
      <c r="AE327" s="0" t="n">
        <f aca="false">W_PH(AE$2,$A327)</f>
        <v>877.643245202941</v>
      </c>
      <c r="AF327" s="0" t="n">
        <f aca="false">W_PH(AF$2,$A327)</f>
        <v>877.690984856822</v>
      </c>
      <c r="AG327" s="0" t="n">
        <f aca="false">W_PH(AG$2,$A327)</f>
        <v>877.738755279377</v>
      </c>
      <c r="AH327" s="0" t="n">
        <f aca="false">W_PH(AH$2,$A327)</f>
        <v>878.218529116893</v>
      </c>
      <c r="AI327" s="0" t="n">
        <f aca="false">W_PH(AI$2,$A327)</f>
        <v>878.703033969186</v>
      </c>
      <c r="AJ327" s="0" t="n">
        <f aca="false">W_PH(AJ$2,$A327)</f>
        <v>879.193629310837</v>
      </c>
      <c r="AK327" s="0" t="n">
        <f aca="false">W_PH(AK$2,$A327)</f>
        <v>879.691677081422</v>
      </c>
      <c r="AL327" s="0" t="n">
        <f aca="false">W_PH(AL$2,$A327)</f>
        <v>880.19852716719</v>
      </c>
      <c r="AM327" s="0" t="n">
        <f aca="false">W_PH(AM$2,$A327)</f>
        <v>880.715531310478</v>
      </c>
      <c r="AN327" s="0" t="n">
        <f aca="false">W_PH(AN$2,$A327)</f>
        <v>881.244027151722</v>
      </c>
      <c r="AO327" s="0" t="n">
        <f aca="false">W_PH(AO$2,$A327)</f>
        <v>881.785353638857</v>
      </c>
      <c r="AP327" s="0" t="n">
        <f aca="false">W_PH(AP$2,$A327)</f>
        <v>2015</v>
      </c>
      <c r="AQ327" s="0" t="n">
        <f aca="false">W_PH(AQ$2,$A327)</f>
        <v>2015</v>
      </c>
      <c r="AR327" s="0" t="n">
        <f aca="false">W_PH(AR$2,$A327)</f>
        <v>2015</v>
      </c>
      <c r="AS327" s="0" t="n">
        <f aca="false">W_PH(AS$2,$A327)</f>
        <v>2015</v>
      </c>
    </row>
    <row r="328" customFormat="false" ht="13.8" hidden="false" customHeight="false" outlineLevel="0" collapsed="false">
      <c r="A328" s="0" t="n">
        <v>4880</v>
      </c>
      <c r="B328" s="0" t="n">
        <f aca="false">W_PH(B$2,$A328)</f>
        <v>878.436700464814</v>
      </c>
      <c r="C328" s="0" t="n">
        <f aca="false">W_PH(C$2,$A328)</f>
        <v>878.436746703353</v>
      </c>
      <c r="D328" s="0" t="n">
        <f aca="false">W_PH(D$2,$A328)</f>
        <v>878.436795601515</v>
      </c>
      <c r="E328" s="0" t="n">
        <f aca="false">W_PH(E$2,$A328)</f>
        <v>878.436843169908</v>
      </c>
      <c r="F328" s="0" t="n">
        <f aca="false">W_PH(F$2,$A328)</f>
        <v>878.436890738328</v>
      </c>
      <c r="G328" s="0" t="n">
        <f aca="false">W_PH(G$2,$A328)</f>
        <v>878.437369083673</v>
      </c>
      <c r="H328" s="0" t="n">
        <f aca="false">W_PH(H$2,$A328)</f>
        <v>878.437844772208</v>
      </c>
      <c r="I328" s="0" t="n">
        <f aca="false">W_PH(I$2,$A328)</f>
        <v>878.438323123161</v>
      </c>
      <c r="J328" s="0" t="n">
        <f aca="false">W_PH(J$2,$A328)</f>
        <v>878.438800147107</v>
      </c>
      <c r="K328" s="0" t="n">
        <f aca="false">W_PH(K$2,$A328)</f>
        <v>878.439277173855</v>
      </c>
      <c r="L328" s="0" t="n">
        <f aca="false">W_PH(L$2,$A328)</f>
        <v>878.439755533238</v>
      </c>
      <c r="M328" s="0" t="n">
        <f aca="false">W_PH(M$2,$A328)</f>
        <v>878.440231235766</v>
      </c>
      <c r="N328" s="0" t="n">
        <f aca="false">W_PH(N$2,$A328)</f>
        <v>878.440709600773</v>
      </c>
      <c r="O328" s="0" t="n">
        <f aca="false">W_PH(O$2,$A328)</f>
        <v>878.441187968599</v>
      </c>
      <c r="P328" s="0" t="n">
        <f aca="false">W_PH(P$2,$A328)</f>
        <v>878.445961163033</v>
      </c>
      <c r="Q328" s="0" t="n">
        <f aca="false">W_PH(Q$2,$A328)</f>
        <v>878.450734640126</v>
      </c>
      <c r="R328" s="0" t="n">
        <f aca="false">W_PH(R$2,$A328)</f>
        <v>878.455508401321</v>
      </c>
      <c r="S328" s="0" t="n">
        <f aca="false">W_PH(S$2,$A328)</f>
        <v>878.460282448064</v>
      </c>
      <c r="T328" s="0" t="n">
        <f aca="false">W_PH(T$2,$A328)</f>
        <v>878.465056781799</v>
      </c>
      <c r="U328" s="0" t="n">
        <f aca="false">W_PH(U$2,$A328)</f>
        <v>878.46983140397</v>
      </c>
      <c r="V328" s="0" t="n">
        <f aca="false">W_PH(V$2,$A328)</f>
        <v>878.47460631602</v>
      </c>
      <c r="W328" s="0" t="n">
        <f aca="false">W_PH(W$2,$A328)</f>
        <v>878.479381519395</v>
      </c>
      <c r="X328" s="0" t="n">
        <f aca="false">W_PH(X$2,$A328)</f>
        <v>878.484157015539</v>
      </c>
      <c r="Y328" s="0" t="n">
        <f aca="false">W_PH(Y$2,$A328)</f>
        <v>878.531920411758</v>
      </c>
      <c r="Z328" s="0" t="n">
        <f aca="false">W_PH(Z$2,$A328)</f>
        <v>878.579705346766</v>
      </c>
      <c r="AA328" s="0" t="n">
        <f aca="false">W_PH(AA$2,$A328)</f>
        <v>878.627514584355</v>
      </c>
      <c r="AB328" s="0" t="n">
        <f aca="false">W_PH(AB$2,$A328)</f>
        <v>878.675348224908</v>
      </c>
      <c r="AC328" s="0" t="n">
        <f aca="false">W_PH(AC$2,$A328)</f>
        <v>878.723209031992</v>
      </c>
      <c r="AD328" s="0" t="n">
        <f aca="false">W_PH(AD$2,$A328)</f>
        <v>878.77109843715</v>
      </c>
      <c r="AE328" s="0" t="n">
        <f aca="false">W_PH(AE$2,$A328)</f>
        <v>878.819015203228</v>
      </c>
      <c r="AF328" s="0" t="n">
        <f aca="false">W_PH(AF$2,$A328)</f>
        <v>878.866963426437</v>
      </c>
      <c r="AG328" s="0" t="n">
        <f aca="false">W_PH(AG$2,$A328)</f>
        <v>878.91494186624</v>
      </c>
      <c r="AH328" s="0" t="n">
        <f aca="false">W_PH(AH$2,$A328)</f>
        <v>879.396787332453</v>
      </c>
      <c r="AI328" s="0" t="n">
        <f aca="false">W_PH(AI$2,$A328)</f>
        <v>879.883308422521</v>
      </c>
      <c r="AJ328" s="0" t="n">
        <f aca="false">W_PH(AJ$2,$A328)</f>
        <v>880.375863066284</v>
      </c>
      <c r="AK328" s="0" t="n">
        <f aca="false">W_PH(AK$2,$A328)</f>
        <v>880.875799714686</v>
      </c>
      <c r="AL328" s="0" t="n">
        <f aca="false">W_PH(AL$2,$A328)</f>
        <v>881.384463019846</v>
      </c>
      <c r="AM328" s="0" t="n">
        <f aca="false">W_PH(AM$2,$A328)</f>
        <v>881.903188746885</v>
      </c>
      <c r="AN328" s="0" t="n">
        <f aca="false">W_PH(AN$2,$A328)</f>
        <v>882.433315048561</v>
      </c>
      <c r="AO328" s="0" t="n">
        <f aca="false">W_PH(AO$2,$A328)</f>
        <v>882.976166502139</v>
      </c>
      <c r="AP328" s="0" t="n">
        <f aca="false">W_PH(AP$2,$A328)</f>
        <v>2015</v>
      </c>
      <c r="AQ328" s="0" t="n">
        <f aca="false">W_PH(AQ$2,$A328)</f>
        <v>2015</v>
      </c>
      <c r="AR328" s="0" t="n">
        <f aca="false">W_PH(AR$2,$A328)</f>
        <v>2015</v>
      </c>
      <c r="AS328" s="0" t="n">
        <f aca="false">W_PH(AS$2,$A328)</f>
        <v>2015</v>
      </c>
    </row>
    <row r="329" customFormat="false" ht="13.8" hidden="false" customHeight="false" outlineLevel="0" collapsed="false">
      <c r="A329" s="0" t="n">
        <v>4890</v>
      </c>
      <c r="B329" s="0" t="n">
        <f aca="false">W_PH(B$2,$A329)</f>
        <v>879.608009057079</v>
      </c>
      <c r="C329" s="0" t="n">
        <f aca="false">W_PH(C$2,$A329)</f>
        <v>879.608058418379</v>
      </c>
      <c r="D329" s="0" t="n">
        <f aca="false">W_PH(D$2,$A329)</f>
        <v>879.608105123841</v>
      </c>
      <c r="E329" s="0" t="n">
        <f aca="false">W_PH(E$2,$A329)</f>
        <v>879.608154485199</v>
      </c>
      <c r="F329" s="0" t="n">
        <f aca="false">W_PH(F$2,$A329)</f>
        <v>879.608201190714</v>
      </c>
      <c r="G329" s="0" t="n">
        <f aca="false">W_PH(G$2,$A329)</f>
        <v>879.608681526736</v>
      </c>
      <c r="H329" s="0" t="n">
        <f aca="false">W_PH(H$2,$A329)</f>
        <v>879.609161865519</v>
      </c>
      <c r="I329" s="0" t="n">
        <f aca="false">W_PH(I$2,$A329)</f>
        <v>879.609639551163</v>
      </c>
      <c r="J329" s="0" t="n">
        <f aca="false">W_PH(J$2,$A329)</f>
        <v>879.610119895463</v>
      </c>
      <c r="K329" s="0" t="n">
        <f aca="false">W_PH(K$2,$A329)</f>
        <v>879.610600242528</v>
      </c>
      <c r="L329" s="0" t="n">
        <f aca="false">W_PH(L$2,$A329)</f>
        <v>879.611077936428</v>
      </c>
      <c r="M329" s="0" t="n">
        <f aca="false">W_PH(M$2,$A329)</f>
        <v>879.611558289019</v>
      </c>
      <c r="N329" s="0" t="n">
        <f aca="false">W_PH(N$2,$A329)</f>
        <v>879.612037316403</v>
      </c>
      <c r="O329" s="0" t="n">
        <f aca="false">W_PH(O$2,$A329)</f>
        <v>879.612516346548</v>
      </c>
      <c r="P329" s="0" t="n">
        <f aca="false">W_PH(P$2,$A329)</f>
        <v>879.617312112311</v>
      </c>
      <c r="Q329" s="0" t="n">
        <f aca="false">W_PH(Q$2,$A329)</f>
        <v>879.622105500002</v>
      </c>
      <c r="R329" s="0" t="n">
        <f aca="false">W_PH(R$2,$A329)</f>
        <v>879.626901823299</v>
      </c>
      <c r="S329" s="0" t="n">
        <f aca="false">W_PH(S$2,$A329)</f>
        <v>879.631695771183</v>
      </c>
      <c r="T329" s="0" t="n">
        <f aca="false">W_PH(T$2,$A329)</f>
        <v>879.63649265775</v>
      </c>
      <c r="U329" s="0" t="n">
        <f aca="false">W_PH(U$2,$A329)</f>
        <v>879.641287171563</v>
      </c>
      <c r="V329" s="0" t="n">
        <f aca="false">W_PH(V$2,$A329)</f>
        <v>879.646081970438</v>
      </c>
      <c r="W329" s="0" t="n">
        <f aca="false">W_PH(W$2,$A329)</f>
        <v>879.650879712614</v>
      </c>
      <c r="X329" s="0" t="n">
        <f aca="false">W_PH(X$2,$A329)</f>
        <v>879.655675086023</v>
      </c>
      <c r="Y329" s="0" t="n">
        <f aca="false">W_PH(Y$2,$A329)</f>
        <v>879.703647629643</v>
      </c>
      <c r="Z329" s="0" t="n">
        <f aca="false">W_PH(Z$2,$A329)</f>
        <v>879.751642568144</v>
      </c>
      <c r="AA329" s="0" t="n">
        <f aca="false">W_PH(AA$2,$A329)</f>
        <v>879.799661324866</v>
      </c>
      <c r="AB329" s="0" t="n">
        <f aca="false">W_PH(AB$2,$A329)</f>
        <v>879.847702661424</v>
      </c>
      <c r="AC329" s="0" t="n">
        <f aca="false">W_PH(AC$2,$A329)</f>
        <v>879.895770658906</v>
      </c>
      <c r="AD329" s="0" t="n">
        <f aca="false">W_PH(AD$2,$A329)</f>
        <v>879.943866738774</v>
      </c>
      <c r="AE329" s="0" t="n">
        <f aca="false">W_PH(AE$2,$A329)</f>
        <v>879.99199232186</v>
      </c>
      <c r="AF329" s="0" t="n">
        <f aca="false">W_PH(AF$2,$A329)</f>
        <v>880.040146163104</v>
      </c>
      <c r="AG329" s="0" t="n">
        <f aca="false">W_PH(AG$2,$A329)</f>
        <v>880.088332345286</v>
      </c>
      <c r="AH329" s="0" t="n">
        <f aca="false">W_PH(AH$2,$A329)</f>
        <v>880.572217870659</v>
      </c>
      <c r="AI329" s="0" t="n">
        <f aca="false">W_PH(AI$2,$A329)</f>
        <v>881.060732760472</v>
      </c>
      <c r="AJ329" s="0" t="n">
        <f aca="false">W_PH(AJ$2,$A329)</f>
        <v>881.555218731344</v>
      </c>
      <c r="AK329" s="0" t="n">
        <f aca="false">W_PH(AK$2,$A329)</f>
        <v>882.057018897901</v>
      </c>
      <c r="AL329" s="0" t="n">
        <f aca="false">W_PH(AL$2,$A329)</f>
        <v>882.567470054397</v>
      </c>
      <c r="AM329" s="0" t="n">
        <f aca="false">W_PH(AM$2,$A329)</f>
        <v>883.087897537899</v>
      </c>
      <c r="AN329" s="0" t="n">
        <f aca="false">W_PH(AN$2,$A329)</f>
        <v>883.61962916566</v>
      </c>
      <c r="AO329" s="0" t="n">
        <f aca="false">W_PH(AO$2,$A329)</f>
        <v>884.163984783259</v>
      </c>
      <c r="AP329" s="0" t="n">
        <f aca="false">W_PH(AP$2,$A329)</f>
        <v>2015</v>
      </c>
      <c r="AQ329" s="0" t="n">
        <f aca="false">W_PH(AQ$2,$A329)</f>
        <v>2015</v>
      </c>
      <c r="AR329" s="0" t="n">
        <f aca="false">W_PH(AR$2,$A329)</f>
        <v>2015</v>
      </c>
      <c r="AS329" s="0" t="n">
        <f aca="false">W_PH(AS$2,$A329)</f>
        <v>2015</v>
      </c>
    </row>
    <row r="330" customFormat="false" ht="13.8" hidden="false" customHeight="false" outlineLevel="0" collapsed="false">
      <c r="A330" s="0" t="n">
        <v>4900</v>
      </c>
      <c r="B330" s="0" t="n">
        <f aca="false">W_PH(B$2,$A330)</f>
        <v>880.77657239987</v>
      </c>
      <c r="C330" s="0" t="n">
        <f aca="false">W_PH(C$2,$A330)</f>
        <v>880.776620891954</v>
      </c>
      <c r="D330" s="0" t="n">
        <f aca="false">W_PH(D$2,$A330)</f>
        <v>880.776668057982</v>
      </c>
      <c r="E330" s="0" t="n">
        <f aca="false">W_PH(E$2,$A330)</f>
        <v>880.776717876203</v>
      </c>
      <c r="F330" s="0" t="n">
        <f aca="false">W_PH(F$2,$A330)</f>
        <v>880.776765042285</v>
      </c>
      <c r="G330" s="0" t="n">
        <f aca="false">W_PH(G$2,$A330)</f>
        <v>880.777247313264</v>
      </c>
      <c r="H330" s="0" t="n">
        <f aca="false">W_PH(H$2,$A330)</f>
        <v>880.777726934767</v>
      </c>
      <c r="I330" s="0" t="n">
        <f aca="false">W_PH(I$2,$A330)</f>
        <v>880.778209211166</v>
      </c>
      <c r="J330" s="0" t="n">
        <f aca="false">W_PH(J$2,$A330)</f>
        <v>880.778691490282</v>
      </c>
      <c r="K330" s="0" t="n">
        <f aca="false">W_PH(K$2,$A330)</f>
        <v>880.779172446007</v>
      </c>
      <c r="L330" s="0" t="n">
        <f aca="false">W_PH(L$2,$A330)</f>
        <v>880.779653404442</v>
      </c>
      <c r="M330" s="0" t="n">
        <f aca="false">W_PH(M$2,$A330)</f>
        <v>880.780135691709</v>
      </c>
      <c r="N330" s="0" t="n">
        <f aca="false">W_PH(N$2,$A330)</f>
        <v>880.780617981699</v>
      </c>
      <c r="O330" s="0" t="n">
        <f aca="false">W_PH(O$2,$A330)</f>
        <v>880.781097622152</v>
      </c>
      <c r="P330" s="0" t="n">
        <f aca="false">W_PH(P$2,$A330)</f>
        <v>880.785912742266</v>
      </c>
      <c r="Q330" s="0" t="n">
        <f aca="false">W_PH(Q$2,$A330)</f>
        <v>880.790728135786</v>
      </c>
      <c r="R330" s="0" t="n">
        <f aca="false">W_PH(R$2,$A330)</f>
        <v>880.795543804135</v>
      </c>
      <c r="S330" s="0" t="n">
        <f aca="false">W_PH(S$2,$A330)</f>
        <v>880.800359748739</v>
      </c>
      <c r="T330" s="0" t="n">
        <f aca="false">W_PH(T$2,$A330)</f>
        <v>880.805175971021</v>
      </c>
      <c r="U330" s="0" t="n">
        <f aca="false">W_PH(U$2,$A330)</f>
        <v>880.809992472404</v>
      </c>
      <c r="V330" s="0" t="n">
        <f aca="false">W_PH(V$2,$A330)</f>
        <v>880.814809254313</v>
      </c>
      <c r="W330" s="0" t="n">
        <f aca="false">W_PH(W$2,$A330)</f>
        <v>880.819626318171</v>
      </c>
      <c r="X330" s="0" t="n">
        <f aca="false">W_PH(X$2,$A330)</f>
        <v>880.824443665403</v>
      </c>
      <c r="Y330" s="0" t="n">
        <f aca="false">W_PH(Y$2,$A330)</f>
        <v>880.872622419467</v>
      </c>
      <c r="Z330" s="0" t="n">
        <f aca="false">W_PH(Z$2,$A330)</f>
        <v>880.920823102309</v>
      </c>
      <c r="AA330" s="0" t="n">
        <f aca="false">W_PH(AA$2,$A330)</f>
        <v>880.969047127251</v>
      </c>
      <c r="AB330" s="0" t="n">
        <f aca="false">W_PH(AB$2,$A330)</f>
        <v>881.017295906998</v>
      </c>
      <c r="AC330" s="0" t="n">
        <f aca="false">W_PH(AC$2,$A330)</f>
        <v>881.065568195281</v>
      </c>
      <c r="AD330" s="0" t="n">
        <f aca="false">W_PH(AD$2,$A330)</f>
        <v>881.11387071928</v>
      </c>
      <c r="AE330" s="0" t="n">
        <f aca="false">W_PH(AE$2,$A330)</f>
        <v>881.162199572107</v>
      </c>
      <c r="AF330" s="0" t="n">
        <f aca="false">W_PH(AF$2,$A330)</f>
        <v>881.210557491663</v>
      </c>
      <c r="AG330" s="0" t="n">
        <f aca="false">W_PH(AG$2,$A330)</f>
        <v>881.258947217308</v>
      </c>
      <c r="AH330" s="0" t="n">
        <f aca="false">W_PH(AH$2,$A330)</f>
        <v>881.744847375591</v>
      </c>
      <c r="AI330" s="0" t="n">
        <f aca="false">W_PH(AI$2,$A330)</f>
        <v>882.235323657747</v>
      </c>
      <c r="AJ330" s="0" t="n">
        <f aca="false">W_PH(AJ$2,$A330)</f>
        <v>882.731717750786</v>
      </c>
      <c r="AK330" s="0" t="n">
        <f aca="false">W_PH(AK$2,$A330)</f>
        <v>883.235356792902</v>
      </c>
      <c r="AL330" s="0" t="n">
        <f aca="false">W_PH(AL$2,$A330)</f>
        <v>883.747569776478</v>
      </c>
      <c r="AM330" s="0" t="n">
        <f aca="false">W_PH(AM$2,$A330)</f>
        <v>884.269677117233</v>
      </c>
      <c r="AN330" s="0" t="n">
        <f aca="false">W_PH(AN$2,$A330)</f>
        <v>884.802993683035</v>
      </c>
      <c r="AO330" s="0" t="n">
        <f aca="false">W_PH(AO$2,$A330)</f>
        <v>885.348833285077</v>
      </c>
      <c r="AP330" s="0" t="n">
        <f aca="false">W_PH(AP$2,$A330)</f>
        <v>2015</v>
      </c>
      <c r="AQ330" s="0" t="n">
        <f aca="false">W_PH(AQ$2,$A330)</f>
        <v>2015</v>
      </c>
      <c r="AR330" s="0" t="n">
        <f aca="false">W_PH(AR$2,$A330)</f>
        <v>2015</v>
      </c>
      <c r="AS330" s="0" t="n">
        <f aca="false">W_PH(AS$2,$A330)</f>
        <v>2015</v>
      </c>
    </row>
    <row r="331" customFormat="false" ht="13.8" hidden="false" customHeight="false" outlineLevel="0" collapsed="false">
      <c r="A331" s="0" t="n">
        <v>4910</v>
      </c>
      <c r="B331" s="0" t="n">
        <f aca="false">W_PH(B$2,$A331)</f>
        <v>881.942406007062</v>
      </c>
      <c r="C331" s="0" t="n">
        <f aca="false">W_PH(C$2,$A331)</f>
        <v>881.9424536274</v>
      </c>
      <c r="D331" s="0" t="n">
        <f aca="false">W_PH(D$2,$A331)</f>
        <v>881.942503896253</v>
      </c>
      <c r="E331" s="0" t="n">
        <f aca="false">W_PH(E$2,$A331)</f>
        <v>881.942551516645</v>
      </c>
      <c r="F331" s="0" t="n">
        <f aca="false">W_PH(F$2,$A331)</f>
        <v>881.942599137062</v>
      </c>
      <c r="G331" s="0" t="n">
        <f aca="false">W_PH(G$2,$A331)</f>
        <v>881.94308328817</v>
      </c>
      <c r="H331" s="0" t="n">
        <f aca="false">W_PH(H$2,$A331)</f>
        <v>881.943567441948</v>
      </c>
      <c r="I331" s="0" t="n">
        <f aca="false">W_PH(I$2,$A331)</f>
        <v>881.944050274134</v>
      </c>
      <c r="J331" s="0" t="n">
        <f aca="false">W_PH(J$2,$A331)</f>
        <v>881.944533108982</v>
      </c>
      <c r="K331" s="0" t="n">
        <f aca="false">W_PH(K$2,$A331)</f>
        <v>881.945017270763</v>
      </c>
      <c r="L331" s="0" t="n">
        <f aca="false">W_PH(L$2,$A331)</f>
        <v>881.945501435218</v>
      </c>
      <c r="M331" s="0" t="n">
        <f aca="false">W_PH(M$2,$A331)</f>
        <v>881.945985602349</v>
      </c>
      <c r="N331" s="0" t="n">
        <f aca="false">W_PH(N$2,$A331)</f>
        <v>881.946467123584</v>
      </c>
      <c r="O331" s="0" t="n">
        <f aca="false">W_PH(O$2,$A331)</f>
        <v>881.94695129606</v>
      </c>
      <c r="P331" s="0" t="n">
        <f aca="false">W_PH(P$2,$A331)</f>
        <v>881.951787871071</v>
      </c>
      <c r="Q331" s="0" t="n">
        <f aca="false">W_PH(Q$2,$A331)</f>
        <v>881.95662206628</v>
      </c>
      <c r="R331" s="0" t="n">
        <f aca="false">W_PH(R$2,$A331)</f>
        <v>881.961459180574</v>
      </c>
      <c r="S331" s="0" t="n">
        <f aca="false">W_PH(S$2,$A331)</f>
        <v>881.966295242184</v>
      </c>
      <c r="T331" s="0" t="n">
        <f aca="false">W_PH(T$2,$A331)</f>
        <v>881.971131576919</v>
      </c>
      <c r="U331" s="0" t="n">
        <f aca="false">W_PH(U$2,$A331)</f>
        <v>881.975969510792</v>
      </c>
      <c r="V331" s="0" t="n">
        <f aca="false">W_PH(V$2,$A331)</f>
        <v>881.980805071419</v>
      </c>
      <c r="W331" s="0" t="n">
        <f aca="false">W_PH(W$2,$A331)</f>
        <v>881.985642234011</v>
      </c>
      <c r="X331" s="0" t="n">
        <f aca="false">W_PH(X$2,$A331)</f>
        <v>881.990479675383</v>
      </c>
      <c r="Y331" s="0" t="n">
        <f aca="false">W_PH(Y$2,$A331)</f>
        <v>882.038861781344</v>
      </c>
      <c r="Z331" s="0" t="n">
        <f aca="false">W_PH(Z$2,$A331)</f>
        <v>882.087268010546</v>
      </c>
      <c r="AA331" s="0" t="n">
        <f aca="false">W_PH(AA$2,$A331)</f>
        <v>882.135694464322</v>
      </c>
      <c r="AB331" s="0" t="n">
        <f aca="false">W_PH(AB$2,$A331)</f>
        <v>882.184145196009</v>
      </c>
      <c r="AC331" s="0" t="n">
        <f aca="false">W_PH(AC$2,$A331)</f>
        <v>882.23262160782</v>
      </c>
      <c r="AD331" s="0" t="n">
        <f aca="false">W_PH(AD$2,$A331)</f>
        <v>882.281123773552</v>
      </c>
      <c r="AE331" s="0" t="n">
        <f aca="false">W_PH(AE$2,$A331)</f>
        <v>882.329654421023</v>
      </c>
      <c r="AF331" s="0" t="n">
        <f aca="false">W_PH(AF$2,$A331)</f>
        <v>882.378213621821</v>
      </c>
      <c r="AG331" s="0" t="n">
        <f aca="false">W_PH(AG$2,$A331)</f>
        <v>882.426805432944</v>
      </c>
      <c r="AH331" s="0" t="n">
        <f aca="false">W_PH(AH$2,$A331)</f>
        <v>882.914691548119</v>
      </c>
      <c r="AI331" s="0" t="n">
        <f aca="false">W_PH(AI$2,$A331)</f>
        <v>883.407105606504</v>
      </c>
      <c r="AJ331" s="0" t="n">
        <f aca="false">W_PH(AJ$2,$A331)</f>
        <v>883.905379966958</v>
      </c>
      <c r="AK331" s="0" t="n">
        <f aca="false">W_PH(AK$2,$A331)</f>
        <v>884.410833940037</v>
      </c>
      <c r="AL331" s="0" t="n">
        <f aca="false">W_PH(AL$2,$A331)</f>
        <v>884.924786122551</v>
      </c>
      <c r="AM331" s="0" t="n">
        <f aca="false">W_PH(AM$2,$A331)</f>
        <v>885.448549363992</v>
      </c>
      <c r="AN331" s="0" t="n">
        <f aca="false">W_PH(AN$2,$A331)</f>
        <v>885.983431105025</v>
      </c>
      <c r="AO331" s="0" t="n">
        <f aca="false">W_PH(AO$2,$A331)</f>
        <v>886.530733749986</v>
      </c>
      <c r="AP331" s="0" t="n">
        <f aca="false">W_PH(AP$2,$A331)</f>
        <v>2015</v>
      </c>
      <c r="AQ331" s="0" t="n">
        <f aca="false">W_PH(AQ$2,$A331)</f>
        <v>2015</v>
      </c>
      <c r="AR331" s="0" t="n">
        <f aca="false">W_PH(AR$2,$A331)</f>
        <v>2015</v>
      </c>
      <c r="AS331" s="0" t="n">
        <f aca="false">W_PH(AS$2,$A331)</f>
        <v>2015</v>
      </c>
    </row>
    <row r="332" customFormat="false" ht="13.8" hidden="false" customHeight="false" outlineLevel="0" collapsed="false">
      <c r="A332" s="0" t="n">
        <v>4920</v>
      </c>
      <c r="B332" s="0" t="n">
        <f aca="false">W_PH(B$2,$A332)</f>
        <v>883.105533147603</v>
      </c>
      <c r="C332" s="0" t="n">
        <f aca="false">W_PH(C$2,$A332)</f>
        <v>883.105581216145</v>
      </c>
      <c r="D332" s="0" t="n">
        <f aca="false">W_PH(D$2,$A332)</f>
        <v>883.105629284713</v>
      </c>
      <c r="E332" s="0" t="n">
        <f aca="false">W_PH(E$2,$A332)</f>
        <v>883.105677353307</v>
      </c>
      <c r="F332" s="0" t="n">
        <f aca="false">W_PH(F$2,$A332)</f>
        <v>883.105725421926</v>
      </c>
      <c r="G332" s="0" t="n">
        <f aca="false">W_PH(G$2,$A332)</f>
        <v>883.106211399237</v>
      </c>
      <c r="H332" s="0" t="n">
        <f aca="false">W_PH(H$2,$A332)</f>
        <v>883.10669737917</v>
      </c>
      <c r="I332" s="0" t="n">
        <f aca="false">W_PH(I$2,$A332)</f>
        <v>883.107183361729</v>
      </c>
      <c r="J332" s="0" t="n">
        <f aca="false">W_PH(J$2,$A332)</f>
        <v>883.107669346913</v>
      </c>
      <c r="K332" s="0" t="n">
        <f aca="false">W_PH(K$2,$A332)</f>
        <v>883.108155334724</v>
      </c>
      <c r="L332" s="0" t="n">
        <f aca="false">W_PH(L$2,$A332)</f>
        <v>883.108638680265</v>
      </c>
      <c r="M332" s="0" t="n">
        <f aca="false">W_PH(M$2,$A332)</f>
        <v>883.109124673325</v>
      </c>
      <c r="N332" s="0" t="n">
        <f aca="false">W_PH(N$2,$A332)</f>
        <v>883.109610669016</v>
      </c>
      <c r="O332" s="0" t="n">
        <f aca="false">W_PH(O$2,$A332)</f>
        <v>883.11009666734</v>
      </c>
      <c r="P332" s="0" t="n">
        <f aca="false">W_PH(P$2,$A332)</f>
        <v>883.114951505639</v>
      </c>
      <c r="Q332" s="0" t="n">
        <f aca="false">W_PH(Q$2,$A332)</f>
        <v>883.119809253497</v>
      </c>
      <c r="R332" s="0" t="n">
        <f aca="false">W_PH(R$2,$A332)</f>
        <v>883.124664622156</v>
      </c>
      <c r="S332" s="0" t="n">
        <f aca="false">W_PH(S$2,$A332)</f>
        <v>883.12952025805</v>
      </c>
      <c r="T332" s="0" t="n">
        <f aca="false">W_PH(T$2,$A332)</f>
        <v>883.134376162584</v>
      </c>
      <c r="U332" s="0" t="n">
        <f aca="false">W_PH(U$2,$A332)</f>
        <v>883.139234982698</v>
      </c>
      <c r="V332" s="0" t="n">
        <f aca="false">W_PH(V$2,$A332)</f>
        <v>883.144091428823</v>
      </c>
      <c r="W332" s="0" t="n">
        <f aca="false">W_PH(W$2,$A332)</f>
        <v>883.1489481478</v>
      </c>
      <c r="X332" s="0" t="n">
        <f aca="false">W_PH(X$2,$A332)</f>
        <v>883.15380514103</v>
      </c>
      <c r="Y332" s="0" t="n">
        <f aca="false">W_PH(Y$2,$A332)</f>
        <v>883.202390466104</v>
      </c>
      <c r="Z332" s="0" t="n">
        <f aca="false">W_PH(Z$2,$A332)</f>
        <v>883.250994168787</v>
      </c>
      <c r="AA332" s="0" t="n">
        <f aca="false">W_PH(AA$2,$A332)</f>
        <v>883.299622937398</v>
      </c>
      <c r="AB332" s="0" t="n">
        <f aca="false">W_PH(AB$2,$A332)</f>
        <v>883.348272868223</v>
      </c>
      <c r="AC332" s="0" t="n">
        <f aca="false">W_PH(AC$2,$A332)</f>
        <v>883.396948001559</v>
      </c>
      <c r="AD332" s="0" t="n">
        <f aca="false">W_PH(AD$2,$A332)</f>
        <v>883.445649729258</v>
      </c>
      <c r="AE332" s="0" t="n">
        <f aca="false">W_PH(AE$2,$A332)</f>
        <v>883.49437944259</v>
      </c>
      <c r="AF332" s="0" t="n">
        <f aca="false">W_PH(AF$2,$A332)</f>
        <v>883.543138532246</v>
      </c>
      <c r="AG332" s="0" t="n">
        <f aca="false">W_PH(AG$2,$A332)</f>
        <v>883.591928388336</v>
      </c>
      <c r="AH332" s="0" t="n">
        <f aca="false">W_PH(AH$2,$A332)</f>
        <v>884.081773883013</v>
      </c>
      <c r="AI332" s="0" t="n">
        <f aca="false">W_PH(AI$2,$A332)</f>
        <v>884.576100160768</v>
      </c>
      <c r="AJ332" s="0" t="n">
        <f aca="false">W_PH(AJ$2,$A332)</f>
        <v>885.076230346425</v>
      </c>
      <c r="AK332" s="0" t="n">
        <f aca="false">W_PH(AK$2,$A332)</f>
        <v>885.583473315258</v>
      </c>
      <c r="AL332" s="0" t="n">
        <f aca="false">W_PH(AL$2,$A332)</f>
        <v>886.09914273956</v>
      </c>
      <c r="AM332" s="0" t="n">
        <f aca="false">W_PH(AM$2,$A332)</f>
        <v>886.624538585484</v>
      </c>
      <c r="AN332" s="0" t="n">
        <f aca="false">W_PH(AN$2,$A332)</f>
        <v>887.160963638793</v>
      </c>
      <c r="AO332" s="0" t="n">
        <f aca="false">W_PH(AO$2,$A332)</f>
        <v>887.709710351654</v>
      </c>
      <c r="AP332" s="0" t="n">
        <f aca="false">W_PH(AP$2,$A332)</f>
        <v>2015</v>
      </c>
      <c r="AQ332" s="0" t="n">
        <f aca="false">W_PH(AQ$2,$A332)</f>
        <v>2015</v>
      </c>
      <c r="AR332" s="0" t="n">
        <f aca="false">W_PH(AR$2,$A332)</f>
        <v>2015</v>
      </c>
      <c r="AS332" s="0" t="n">
        <f aca="false">W_PH(AS$2,$A332)</f>
        <v>2015</v>
      </c>
    </row>
    <row r="333" customFormat="false" ht="13.8" hidden="false" customHeight="false" outlineLevel="0" collapsed="false">
      <c r="A333" s="0" t="n">
        <v>4930</v>
      </c>
      <c r="B333" s="0" t="n">
        <f aca="false">W_PH(B$2,$A333)</f>
        <v>884.265968946904</v>
      </c>
      <c r="C333" s="0" t="n">
        <f aca="false">W_PH(C$2,$A333)</f>
        <v>884.26601745761</v>
      </c>
      <c r="D333" s="0" t="n">
        <f aca="false">W_PH(D$2,$A333)</f>
        <v>884.266067288945</v>
      </c>
      <c r="E333" s="0" t="n">
        <f aca="false">W_PH(E$2,$A333)</f>
        <v>884.266117120308</v>
      </c>
      <c r="F333" s="0" t="n">
        <f aca="false">W_PH(F$2,$A333)</f>
        <v>884.266165631091</v>
      </c>
      <c r="G333" s="0" t="n">
        <f aca="false">W_PH(G$2,$A333)</f>
        <v>884.266653381555</v>
      </c>
      <c r="H333" s="0" t="n">
        <f aca="false">W_PH(H$2,$A333)</f>
        <v>884.267139813982</v>
      </c>
      <c r="I333" s="0" t="n">
        <f aca="false">W_PH(I$2,$A333)</f>
        <v>884.267626248979</v>
      </c>
      <c r="J333" s="0" t="n">
        <f aca="false">W_PH(J$2,$A333)</f>
        <v>884.268114007172</v>
      </c>
      <c r="K333" s="0" t="n">
        <f aca="false">W_PH(K$2,$A333)</f>
        <v>884.268601767948</v>
      </c>
      <c r="L333" s="0" t="n">
        <f aca="false">W_PH(L$2,$A333)</f>
        <v>884.269089531307</v>
      </c>
      <c r="M333" s="0" t="n">
        <f aca="false">W_PH(M$2,$A333)</f>
        <v>884.269577297251</v>
      </c>
      <c r="N333" s="0" t="n">
        <f aca="false">W_PH(N$2,$A333)</f>
        <v>884.270065065783</v>
      </c>
      <c r="O333" s="0" t="n">
        <f aca="false">W_PH(O$2,$A333)</f>
        <v>884.270552836902</v>
      </c>
      <c r="P333" s="0" t="n">
        <f aca="false">W_PH(P$2,$A333)</f>
        <v>884.275428049344</v>
      </c>
      <c r="Q333" s="0" t="n">
        <f aca="false">W_PH(Q$2,$A333)</f>
        <v>884.280303521925</v>
      </c>
      <c r="R333" s="0" t="n">
        <f aca="false">W_PH(R$2,$A333)</f>
        <v>884.285179256039</v>
      </c>
      <c r="S333" s="0" t="n">
        <f aca="false">W_PH(S$2,$A333)</f>
        <v>884.290055253079</v>
      </c>
      <c r="T333" s="0" t="n">
        <f aca="false">W_PH(T$2,$A333)</f>
        <v>884.29493283534</v>
      </c>
      <c r="U333" s="0" t="n">
        <f aca="false">W_PH(U$2,$A333)</f>
        <v>884.299809362467</v>
      </c>
      <c r="V333" s="0" t="n">
        <f aca="false">W_PH(V$2,$A333)</f>
        <v>884.304686156703</v>
      </c>
      <c r="W333" s="0" t="n">
        <f aca="false">W_PH(W$2,$A333)</f>
        <v>884.309563219441</v>
      </c>
      <c r="X333" s="0" t="n">
        <f aca="false">W_PH(X$2,$A333)</f>
        <v>884.314439230977</v>
      </c>
      <c r="Y333" s="0" t="n">
        <f aca="false">W_PH(Y$2,$A333)</f>
        <v>884.363222421358</v>
      </c>
      <c r="Z333" s="0" t="n">
        <f aca="false">W_PH(Z$2,$A333)</f>
        <v>884.412026197627</v>
      </c>
      <c r="AA333" s="0" t="n">
        <f aca="false">W_PH(AA$2,$A333)</f>
        <v>884.46085062109</v>
      </c>
      <c r="AB333" s="0" t="n">
        <f aca="false">W_PH(AB$2,$A333)</f>
        <v>884.509698396679</v>
      </c>
      <c r="AC333" s="0" t="n">
        <f aca="false">W_PH(AC$2,$A333)</f>
        <v>884.558572230751</v>
      </c>
      <c r="AD333" s="0" t="n">
        <f aca="false">W_PH(AD$2,$A333)</f>
        <v>884.607469534713</v>
      </c>
      <c r="AE333" s="0" t="n">
        <f aca="false">W_PH(AE$2,$A333)</f>
        <v>884.656396985564</v>
      </c>
      <c r="AF333" s="0" t="n">
        <f aca="false">W_PH(AF$2,$A333)</f>
        <v>884.705350666996</v>
      </c>
      <c r="AG333" s="0" t="n">
        <f aca="false">W_PH(AG$2,$A333)</f>
        <v>884.754334607685</v>
      </c>
      <c r="AH333" s="0" t="n">
        <f aca="false">W_PH(AH$2,$A333)</f>
        <v>885.246112309213</v>
      </c>
      <c r="AI333" s="0" t="n">
        <f aca="false">W_PH(AI$2,$A333)</f>
        <v>885.742325961086</v>
      </c>
      <c r="AJ333" s="0" t="n">
        <f aca="false">W_PH(AJ$2,$A333)</f>
        <v>886.24428688105</v>
      </c>
      <c r="AK333" s="0" t="n">
        <f aca="false">W_PH(AK$2,$A333)</f>
        <v>886.753297623773</v>
      </c>
      <c r="AL333" s="0" t="n">
        <f aca="false">W_PH(AL$2,$A333)</f>
        <v>887.270660290905</v>
      </c>
      <c r="AM333" s="0" t="n">
        <f aca="false">W_PH(AM$2,$A333)</f>
        <v>887.797668791808</v>
      </c>
      <c r="AN333" s="0" t="n">
        <f aca="false">W_PH(AN$2,$A333)</f>
        <v>888.335614558806</v>
      </c>
      <c r="AO333" s="0" t="n">
        <f aca="false">W_PH(AO$2,$A333)</f>
        <v>888.885786951175</v>
      </c>
      <c r="AP333" s="0" t="n">
        <f aca="false">W_PH(AP$2,$A333)</f>
        <v>2015</v>
      </c>
      <c r="AQ333" s="0" t="n">
        <f aca="false">W_PH(AQ$2,$A333)</f>
        <v>2015</v>
      </c>
      <c r="AR333" s="0" t="n">
        <f aca="false">W_PH(AR$2,$A333)</f>
        <v>2015</v>
      </c>
      <c r="AS333" s="0" t="n">
        <f aca="false">W_PH(AS$2,$A333)</f>
        <v>2015</v>
      </c>
    </row>
    <row r="334" customFormat="false" ht="13.8" hidden="false" customHeight="false" outlineLevel="0" collapsed="false">
      <c r="A334" s="0" t="n">
        <v>4940</v>
      </c>
      <c r="B334" s="0" t="n">
        <f aca="false">W_PH(B$2,$A334)</f>
        <v>885.423737589017</v>
      </c>
      <c r="C334" s="0" t="n">
        <f aca="false">W_PH(C$2,$A334)</f>
        <v>885.423786535942</v>
      </c>
      <c r="D334" s="0" t="n">
        <f aca="false">W_PH(D$2,$A334)</f>
        <v>885.423835482892</v>
      </c>
      <c r="E334" s="0" t="n">
        <f aca="false">W_PH(E$2,$A334)</f>
        <v>885.423884429867</v>
      </c>
      <c r="F334" s="0" t="n">
        <f aca="false">W_PH(F$2,$A334)</f>
        <v>885.423933376868</v>
      </c>
      <c r="G334" s="0" t="n">
        <f aca="false">W_PH(G$2,$A334)</f>
        <v>885.424422848271</v>
      </c>
      <c r="H334" s="0" t="n">
        <f aca="false">W_PH(H$2,$A334)</f>
        <v>885.424912322207</v>
      </c>
      <c r="I334" s="0" t="n">
        <f aca="false">W_PH(I$2,$A334)</f>
        <v>885.425401798679</v>
      </c>
      <c r="J334" s="0" t="n">
        <f aca="false">W_PH(J$2,$A334)</f>
        <v>885.425891277688</v>
      </c>
      <c r="K334" s="0" t="n">
        <f aca="false">W_PH(K$2,$A334)</f>
        <v>885.426380759236</v>
      </c>
      <c r="L334" s="0" t="n">
        <f aca="false">W_PH(L$2,$A334)</f>
        <v>885.426870243323</v>
      </c>
      <c r="M334" s="0" t="n">
        <f aca="false">W_PH(M$2,$A334)</f>
        <v>885.427359729951</v>
      </c>
      <c r="N334" s="0" t="n">
        <f aca="false">W_PH(N$2,$A334)</f>
        <v>885.427849219122</v>
      </c>
      <c r="O334" s="0" t="n">
        <f aca="false">W_PH(O$2,$A334)</f>
        <v>885.428338710836</v>
      </c>
      <c r="P334" s="0" t="n">
        <f aca="false">W_PH(P$2,$A334)</f>
        <v>885.433235087099</v>
      </c>
      <c r="Q334" s="0" t="n">
        <f aca="false">W_PH(Q$2,$A334)</f>
        <v>885.438130400428</v>
      </c>
      <c r="R334" s="0" t="n">
        <f aca="false">W_PH(R$2,$A334)</f>
        <v>885.443025971053</v>
      </c>
      <c r="S334" s="0" t="n">
        <f aca="false">W_PH(S$2,$A334)</f>
        <v>885.447921800361</v>
      </c>
      <c r="T334" s="0" t="n">
        <f aca="false">W_PH(T$2,$A334)</f>
        <v>885.452817889735</v>
      </c>
      <c r="U334" s="0" t="n">
        <f aca="false">W_PH(U$2,$A334)</f>
        <v>885.457712921416</v>
      </c>
      <c r="V334" s="0" t="n">
        <f aca="false">W_PH(V$2,$A334)</f>
        <v>885.462609535026</v>
      </c>
      <c r="W334" s="0" t="n">
        <f aca="false">W_PH(W$2,$A334)</f>
        <v>885.467506412854</v>
      </c>
      <c r="X334" s="0" t="n">
        <f aca="false">W_PH(X$2,$A334)</f>
        <v>885.472403556286</v>
      </c>
      <c r="Y334" s="0" t="n">
        <f aca="false">W_PH(Y$2,$A334)</f>
        <v>885.521381984525</v>
      </c>
      <c r="Z334" s="0" t="n">
        <f aca="false">W_PH(Z$2,$A334)</f>
        <v>885.570380567583</v>
      </c>
      <c r="AA334" s="0" t="n">
        <f aca="false">W_PH(AA$2,$A334)</f>
        <v>885.619399358995</v>
      </c>
      <c r="AB334" s="0" t="n">
        <f aca="false">W_PH(AB$2,$A334)</f>
        <v>885.668442373561</v>
      </c>
      <c r="AC334" s="0" t="n">
        <f aca="false">W_PH(AC$2,$A334)</f>
        <v>885.717508342434</v>
      </c>
      <c r="AD334" s="0" t="n">
        <f aca="false">W_PH(AD$2,$A334)</f>
        <v>885.766601281274</v>
      </c>
      <c r="AE334" s="0" t="n">
        <f aca="false">W_PH(AE$2,$A334)</f>
        <v>885.815721240892</v>
      </c>
      <c r="AF334" s="0" t="n">
        <f aca="false">W_PH(AF$2,$A334)</f>
        <v>885.864869592815</v>
      </c>
      <c r="AG334" s="0" t="n">
        <f aca="false">W_PH(AG$2,$A334)</f>
        <v>885.914047708016</v>
      </c>
      <c r="AH334" s="0" t="n">
        <f aca="false">W_PH(AH$2,$A334)</f>
        <v>886.407732518619</v>
      </c>
      <c r="AI334" s="0" t="n">
        <f aca="false">W_PH(AI$2,$A334)</f>
        <v>886.905806759357</v>
      </c>
      <c r="AJ334" s="0" t="n">
        <f aca="false">W_PH(AJ$2,$A334)</f>
        <v>887.409571349688</v>
      </c>
      <c r="AK334" s="0" t="n">
        <f aca="false">W_PH(AK$2,$A334)</f>
        <v>887.920323933242</v>
      </c>
      <c r="AL334" s="0" t="n">
        <f aca="false">W_PH(AL$2,$A334)</f>
        <v>888.439357830764</v>
      </c>
      <c r="AM334" s="0" t="n">
        <f aca="false">W_PH(AM$2,$A334)</f>
        <v>888.967958292961</v>
      </c>
      <c r="AN334" s="0" t="n">
        <f aca="false">W_PH(AN$2,$A334)</f>
        <v>889.507406844548</v>
      </c>
      <c r="AO334" s="0" t="n">
        <f aca="false">W_PH(AO$2,$A334)</f>
        <v>890.058983020388</v>
      </c>
      <c r="AP334" s="0" t="n">
        <f aca="false">W_PH(AP$2,$A334)</f>
        <v>2015</v>
      </c>
      <c r="AQ334" s="0" t="n">
        <f aca="false">W_PH(AQ$2,$A334)</f>
        <v>2015</v>
      </c>
      <c r="AR334" s="0" t="n">
        <f aca="false">W_PH(AR$2,$A334)</f>
        <v>2015</v>
      </c>
      <c r="AS334" s="0" t="n">
        <f aca="false">W_PH(AS$2,$A334)</f>
        <v>2015</v>
      </c>
    </row>
    <row r="335" customFormat="false" ht="13.8" hidden="false" customHeight="false" outlineLevel="0" collapsed="false">
      <c r="A335" s="0" t="n">
        <v>4950</v>
      </c>
      <c r="B335" s="0" t="n">
        <f aca="false">W_PH(B$2,$A335)</f>
        <v>886.578857769774</v>
      </c>
      <c r="C335" s="0" t="n">
        <f aca="false">W_PH(C$2,$A335)</f>
        <v>886.578907147064</v>
      </c>
      <c r="D335" s="0" t="n">
        <f aca="false">W_PH(D$2,$A335)</f>
        <v>886.578956524378</v>
      </c>
      <c r="E335" s="0" t="n">
        <f aca="false">W_PH(E$2,$A335)</f>
        <v>886.579005901718</v>
      </c>
      <c r="F335" s="0" t="n">
        <f aca="false">W_PH(F$2,$A335)</f>
        <v>886.57905396207</v>
      </c>
      <c r="G335" s="0" t="n">
        <f aca="false">W_PH(G$2,$A335)</f>
        <v>886.579546420076</v>
      </c>
      <c r="H335" s="0" t="n">
        <f aca="false">W_PH(H$2,$A335)</f>
        <v>886.58003756356</v>
      </c>
      <c r="I335" s="0" t="n">
        <f aca="false">W_PH(I$2,$A335)</f>
        <v>886.580528709536</v>
      </c>
      <c r="J335" s="0" t="n">
        <f aca="false">W_PH(J$2,$A335)</f>
        <v>886.581019858005</v>
      </c>
      <c r="K335" s="0" t="n">
        <f aca="false">W_PH(K$2,$A335)</f>
        <v>886.58151100897</v>
      </c>
      <c r="L335" s="0" t="n">
        <f aca="false">W_PH(L$2,$A335)</f>
        <v>886.582002162431</v>
      </c>
      <c r="M335" s="0" t="n">
        <f aca="false">W_PH(M$2,$A335)</f>
        <v>886.582493318389</v>
      </c>
      <c r="N335" s="0" t="n">
        <f aca="false">W_PH(N$2,$A335)</f>
        <v>886.582984476847</v>
      </c>
      <c r="O335" s="0" t="n">
        <f aca="false">W_PH(O$2,$A335)</f>
        <v>886.583476954861</v>
      </c>
      <c r="P335" s="0" t="n">
        <f aca="false">W_PH(P$2,$A335)</f>
        <v>886.588392653632</v>
      </c>
      <c r="Q335" s="0" t="n">
        <f aca="false">W_PH(Q$2,$A335)</f>
        <v>886.593307287095</v>
      </c>
      <c r="R335" s="0" t="n">
        <f aca="false">W_PH(R$2,$A335)</f>
        <v>886.598222173684</v>
      </c>
      <c r="S335" s="0" t="n">
        <f aca="false">W_PH(S$2,$A335)</f>
        <v>886.603137314772</v>
      </c>
      <c r="T335" s="0" t="n">
        <f aca="false">W_PH(T$2,$A335)</f>
        <v>886.608052711734</v>
      </c>
      <c r="U335" s="0" t="n">
        <f aca="false">W_PH(U$2,$A335)</f>
        <v>886.612967048595</v>
      </c>
      <c r="V335" s="0" t="n">
        <f aca="false">W_PH(V$2,$A335)</f>
        <v>886.617881643982</v>
      </c>
      <c r="W335" s="0" t="n">
        <f aca="false">W_PH(W$2,$A335)</f>
        <v>886.622797816716</v>
      </c>
      <c r="X335" s="0" t="n">
        <f aca="false">W_PH(X$2,$A335)</f>
        <v>886.627714250824</v>
      </c>
      <c r="Y335" s="0" t="n">
        <f aca="false">W_PH(Y$2,$A335)</f>
        <v>886.676885361832</v>
      </c>
      <c r="Z335" s="0" t="n">
        <f aca="false">W_PH(Z$2,$A335)</f>
        <v>886.726076204946</v>
      </c>
      <c r="AA335" s="0" t="n">
        <f aca="false">W_PH(AA$2,$A335)</f>
        <v>886.775288144979</v>
      </c>
      <c r="AB335" s="0" t="n">
        <f aca="false">W_PH(AB$2,$A335)</f>
        <v>886.824522546197</v>
      </c>
      <c r="AC335" s="0" t="n">
        <f aca="false">W_PH(AC$2,$A335)</f>
        <v>886.87378077232</v>
      </c>
      <c r="AD335" s="0" t="n">
        <f aca="false">W_PH(AD$2,$A335)</f>
        <v>886.923066827365</v>
      </c>
      <c r="AE335" s="0" t="n">
        <f aca="false">W_PH(AE$2,$A335)</f>
        <v>886.972376793263</v>
      </c>
      <c r="AF335" s="0" t="n">
        <f aca="false">W_PH(AF$2,$A335)</f>
        <v>887.021714671974</v>
      </c>
      <c r="AG335" s="0" t="n">
        <f aca="false">W_PH(AG$2,$A335)</f>
        <v>887.071081825056</v>
      </c>
      <c r="AH335" s="0" t="n">
        <f aca="false">W_PH(AH$2,$A335)</f>
        <v>887.566649338684</v>
      </c>
      <c r="AI335" s="0" t="n">
        <f aca="false">W_PH(AI$2,$A335)</f>
        <v>888.066558068636</v>
      </c>
      <c r="AJ335" s="0" t="n">
        <f aca="false">W_PH(AJ$2,$A335)</f>
        <v>888.572106619594</v>
      </c>
      <c r="AK335" s="0" t="n">
        <f aca="false">W_PH(AK$2,$A335)</f>
        <v>889.084578469751</v>
      </c>
      <c r="AL335" s="0" t="n">
        <f aca="false">W_PH(AL$2,$A335)</f>
        <v>889.605259546839</v>
      </c>
      <c r="AM335" s="0" t="n">
        <f aca="false">W_PH(AM$2,$A335)</f>
        <v>890.135427847575</v>
      </c>
      <c r="AN335" s="0" t="n">
        <f aca="false">W_PH(AN$2,$A335)</f>
        <v>890.676359123104</v>
      </c>
      <c r="AO335" s="0" t="n">
        <f aca="false">W_PH(AO$2,$A335)</f>
        <v>891.22932183362</v>
      </c>
      <c r="AP335" s="0" t="n">
        <f aca="false">W_PH(AP$2,$A335)</f>
        <v>2015</v>
      </c>
      <c r="AQ335" s="0" t="n">
        <f aca="false">W_PH(AQ$2,$A335)</f>
        <v>2015</v>
      </c>
      <c r="AR335" s="0" t="n">
        <f aca="false">W_PH(AR$2,$A335)</f>
        <v>2015</v>
      </c>
      <c r="AS335" s="0" t="n">
        <f aca="false">W_PH(AS$2,$A335)</f>
        <v>2015</v>
      </c>
    </row>
    <row r="336" customFormat="false" ht="13.8" hidden="false" customHeight="false" outlineLevel="0" collapsed="false">
      <c r="A336" s="0" t="n">
        <v>4960</v>
      </c>
      <c r="B336" s="0" t="n">
        <f aca="false">W_PH(B$2,$A336)</f>
        <v>887.731345366489</v>
      </c>
      <c r="C336" s="0" t="n">
        <f aca="false">W_PH(C$2,$A336)</f>
        <v>887.731395168377</v>
      </c>
      <c r="D336" s="0" t="n">
        <f aca="false">W_PH(D$2,$A336)</f>
        <v>887.731444970291</v>
      </c>
      <c r="E336" s="0" t="n">
        <f aca="false">W_PH(E$2,$A336)</f>
        <v>887.731494772229</v>
      </c>
      <c r="F336" s="0" t="n">
        <f aca="false">W_PH(F$2,$A336)</f>
        <v>887.731543258957</v>
      </c>
      <c r="G336" s="0" t="n">
        <f aca="false">W_PH(G$2,$A336)</f>
        <v>887.73203733423</v>
      </c>
      <c r="H336" s="0" t="n">
        <f aca="false">W_PH(H$2,$A336)</f>
        <v>887.732530096716</v>
      </c>
      <c r="I336" s="0" t="n">
        <f aca="false">W_PH(I$2,$A336)</f>
        <v>887.733022861652</v>
      </c>
      <c r="J336" s="0" t="n">
        <f aca="false">W_PH(J$2,$A336)</f>
        <v>887.733515629039</v>
      </c>
      <c r="K336" s="0" t="n">
        <f aca="false">W_PH(K$2,$A336)</f>
        <v>887.734011029395</v>
      </c>
      <c r="L336" s="0" t="n">
        <f aca="false">W_PH(L$2,$A336)</f>
        <v>887.734503801697</v>
      </c>
      <c r="M336" s="0" t="n">
        <f aca="false">W_PH(M$2,$A336)</f>
        <v>887.734996576454</v>
      </c>
      <c r="N336" s="0" t="n">
        <f aca="false">W_PH(N$2,$A336)</f>
        <v>887.735489353667</v>
      </c>
      <c r="O336" s="0" t="n">
        <f aca="false">W_PH(O$2,$A336)</f>
        <v>887.735983448615</v>
      </c>
      <c r="P336" s="0" t="n">
        <f aca="false">W_PH(P$2,$A336)</f>
        <v>887.74091795747</v>
      </c>
      <c r="Q336" s="0" t="n">
        <f aca="false">W_PH(Q$2,$A336)</f>
        <v>887.745851398694</v>
      </c>
      <c r="R336" s="0" t="n">
        <f aca="false">W_PH(R$2,$A336)</f>
        <v>887.750785088932</v>
      </c>
      <c r="S336" s="0" t="n">
        <f aca="false">W_PH(S$2,$A336)</f>
        <v>887.755719029549</v>
      </c>
      <c r="T336" s="0" t="n">
        <f aca="false">W_PH(T$2,$A336)</f>
        <v>887.76065322191</v>
      </c>
      <c r="U336" s="0" t="n">
        <f aca="false">W_PH(U$2,$A336)</f>
        <v>887.765587667381</v>
      </c>
      <c r="V336" s="0" t="n">
        <f aca="false">W_PH(V$2,$A336)</f>
        <v>887.770522367325</v>
      </c>
      <c r="W336" s="0" t="n">
        <f aca="false">W_PH(W$2,$A336)</f>
        <v>887.775457323109</v>
      </c>
      <c r="X336" s="0" t="n">
        <f aca="false">W_PH(X$2,$A336)</f>
        <v>887.780392536097</v>
      </c>
      <c r="Y336" s="0" t="n">
        <f aca="false">W_PH(Y$2,$A336)</f>
        <v>887.829753847695</v>
      </c>
      <c r="Z336" s="0" t="n">
        <f aca="false">W_PH(Z$2,$A336)</f>
        <v>887.879134476884</v>
      </c>
      <c r="AA336" s="0" t="n">
        <f aca="false">W_PH(AA$2,$A336)</f>
        <v>887.928535779081</v>
      </c>
      <c r="AB336" s="0" t="n">
        <f aca="false">W_PH(AB$2,$A336)</f>
        <v>887.977960426809</v>
      </c>
      <c r="AC336" s="0" t="n">
        <f aca="false">W_PH(AC$2,$A336)</f>
        <v>888.027408457742</v>
      </c>
      <c r="AD336" s="0" t="n">
        <f aca="false">W_PH(AD$2,$A336)</f>
        <v>888.076879907098</v>
      </c>
      <c r="AE336" s="0" t="n">
        <f aca="false">W_PH(AE$2,$A336)</f>
        <v>888.12638008397</v>
      </c>
      <c r="AF336" s="0" t="n">
        <f aca="false">W_PH(AF$2,$A336)</f>
        <v>888.175906385319</v>
      </c>
      <c r="AG336" s="0" t="n">
        <f aca="false">W_PH(AG$2,$A336)</f>
        <v>888.22546148198</v>
      </c>
      <c r="AH336" s="0" t="n">
        <f aca="false">W_PH(AH$2,$A336)</f>
        <v>888.722882710259</v>
      </c>
      <c r="AI336" s="0" t="n">
        <f aca="false">W_PH(AI$2,$A336)</f>
        <v>889.224604510083</v>
      </c>
      <c r="AJ336" s="0" t="n">
        <f aca="false">W_PH(AJ$2,$A336)</f>
        <v>889.73190996979</v>
      </c>
      <c r="AK336" s="0" t="n">
        <f aca="false">W_PH(AK$2,$A336)</f>
        <v>890.246079145288</v>
      </c>
      <c r="AL336" s="0" t="n">
        <f aca="false">W_PH(AL$2,$A336)</f>
        <v>890.76838666265</v>
      </c>
      <c r="AM336" s="0" t="n">
        <f aca="false">W_PH(AM$2,$A336)</f>
        <v>891.300103341497</v>
      </c>
      <c r="AN336" s="0" t="n">
        <f aca="false">W_PH(AN$2,$A336)</f>
        <v>891.842495172639</v>
      </c>
      <c r="AO336" s="0" t="n">
        <f aca="false">W_PH(AO$2,$A336)</f>
        <v>892.396825013495</v>
      </c>
      <c r="AP336" s="0" t="n">
        <f aca="false">W_PH(AP$2,$A336)</f>
        <v>2015</v>
      </c>
      <c r="AQ336" s="0" t="n">
        <f aca="false">W_PH(AQ$2,$A336)</f>
        <v>2015</v>
      </c>
      <c r="AR336" s="0" t="n">
        <f aca="false">W_PH(AR$2,$A336)</f>
        <v>2015</v>
      </c>
      <c r="AS336" s="0" t="n">
        <f aca="false">W_PH(AS$2,$A336)</f>
        <v>2015</v>
      </c>
    </row>
    <row r="337" customFormat="false" ht="13.8" hidden="false" customHeight="false" outlineLevel="0" collapsed="false">
      <c r="A337" s="0" t="n">
        <v>4970</v>
      </c>
      <c r="B337" s="0" t="n">
        <f aca="false">W_PH(B$2,$A337)</f>
        <v>888.881223966481</v>
      </c>
      <c r="C337" s="0" t="n">
        <f aca="false">W_PH(C$2,$A337)</f>
        <v>888.881271560359</v>
      </c>
      <c r="D337" s="0" t="n">
        <f aca="false">W_PH(D$2,$A337)</f>
        <v>888.881321781193</v>
      </c>
      <c r="E337" s="0" t="n">
        <f aca="false">W_PH(E$2,$A337)</f>
        <v>888.881372002052</v>
      </c>
      <c r="F337" s="0" t="n">
        <f aca="false">W_PH(F$2,$A337)</f>
        <v>888.881420909468</v>
      </c>
      <c r="G337" s="0" t="n">
        <f aca="false">W_PH(G$2,$A337)</f>
        <v>888.88191655229</v>
      </c>
      <c r="H337" s="0" t="n">
        <f aca="false">W_PH(H$2,$A337)</f>
        <v>888.882410884051</v>
      </c>
      <c r="I337" s="0" t="n">
        <f aca="false">W_PH(I$2,$A337)</f>
        <v>888.882907845183</v>
      </c>
      <c r="J337" s="0" t="n">
        <f aca="false">W_PH(J$2,$A337)</f>
        <v>888.883402181769</v>
      </c>
      <c r="K337" s="0" t="n">
        <f aca="false">W_PH(K$2,$A337)</f>
        <v>888.883896520765</v>
      </c>
      <c r="L337" s="0" t="n">
        <f aca="false">W_PH(L$2,$A337)</f>
        <v>888.884393489165</v>
      </c>
      <c r="M337" s="0" t="n">
        <f aca="false">W_PH(M$2,$A337)</f>
        <v>888.884887832995</v>
      </c>
      <c r="N337" s="0" t="n">
        <f aca="false">W_PH(N$2,$A337)</f>
        <v>888.885382179239</v>
      </c>
      <c r="O337" s="0" t="n">
        <f aca="false">W_PH(O$2,$A337)</f>
        <v>888.885879154919</v>
      </c>
      <c r="P337" s="0" t="n">
        <f aca="false">W_PH(P$2,$A337)</f>
        <v>888.890830656105</v>
      </c>
      <c r="Q337" s="0" t="n">
        <f aca="false">W_PH(Q$2,$A337)</f>
        <v>888.895782400897</v>
      </c>
      <c r="R337" s="0" t="n">
        <f aca="false">W_PH(R$2,$A337)</f>
        <v>888.90073701796</v>
      </c>
      <c r="S337" s="0" t="n">
        <f aca="false">W_PH(S$2,$A337)</f>
        <v>888.905689254131</v>
      </c>
      <c r="T337" s="0" t="n">
        <f aca="false">W_PH(T$2,$A337)</f>
        <v>888.910641737976</v>
      </c>
      <c r="U337" s="0" t="n">
        <f aca="false">W_PH(U$2,$A337)</f>
        <v>888.915594470853</v>
      </c>
      <c r="V337" s="0" t="n">
        <f aca="false">W_PH(V$2,$A337)</f>
        <v>888.920548767959</v>
      </c>
      <c r="W337" s="0" t="n">
        <f aca="false">W_PH(W$2,$A337)</f>
        <v>888.925503316903</v>
      </c>
      <c r="X337" s="0" t="n">
        <f aca="false">W_PH(X$2,$A337)</f>
        <v>888.9304568051</v>
      </c>
      <c r="Y337" s="0" t="n">
        <f aca="false">W_PH(Y$2,$A337)</f>
        <v>888.980005905618</v>
      </c>
      <c r="Z337" s="0" t="n">
        <f aca="false">W_PH(Z$2,$A337)</f>
        <v>889.029573917255</v>
      </c>
      <c r="AA337" s="0" t="n">
        <f aca="false">W_PH(AA$2,$A337)</f>
        <v>889.079162186132</v>
      </c>
      <c r="AB337" s="0" t="n">
        <f aca="false">W_PH(AB$2,$A337)</f>
        <v>889.128772057847</v>
      </c>
      <c r="AC337" s="0" t="n">
        <f aca="false">W_PH(AC$2,$A337)</f>
        <v>889.178407510117</v>
      </c>
      <c r="AD337" s="0" t="n">
        <f aca="false">W_PH(AD$2,$A337)</f>
        <v>889.228067256766</v>
      </c>
      <c r="AE337" s="0" t="n">
        <f aca="false">W_PH(AE$2,$A337)</f>
        <v>889.277750007298</v>
      </c>
      <c r="AF337" s="0" t="n">
        <f aca="false">W_PH(AF$2,$A337)</f>
        <v>889.327462373365</v>
      </c>
      <c r="AG337" s="0" t="n">
        <f aca="false">W_PH(AG$2,$A337)</f>
        <v>889.377203064392</v>
      </c>
      <c r="AH337" s="0" t="n">
        <f aca="false">W_PH(AH$2,$A337)</f>
        <v>889.876455007371</v>
      </c>
      <c r="AI337" s="0" t="n">
        <f aca="false">W_PH(AI$2,$A337)</f>
        <v>890.379963817453</v>
      </c>
      <c r="AJ337" s="0" t="n">
        <f aca="false">W_PH(AJ$2,$A337)</f>
        <v>890.889003793163</v>
      </c>
      <c r="AK337" s="0" t="n">
        <f aca="false">W_PH(AK$2,$A337)</f>
        <v>891.404846318351</v>
      </c>
      <c r="AL337" s="0" t="n">
        <f aca="false">W_PH(AL$2,$A337)</f>
        <v>891.928757463587</v>
      </c>
      <c r="AM337" s="0" t="n">
        <f aca="false">W_PH(AM$2,$A337)</f>
        <v>892.462002293427</v>
      </c>
      <c r="AN337" s="0" t="n">
        <f aca="false">W_PH(AN$2,$A337)</f>
        <v>893.005835783736</v>
      </c>
      <c r="AO337" s="0" t="n">
        <f aca="false">W_PH(AO$2,$A337)</f>
        <v>893.561513901847</v>
      </c>
      <c r="AP337" s="0" t="n">
        <f aca="false">W_PH(AP$2,$A337)</f>
        <v>2015</v>
      </c>
      <c r="AQ337" s="0" t="n">
        <f aca="false">W_PH(AQ$2,$A337)</f>
        <v>2015</v>
      </c>
      <c r="AR337" s="0" t="n">
        <f aca="false">W_PH(AR$2,$A337)</f>
        <v>2015</v>
      </c>
      <c r="AS337" s="0" t="n">
        <f aca="false">W_PH(AS$2,$A337)</f>
        <v>2015</v>
      </c>
    </row>
    <row r="338" customFormat="false" ht="13.8" hidden="false" customHeight="false" outlineLevel="0" collapsed="false">
      <c r="A338" s="0" t="n">
        <v>4980</v>
      </c>
      <c r="B338" s="0" t="n">
        <f aca="false">W_PH(B$2,$A338)</f>
        <v>890.028506453298</v>
      </c>
      <c r="C338" s="0" t="n">
        <f aca="false">W_PH(C$2,$A338)</f>
        <v>890.028557087439</v>
      </c>
      <c r="D338" s="0" t="n">
        <f aca="false">W_PH(D$2,$A338)</f>
        <v>890.028606409893</v>
      </c>
      <c r="E338" s="0" t="n">
        <f aca="false">W_PH(E$2,$A338)</f>
        <v>890.02865573237</v>
      </c>
      <c r="F338" s="0" t="n">
        <f aca="false">W_PH(F$2,$A338)</f>
        <v>890.028706366582</v>
      </c>
      <c r="G338" s="0" t="n">
        <f aca="false">W_PH(G$2,$A338)</f>
        <v>890.029202216316</v>
      </c>
      <c r="H338" s="0" t="n">
        <f aca="false">W_PH(H$2,$A338)</f>
        <v>890.029700691857</v>
      </c>
      <c r="I338" s="0" t="n">
        <f aca="false">W_PH(I$2,$A338)</f>
        <v>890.03019654633</v>
      </c>
      <c r="J338" s="0" t="n">
        <f aca="false">W_PH(J$2,$A338)</f>
        <v>890.030695026632</v>
      </c>
      <c r="K338" s="0" t="n">
        <f aca="false">W_PH(K$2,$A338)</f>
        <v>890.031190885851</v>
      </c>
      <c r="L338" s="0" t="n">
        <f aca="false">W_PH(L$2,$A338)</f>
        <v>890.03168805918</v>
      </c>
      <c r="M338" s="0" t="n">
        <f aca="false">W_PH(M$2,$A338)</f>
        <v>890.032185234889</v>
      </c>
      <c r="N338" s="0" t="n">
        <f aca="false">W_PH(N$2,$A338)</f>
        <v>890.03268241298</v>
      </c>
      <c r="O338" s="0" t="n">
        <f aca="false">W_PH(O$2,$A338)</f>
        <v>890.033179593455</v>
      </c>
      <c r="P338" s="0" t="n">
        <f aca="false">W_PH(P$2,$A338)</f>
        <v>890.038151529581</v>
      </c>
      <c r="Q338" s="0" t="n">
        <f aca="false">W_PH(Q$2,$A338)</f>
        <v>890.043121081825</v>
      </c>
      <c r="R338" s="0" t="n">
        <f aca="false">W_PH(R$2,$A338)</f>
        <v>890.048093498833</v>
      </c>
      <c r="S338" s="0" t="n">
        <f aca="false">W_PH(S$2,$A338)</f>
        <v>890.053063534463</v>
      </c>
      <c r="T338" s="0" t="n">
        <f aca="false">W_PH(T$2,$A338)</f>
        <v>890.058036437739</v>
      </c>
      <c r="U338" s="0" t="n">
        <f aca="false">W_PH(U$2,$A338)</f>
        <v>890.063006962142</v>
      </c>
      <c r="V338" s="0" t="n">
        <f aca="false">W_PH(V$2,$A338)</f>
        <v>890.067980357072</v>
      </c>
      <c r="W338" s="0" t="n">
        <f aca="false">W_PH(W$2,$A338)</f>
        <v>890.072951375633</v>
      </c>
      <c r="X338" s="0" t="n">
        <f aca="false">W_PH(X$2,$A338)</f>
        <v>890.077925267602</v>
      </c>
      <c r="Y338" s="0" t="n">
        <f aca="false">W_PH(Y$2,$A338)</f>
        <v>890.127658501866</v>
      </c>
      <c r="Z338" s="0" t="n">
        <f aca="false">W_PH(Z$2,$A338)</f>
        <v>890.177410247726</v>
      </c>
      <c r="AA338" s="0" t="n">
        <f aca="false">W_PH(AA$2,$A338)</f>
        <v>890.227185782874</v>
      </c>
      <c r="AB338" s="0" t="n">
        <f aca="false">W_PH(AB$2,$A338)</f>
        <v>890.276979877652</v>
      </c>
      <c r="AC338" s="0" t="n">
        <f aca="false">W_PH(AC$2,$A338)</f>
        <v>890.326799123263</v>
      </c>
      <c r="AD338" s="0" t="n">
        <f aca="false">W_PH(AD$2,$A338)</f>
        <v>890.376640912922</v>
      </c>
      <c r="AE338" s="0" t="n">
        <f aca="false">W_PH(AE$2,$A338)</f>
        <v>890.426507895582</v>
      </c>
      <c r="AF338" s="0" t="n">
        <f aca="false">W_PH(AF$2,$A338)</f>
        <v>890.476404037507</v>
      </c>
      <c r="AG338" s="0" t="n">
        <f aca="false">W_PH(AG$2,$A338)</f>
        <v>890.52632804258</v>
      </c>
      <c r="AH338" s="0" t="n">
        <f aca="false">W_PH(AH$2,$A338)</f>
        <v>891.027385737951</v>
      </c>
      <c r="AI338" s="0" t="n">
        <f aca="false">W_PH(AI$2,$A338)</f>
        <v>891.532656169323</v>
      </c>
      <c r="AJ338" s="0" t="n">
        <f aca="false">W_PH(AJ$2,$A338)</f>
        <v>892.043406249043</v>
      </c>
      <c r="AK338" s="0" t="n">
        <f aca="false">W_PH(AK$2,$A338)</f>
        <v>892.560900108264</v>
      </c>
      <c r="AL338" s="0" t="n">
        <f aca="false">W_PH(AL$2,$A338)</f>
        <v>893.086396696557</v>
      </c>
      <c r="AM338" s="0" t="n">
        <f aca="false">W_PH(AM$2,$A338)</f>
        <v>893.621146015775</v>
      </c>
      <c r="AN338" s="0" t="n">
        <f aca="false">W_PH(AN$2,$A338)</f>
        <v>894.166402829787</v>
      </c>
      <c r="AO338" s="0" t="n">
        <f aca="false">W_PH(AO$2,$A338)</f>
        <v>894.72341226872</v>
      </c>
      <c r="AP338" s="0" t="n">
        <f aca="false">W_PH(AP$2,$A338)</f>
        <v>2015</v>
      </c>
      <c r="AQ338" s="0" t="n">
        <f aca="false">W_PH(AQ$2,$A338)</f>
        <v>2015</v>
      </c>
      <c r="AR338" s="0" t="n">
        <f aca="false">W_PH(AR$2,$A338)</f>
        <v>2015</v>
      </c>
      <c r="AS338" s="0" t="n">
        <f aca="false">W_PH(AS$2,$A338)</f>
        <v>2015</v>
      </c>
    </row>
    <row r="339" customFormat="false" ht="13.8" hidden="false" customHeight="false" outlineLevel="0" collapsed="false">
      <c r="A339" s="0" t="n">
        <v>4990</v>
      </c>
      <c r="B339" s="0" t="n">
        <f aca="false">W_PH(B$2,$A339)</f>
        <v>891.173216039397</v>
      </c>
      <c r="C339" s="0" t="n">
        <f aca="false">W_PH(C$2,$A339)</f>
        <v>891.173267081361</v>
      </c>
      <c r="D339" s="0" t="n">
        <f aca="false">W_PH(D$2,$A339)</f>
        <v>891.173315503416</v>
      </c>
      <c r="E339" s="0" t="n">
        <f aca="false">W_PH(E$2,$A339)</f>
        <v>891.173366545427</v>
      </c>
      <c r="F339" s="0" t="n">
        <f aca="false">W_PH(F$2,$A339)</f>
        <v>891.173414967527</v>
      </c>
      <c r="G339" s="0" t="n">
        <f aca="false">W_PH(G$2,$A339)</f>
        <v>891.173914909424</v>
      </c>
      <c r="H339" s="0" t="n">
        <f aca="false">W_PH(H$2,$A339)</f>
        <v>891.174413543686</v>
      </c>
      <c r="I339" s="0" t="n">
        <f aca="false">W_PH(I$2,$A339)</f>
        <v>891.174912180282</v>
      </c>
      <c r="J339" s="0" t="n">
        <f aca="false">W_PH(J$2,$A339)</f>
        <v>891.1754121292</v>
      </c>
      <c r="K339" s="0" t="n">
        <f aca="false">W_PH(K$2,$A339)</f>
        <v>891.175909460483</v>
      </c>
      <c r="L339" s="0" t="n">
        <f aca="false">W_PH(L$2,$A339)</f>
        <v>891.176409414086</v>
      </c>
      <c r="M339" s="0" t="n">
        <f aca="false">W_PH(M$2,$A339)</f>
        <v>891.176908060037</v>
      </c>
      <c r="N339" s="0" t="n">
        <f aca="false">W_PH(N$2,$A339)</f>
        <v>891.177406708329</v>
      </c>
      <c r="O339" s="0" t="n">
        <f aca="false">W_PH(O$2,$A339)</f>
        <v>891.177906668974</v>
      </c>
      <c r="P339" s="0" t="n">
        <f aca="false">W_PH(P$2,$A339)</f>
        <v>891.182895924603</v>
      </c>
      <c r="Q339" s="0" t="n">
        <f aca="false">W_PH(Q$2,$A339)</f>
        <v>891.187885416123</v>
      </c>
      <c r="R339" s="0" t="n">
        <f aca="false">W_PH(R$2,$A339)</f>
        <v>891.192875144871</v>
      </c>
      <c r="S339" s="0" t="n">
        <f aca="false">W_PH(S$2,$A339)</f>
        <v>891.197865112185</v>
      </c>
      <c r="T339" s="0" t="n">
        <f aca="false">W_PH(T$2,$A339)</f>
        <v>891.202854009158</v>
      </c>
      <c r="U339" s="0" t="n">
        <f aca="false">W_PH(U$2,$A339)</f>
        <v>891.207843147279</v>
      </c>
      <c r="V339" s="0" t="n">
        <f aca="false">W_PH(V$2,$A339)</f>
        <v>891.212833838218</v>
      </c>
      <c r="W339" s="0" t="n">
        <f aca="false">W_PH(W$2,$A339)</f>
        <v>891.217824773072</v>
      </c>
      <c r="X339" s="0" t="n">
        <f aca="false">W_PH(X$2,$A339)</f>
        <v>891.222815953176</v>
      </c>
      <c r="Y339" s="0" t="n">
        <f aca="false">W_PH(Y$2,$A339)</f>
        <v>891.272731049976</v>
      </c>
      <c r="Z339" s="0" t="n">
        <f aca="false">W_PH(Z$2,$A339)</f>
        <v>891.322666889331</v>
      </c>
      <c r="AA339" s="0" t="n">
        <f aca="false">W_PH(AA$2,$A339)</f>
        <v>891.372622178199</v>
      </c>
      <c r="AB339" s="0" t="n">
        <f aca="false">W_PH(AB$2,$A339)</f>
        <v>891.422600868479</v>
      </c>
      <c r="AC339" s="0" t="n">
        <f aca="false">W_PH(AC$2,$A339)</f>
        <v>891.472599038765</v>
      </c>
      <c r="AD339" s="0" t="n">
        <f aca="false">W_PH(AD$2,$A339)</f>
        <v>891.52262326547</v>
      </c>
      <c r="AE339" s="0" t="n">
        <f aca="false">W_PH(AE$2,$A339)</f>
        <v>891.572672249851</v>
      </c>
      <c r="AF339" s="0" t="n">
        <f aca="false">W_PH(AF$2,$A339)</f>
        <v>891.622747317248</v>
      </c>
      <c r="AG339" s="0" t="n">
        <f aca="false">W_PH(AG$2,$A339)</f>
        <v>891.672851107123</v>
      </c>
      <c r="AH339" s="0" t="n">
        <f aca="false">W_PH(AH$2,$A339)</f>
        <v>892.175691566218</v>
      </c>
      <c r="AI339" s="0" t="n">
        <f aca="false">W_PH(AI$2,$A339)</f>
        <v>892.682701526064</v>
      </c>
      <c r="AJ339" s="0" t="n">
        <f aca="false">W_PH(AJ$2,$A339)</f>
        <v>893.195140594964</v>
      </c>
      <c r="AK339" s="0" t="n">
        <f aca="false">W_PH(AK$2,$A339)</f>
        <v>893.714261732222</v>
      </c>
      <c r="AL339" s="0" t="n">
        <f aca="false">W_PH(AL$2,$A339)</f>
        <v>894.241319477388</v>
      </c>
      <c r="AM339" s="0" t="n">
        <f aca="false">W_PH(AM$2,$A339)</f>
        <v>894.777555563126</v>
      </c>
      <c r="AN339" s="0" t="n">
        <f aca="false">W_PH(AN$2,$A339)</f>
        <v>895.324215224353</v>
      </c>
      <c r="AO339" s="0" t="n">
        <f aca="false">W_PH(AO$2,$A339)</f>
        <v>895.882536847818</v>
      </c>
      <c r="AP339" s="0" t="n">
        <f aca="false">W_PH(AP$2,$A339)</f>
        <v>2015</v>
      </c>
      <c r="AQ339" s="0" t="n">
        <f aca="false">W_PH(AQ$2,$A339)</f>
        <v>2015</v>
      </c>
      <c r="AR339" s="0" t="n">
        <f aca="false">W_PH(AR$2,$A339)</f>
        <v>2015</v>
      </c>
      <c r="AS339" s="0" t="n">
        <f aca="false">W_PH(AS$2,$A339)</f>
        <v>2015</v>
      </c>
    </row>
    <row r="340" customFormat="false" ht="13.8" hidden="false" customHeight="false" outlineLevel="0" collapsed="false">
      <c r="A340" s="0" t="n">
        <v>5000</v>
      </c>
      <c r="B340" s="0" t="n">
        <f aca="false">W_PH(B$2,$A340)</f>
        <v>892.315369192271</v>
      </c>
      <c r="C340" s="0" t="n">
        <f aca="false">W_PH(C$2,$A340)</f>
        <v>892.315419328402</v>
      </c>
      <c r="D340" s="0" t="n">
        <f aca="false">W_PH(D$2,$A340)</f>
        <v>892.315469464556</v>
      </c>
      <c r="E340" s="0" t="n">
        <f aca="false">W_PH(E$2,$A340)</f>
        <v>892.315519600733</v>
      </c>
      <c r="F340" s="0" t="n">
        <f aca="false">W_PH(F$2,$A340)</f>
        <v>892.315568428698</v>
      </c>
      <c r="G340" s="0" t="n">
        <f aca="false">W_PH(G$2,$A340)</f>
        <v>892.316069791957</v>
      </c>
      <c r="H340" s="0" t="n">
        <f aca="false">W_PH(H$2,$A340)</f>
        <v>892.316571157519</v>
      </c>
      <c r="I340" s="0" t="n">
        <f aca="false">W_PH(I$2,$A340)</f>
        <v>892.317072525383</v>
      </c>
      <c r="J340" s="0" t="n">
        <f aca="false">W_PH(J$2,$A340)</f>
        <v>892.317571279046</v>
      </c>
      <c r="K340" s="0" t="n">
        <f aca="false">W_PH(K$2,$A340)</f>
        <v>892.318072651512</v>
      </c>
      <c r="L340" s="0" t="n">
        <f aca="false">W_PH(L$2,$A340)</f>
        <v>892.318574026285</v>
      </c>
      <c r="M340" s="0" t="n">
        <f aca="false">W_PH(M$2,$A340)</f>
        <v>892.319075403366</v>
      </c>
      <c r="N340" s="0" t="n">
        <f aca="false">W_PH(N$2,$A340)</f>
        <v>892.319574166215</v>
      </c>
      <c r="O340" s="0" t="n">
        <f aca="false">W_PH(O$2,$A340)</f>
        <v>892.320075547908</v>
      </c>
      <c r="P340" s="0" t="n">
        <f aca="false">W_PH(P$2,$A340)</f>
        <v>892.325084258959</v>
      </c>
      <c r="Q340" s="0" t="n">
        <f aca="false">W_PH(Q$2,$A340)</f>
        <v>892.330090585481</v>
      </c>
      <c r="R340" s="0" t="n">
        <f aca="false">W_PH(R$2,$A340)</f>
        <v>892.335098453772</v>
      </c>
      <c r="S340" s="0" t="n">
        <f aca="false">W_PH(S$2,$A340)</f>
        <v>892.340106556835</v>
      </c>
      <c r="T340" s="0" t="n">
        <f aca="false">W_PH(T$2,$A340)</f>
        <v>892.345113587493</v>
      </c>
      <c r="U340" s="0" t="n">
        <f aca="false">W_PH(U$2,$A340)</f>
        <v>892.350123472594</v>
      </c>
      <c r="V340" s="0" t="n">
        <f aca="false">W_PH(V$2,$A340)</f>
        <v>892.355130979347</v>
      </c>
      <c r="W340" s="0" t="n">
        <f aca="false">W_PH(W$2,$A340)</f>
        <v>892.360138726093</v>
      </c>
      <c r="X340" s="0" t="n">
        <f aca="false">W_PH(X$2,$A340)</f>
        <v>892.365148022851</v>
      </c>
      <c r="Y340" s="0" t="n">
        <f aca="false">W_PH(Y$2,$A340)</f>
        <v>892.415245396202</v>
      </c>
      <c r="Z340" s="0" t="n">
        <f aca="false">W_PH(Z$2,$A340)</f>
        <v>892.465359197474</v>
      </c>
      <c r="AA340" s="0" t="n">
        <f aca="false">W_PH(AA$2,$A340)</f>
        <v>892.515494674304</v>
      </c>
      <c r="AB340" s="0" t="n">
        <f aca="false">W_PH(AB$2,$A340)</f>
        <v>892.565650526713</v>
      </c>
      <c r="AC340" s="0" t="n">
        <f aca="false">W_PH(AC$2,$A340)</f>
        <v>892.615830694513</v>
      </c>
      <c r="AD340" s="0" t="n">
        <f aca="false">W_PH(AD$2,$A340)</f>
        <v>892.666032563471</v>
      </c>
      <c r="AE340" s="0" t="n">
        <f aca="false">W_PH(AE$2,$A340)</f>
        <v>892.716258760986</v>
      </c>
      <c r="AF340" s="0" t="n">
        <f aca="false">W_PH(AF$2,$A340)</f>
        <v>892.766514540539</v>
      </c>
      <c r="AG340" s="0" t="n">
        <f aca="false">W_PH(AG$2,$A340)</f>
        <v>892.816794658057</v>
      </c>
      <c r="AH340" s="0" t="n">
        <f aca="false">W_PH(AH$2,$A340)</f>
        <v>893.321391604107</v>
      </c>
      <c r="AI340" s="0" t="n">
        <f aca="false">W_PH(AI$2,$A340)</f>
        <v>893.830118311758</v>
      </c>
      <c r="AJ340" s="0" t="n">
        <f aca="false">W_PH(AJ$2,$A340)</f>
        <v>894.344221888074</v>
      </c>
      <c r="AK340" s="0" t="n">
        <f aca="false">W_PH(AK$2,$A340)</f>
        <v>894.864952168762</v>
      </c>
      <c r="AL340" s="0" t="n">
        <f aca="false">W_PH(AL$2,$A340)</f>
        <v>895.39354872318</v>
      </c>
      <c r="AM340" s="0" t="n">
        <f aca="false">W_PH(AM$2,$A340)</f>
        <v>895.931251736953</v>
      </c>
      <c r="AN340" s="0" t="n">
        <f aca="false">W_PH(AN$2,$A340)</f>
        <v>896.47929700817</v>
      </c>
      <c r="AO340" s="0" t="n">
        <f aca="false">W_PH(AO$2,$A340)</f>
        <v>897.038913566261</v>
      </c>
      <c r="AP340" s="0" t="n">
        <f aca="false">W_PH(AP$2,$A340)</f>
        <v>2015</v>
      </c>
      <c r="AQ340" s="0" t="n">
        <f aca="false">W_PH(AQ$2,$A340)</f>
        <v>2015</v>
      </c>
      <c r="AR340" s="0" t="n">
        <f aca="false">W_PH(AR$2,$A340)</f>
        <v>2015</v>
      </c>
      <c r="AS340" s="0" t="n">
        <f aca="false">W_PH(AS$2,$A340)</f>
        <v>2015</v>
      </c>
    </row>
    <row r="341" customFormat="false" ht="13.8" hidden="false" customHeight="false" outlineLevel="0" collapsed="false">
      <c r="A341" s="0" t="n">
        <v>5010</v>
      </c>
      <c r="B341" s="0" t="n">
        <f aca="false">W_PH(B$2,$A341)</f>
        <v>893.454984826397</v>
      </c>
      <c r="C341" s="0" t="n">
        <f aca="false">W_PH(C$2,$A341)</f>
        <v>893.455034054797</v>
      </c>
      <c r="D341" s="0" t="n">
        <f aca="false">W_PH(D$2,$A341)</f>
        <v>893.45508458973</v>
      </c>
      <c r="E341" s="0" t="n">
        <f aca="false">W_PH(E$2,$A341)</f>
        <v>893.455135124686</v>
      </c>
      <c r="F341" s="0" t="n">
        <f aca="false">W_PH(F$2,$A341)</f>
        <v>893.455184353152</v>
      </c>
      <c r="G341" s="0" t="n">
        <f aca="false">W_PH(G$2,$A341)</f>
        <v>893.455687091156</v>
      </c>
      <c r="H341" s="0" t="n">
        <f aca="false">W_PH(H$2,$A341)</f>
        <v>893.456189831422</v>
      </c>
      <c r="I341" s="0" t="n">
        <f aca="false">W_PH(I$2,$A341)</f>
        <v>893.456692573951</v>
      </c>
      <c r="J341" s="0" t="n">
        <f aca="false">W_PH(J$2,$A341)</f>
        <v>893.457195318745</v>
      </c>
      <c r="K341" s="0" t="n">
        <f aca="false">W_PH(K$2,$A341)</f>
        <v>893.457698065805</v>
      </c>
      <c r="L341" s="0" t="n">
        <f aca="false">W_PH(L$2,$A341)</f>
        <v>893.458200815132</v>
      </c>
      <c r="M341" s="0" t="n">
        <f aca="false">W_PH(M$2,$A341)</f>
        <v>893.458703566728</v>
      </c>
      <c r="N341" s="0" t="n">
        <f aca="false">W_PH(N$2,$A341)</f>
        <v>893.459205014045</v>
      </c>
      <c r="O341" s="0" t="n">
        <f aca="false">W_PH(O$2,$A341)</f>
        <v>893.459706463624</v>
      </c>
      <c r="P341" s="0" t="n">
        <f aca="false">W_PH(P$2,$A341)</f>
        <v>893.464731536918</v>
      </c>
      <c r="Q341" s="0" t="n">
        <f aca="false">W_PH(Q$2,$A341)</f>
        <v>893.46975683861</v>
      </c>
      <c r="R341" s="0" t="n">
        <f aca="false">W_PH(R$2,$A341)</f>
        <v>893.47478237002</v>
      </c>
      <c r="S341" s="0" t="n">
        <f aca="false">W_PH(S$2,$A341)</f>
        <v>893.479808132466</v>
      </c>
      <c r="T341" s="0" t="n">
        <f aca="false">W_PH(T$2,$A341)</f>
        <v>893.484834127268</v>
      </c>
      <c r="U341" s="0" t="n">
        <f aca="false">W_PH(U$2,$A341)</f>
        <v>893.489860355745</v>
      </c>
      <c r="V341" s="0" t="n">
        <f aca="false">W_PH(V$2,$A341)</f>
        <v>893.494886819215</v>
      </c>
      <c r="W341" s="0" t="n">
        <f aca="false">W_PH(W$2,$A341)</f>
        <v>893.499913518997</v>
      </c>
      <c r="X341" s="0" t="n">
        <f aca="false">W_PH(X$2,$A341)</f>
        <v>893.504940456412</v>
      </c>
      <c r="Y341" s="0" t="n">
        <f aca="false">W_PH(Y$2,$A341)</f>
        <v>893.555214038467</v>
      </c>
      <c r="Z341" s="0" t="n">
        <f aca="false">W_PH(Z$2,$A341)</f>
        <v>893.605507596195</v>
      </c>
      <c r="AA341" s="0" t="n">
        <f aca="false">W_PH(AA$2,$A341)</f>
        <v>893.655818517232</v>
      </c>
      <c r="AB341" s="0" t="n">
        <f aca="false">W_PH(AB$2,$A341)</f>
        <v>893.706152035974</v>
      </c>
      <c r="AC341" s="0" t="n">
        <f aca="false">W_PH(AC$2,$A341)</f>
        <v>893.75650684562</v>
      </c>
      <c r="AD341" s="0" t="n">
        <f aca="false">W_PH(AD$2,$A341)</f>
        <v>893.806886874014</v>
      </c>
      <c r="AE341" s="0" t="n">
        <f aca="false">W_PH(AE$2,$A341)</f>
        <v>893.857289501454</v>
      </c>
      <c r="AF341" s="0" t="n">
        <f aca="false">W_PH(AF$2,$A341)</f>
        <v>893.907718655299</v>
      </c>
      <c r="AG341" s="0" t="n">
        <f aca="false">W_PH(AG$2,$A341)</f>
        <v>893.958175643968</v>
      </c>
      <c r="AH341" s="0" t="n">
        <f aca="false">W_PH(AH$2,$A341)</f>
        <v>894.464507396179</v>
      </c>
      <c r="AI341" s="0" t="n">
        <f aca="false">W_PH(AI$2,$A341)</f>
        <v>894.974926067327</v>
      </c>
      <c r="AJ341" s="0" t="n">
        <f aca="false">W_PH(AJ$2,$A341)</f>
        <v>895.490672940341</v>
      </c>
      <c r="AK341" s="0" t="n">
        <f aca="false">W_PH(AK$2,$A341)</f>
        <v>896.012988175751</v>
      </c>
      <c r="AL341" s="0" t="n">
        <f aca="false">W_PH(AL$2,$A341)</f>
        <v>896.543104430874</v>
      </c>
      <c r="AM341" s="0" t="n">
        <f aca="false">W_PH(AM$2,$A341)</f>
        <v>897.082255090229</v>
      </c>
      <c r="AN341" s="0" t="n">
        <f aca="false">W_PH(AN$2,$A341)</f>
        <v>897.631663898074</v>
      </c>
      <c r="AO341" s="0" t="n">
        <f aca="false">W_PH(AO$2,$A341)</f>
        <v>898.192557293522</v>
      </c>
      <c r="AP341" s="0" t="n">
        <f aca="false">W_PH(AP$2,$A341)</f>
        <v>2015</v>
      </c>
      <c r="AQ341" s="0" t="n">
        <f aca="false">W_PH(AQ$2,$A341)</f>
        <v>2015</v>
      </c>
      <c r="AR341" s="0" t="n">
        <f aca="false">W_PH(AR$2,$A341)</f>
        <v>2015</v>
      </c>
      <c r="AS341" s="0" t="n">
        <f aca="false">W_PH(AS$2,$A341)</f>
        <v>2015</v>
      </c>
    </row>
    <row r="342" customFormat="false" ht="13.8" hidden="false" customHeight="false" outlineLevel="0" collapsed="false">
      <c r="A342" s="0" t="n">
        <v>5020</v>
      </c>
      <c r="B342" s="0" t="n">
        <f aca="false">W_PH(B$2,$A342)</f>
        <v>894.592079069623</v>
      </c>
      <c r="C342" s="0" t="n">
        <f aca="false">W_PH(C$2,$A342)</f>
        <v>894.59212869324</v>
      </c>
      <c r="D342" s="0" t="n">
        <f aca="false">W_PH(D$2,$A342)</f>
        <v>894.59217831688</v>
      </c>
      <c r="E342" s="0" t="n">
        <f aca="false">W_PH(E$2,$A342)</f>
        <v>894.592230550142</v>
      </c>
      <c r="F342" s="0" t="n">
        <f aca="false">W_PH(F$2,$A342)</f>
        <v>894.592280173826</v>
      </c>
      <c r="G342" s="0" t="n">
        <f aca="false">W_PH(G$2,$A342)</f>
        <v>894.59278424069</v>
      </c>
      <c r="H342" s="0" t="n">
        <f aca="false">W_PH(H$2,$A342)</f>
        <v>894.593288309776</v>
      </c>
      <c r="I342" s="0" t="n">
        <f aca="false">W_PH(I$2,$A342)</f>
        <v>894.593792381087</v>
      </c>
      <c r="J342" s="0" t="n">
        <f aca="false">W_PH(J$2,$A342)</f>
        <v>894.594296454623</v>
      </c>
      <c r="K342" s="0" t="n">
        <f aca="false">W_PH(K$2,$A342)</f>
        <v>894.594800530385</v>
      </c>
      <c r="L342" s="0" t="n">
        <f aca="false">W_PH(L$2,$A342)</f>
        <v>894.595304608376</v>
      </c>
      <c r="M342" s="0" t="n">
        <f aca="false">W_PH(M$2,$A342)</f>
        <v>894.595808688596</v>
      </c>
      <c r="N342" s="0" t="n">
        <f aca="false">W_PH(N$2,$A342)</f>
        <v>894.596314075884</v>
      </c>
      <c r="O342" s="0" t="n">
        <f aca="false">W_PH(O$2,$A342)</f>
        <v>894.596819465414</v>
      </c>
      <c r="P342" s="0" t="n">
        <f aca="false">W_PH(P$2,$A342)</f>
        <v>894.601860435384</v>
      </c>
      <c r="Q342" s="0" t="n">
        <f aca="false">W_PH(Q$2,$A342)</f>
        <v>894.606904239861</v>
      </c>
      <c r="R342" s="0" t="n">
        <f aca="false">W_PH(R$2,$A342)</f>
        <v>894.611946965496</v>
      </c>
      <c r="S342" s="0" t="n">
        <f aca="false">W_PH(S$2,$A342)</f>
        <v>894.616989918486</v>
      </c>
      <c r="T342" s="0" t="n">
        <f aca="false">W_PH(T$2,$A342)</f>
        <v>894.622034405207</v>
      </c>
      <c r="U342" s="0" t="n">
        <f aca="false">W_PH(U$2,$A342)</f>
        <v>894.62707651177</v>
      </c>
      <c r="V342" s="0" t="n">
        <f aca="false">W_PH(V$2,$A342)</f>
        <v>894.632121459841</v>
      </c>
      <c r="W342" s="0" t="n">
        <f aca="false">W_PH(W$2,$A342)</f>
        <v>894.637164030193</v>
      </c>
      <c r="X342" s="0" t="n">
        <f aca="false">W_PH(X$2,$A342)</f>
        <v>894.642209444853</v>
      </c>
      <c r="Y342" s="0" t="n">
        <f aca="false">W_PH(Y$2,$A342)</f>
        <v>894.692658469565</v>
      </c>
      <c r="Z342" s="0" t="n">
        <f aca="false">W_PH(Z$2,$A342)</f>
        <v>894.743125790995</v>
      </c>
      <c r="AA342" s="0" t="n">
        <f aca="false">W_PH(AA$2,$A342)</f>
        <v>894.793612711557</v>
      </c>
      <c r="AB342" s="0" t="n">
        <f aca="false">W_PH(AB$2,$A342)</f>
        <v>894.844120533202</v>
      </c>
      <c r="AC342" s="0" t="n">
        <f aca="false">W_PH(AC$2,$A342)</f>
        <v>894.894650557415</v>
      </c>
      <c r="AD342" s="0" t="n">
        <f aca="false">W_PH(AD$2,$A342)</f>
        <v>894.945202777281</v>
      </c>
      <c r="AE342" s="0" t="n">
        <f aca="false">W_PH(AE$2,$A342)</f>
        <v>894.995779800406</v>
      </c>
      <c r="AF342" s="0" t="n">
        <f aca="false">W_PH(AF$2,$A342)</f>
        <v>895.046381618061</v>
      </c>
      <c r="AG342" s="0" t="n">
        <f aca="false">W_PH(AG$2,$A342)</f>
        <v>895.097010837829</v>
      </c>
      <c r="AH342" s="0" t="n">
        <f aca="false">W_PH(AH$2,$A342)</f>
        <v>895.605055022423</v>
      </c>
      <c r="AI342" s="0" t="n">
        <f aca="false">W_PH(AI$2,$A342)</f>
        <v>896.117141490279</v>
      </c>
      <c r="AJ342" s="0" t="n">
        <f aca="false">W_PH(AJ$2,$A342)</f>
        <v>896.634511039385</v>
      </c>
      <c r="AK342" s="0" t="n">
        <f aca="false">W_PH(AK$2,$A342)</f>
        <v>897.158390284799</v>
      </c>
      <c r="AL342" s="0" t="n">
        <f aca="false">W_PH(AL$2,$A342)</f>
        <v>897.690006364009</v>
      </c>
      <c r="AM342" s="0" t="n">
        <f aca="false">W_PH(AM$2,$A342)</f>
        <v>898.230584596783</v>
      </c>
      <c r="AN342" s="0" t="n">
        <f aca="false">W_PH(AN$2,$A342)</f>
        <v>898.781340764884</v>
      </c>
      <c r="AO342" s="0" t="n">
        <f aca="false">W_PH(AO$2,$A342)</f>
        <v>899.343493423291</v>
      </c>
      <c r="AP342" s="0" t="n">
        <f aca="false">W_PH(AP$2,$A342)</f>
        <v>2015</v>
      </c>
      <c r="AQ342" s="0" t="n">
        <f aca="false">W_PH(AQ$2,$A342)</f>
        <v>2015</v>
      </c>
      <c r="AR342" s="0" t="n">
        <f aca="false">W_PH(AR$2,$A342)</f>
        <v>2015</v>
      </c>
      <c r="AS342" s="0" t="n">
        <f aca="false">W_PH(AS$2,$A342)</f>
        <v>2015</v>
      </c>
    </row>
    <row r="343" customFormat="false" ht="13.8" hidden="false" customHeight="false" outlineLevel="0" collapsed="false">
      <c r="A343" s="0" t="n">
        <v>5030</v>
      </c>
      <c r="B343" s="0" t="n">
        <f aca="false">W_PH(B$2,$A343)</f>
        <v>895.726670495427</v>
      </c>
      <c r="C343" s="0" t="n">
        <f aca="false">W_PH(C$2,$A343)</f>
        <v>895.726720509058</v>
      </c>
      <c r="D343" s="0" t="n">
        <f aca="false">W_PH(D$2,$A343)</f>
        <v>895.72677052271</v>
      </c>
      <c r="E343" s="0" t="n">
        <f aca="false">W_PH(E$2,$A343)</f>
        <v>895.726820536383</v>
      </c>
      <c r="F343" s="0" t="n">
        <f aca="false">W_PH(F$2,$A343)</f>
        <v>895.726873156279</v>
      </c>
      <c r="G343" s="0" t="n">
        <f aca="false">W_PH(G$2,$A343)</f>
        <v>895.727378506839</v>
      </c>
      <c r="H343" s="0" t="n">
        <f aca="false">W_PH(H$2,$A343)</f>
        <v>895.727883859582</v>
      </c>
      <c r="I343" s="0" t="n">
        <f aca="false">W_PH(I$2,$A343)</f>
        <v>895.728389214512</v>
      </c>
      <c r="J343" s="0" t="n">
        <f aca="false">W_PH(J$2,$A343)</f>
        <v>895.728897177865</v>
      </c>
      <c r="K343" s="0" t="n">
        <f aca="false">W_PH(K$2,$A343)</f>
        <v>895.729402537178</v>
      </c>
      <c r="L343" s="0" t="n">
        <f aca="false">W_PH(L$2,$A343)</f>
        <v>895.729907898681</v>
      </c>
      <c r="M343" s="0" t="n">
        <f aca="false">W_PH(M$2,$A343)</f>
        <v>895.730413262374</v>
      </c>
      <c r="N343" s="0" t="n">
        <f aca="false">W_PH(N$2,$A343)</f>
        <v>895.730921234532</v>
      </c>
      <c r="O343" s="0" t="n">
        <f aca="false">W_PH(O$2,$A343)</f>
        <v>895.73142660262</v>
      </c>
      <c r="P343" s="0" t="n">
        <f aca="false">W_PH(P$2,$A343)</f>
        <v>895.736485617159</v>
      </c>
      <c r="Q343" s="0" t="n">
        <f aca="false">W_PH(Q$2,$A343)</f>
        <v>895.741547459281</v>
      </c>
      <c r="R343" s="0" t="n">
        <f aca="false">W_PH(R$2,$A343)</f>
        <v>895.746606917459</v>
      </c>
      <c r="S343" s="0" t="n">
        <f aca="false">W_PH(S$2,$A343)</f>
        <v>895.751666599364</v>
      </c>
      <c r="T343" s="0" t="n">
        <f aca="false">W_PH(T$2,$A343)</f>
        <v>895.756727809659</v>
      </c>
      <c r="U343" s="0" t="n">
        <f aca="false">W_PH(U$2,$A343)</f>
        <v>895.761789246371</v>
      </c>
      <c r="V343" s="0" t="n">
        <f aca="false">W_PH(V$2,$A343)</f>
        <v>895.766849607352</v>
      </c>
      <c r="W343" s="0" t="n">
        <f aca="false">W_PH(W$2,$A343)</f>
        <v>895.771910197264</v>
      </c>
      <c r="X343" s="0" t="n">
        <f aca="false">W_PH(X$2,$A343)</f>
        <v>895.776971017408</v>
      </c>
      <c r="Y343" s="0" t="n">
        <f aca="false">W_PH(Y$2,$A343)</f>
        <v>895.82759477581</v>
      </c>
      <c r="Z343" s="0" t="n">
        <f aca="false">W_PH(Z$2,$A343)</f>
        <v>895.878235163511</v>
      </c>
      <c r="AA343" s="0" t="n">
        <f aca="false">W_PH(AA$2,$A343)</f>
        <v>895.928893472842</v>
      </c>
      <c r="AB343" s="0" t="n">
        <f aca="false">W_PH(AB$2,$A343)</f>
        <v>895.979573606315</v>
      </c>
      <c r="AC343" s="0" t="n">
        <f aca="false">W_PH(AC$2,$A343)</f>
        <v>896.03027555226</v>
      </c>
      <c r="AD343" s="0" t="n">
        <f aca="false">W_PH(AD$2,$A343)</f>
        <v>896.080999296782</v>
      </c>
      <c r="AE343" s="0" t="n">
        <f aca="false">W_PH(AE$2,$A343)</f>
        <v>896.131747437053</v>
      </c>
      <c r="AF343" s="0" t="n">
        <f aca="false">W_PH(AF$2,$A343)</f>
        <v>896.182522571569</v>
      </c>
      <c r="AG343" s="0" t="n">
        <f aca="false">W_PH(AG$2,$A343)</f>
        <v>896.233320762499</v>
      </c>
      <c r="AH343" s="0" t="n">
        <f aca="false">W_PH(AH$2,$A343)</f>
        <v>896.743050385586</v>
      </c>
      <c r="AI343" s="0" t="n">
        <f aca="false">W_PH(AI$2,$A343)</f>
        <v>897.256786354531</v>
      </c>
      <c r="AJ343" s="0" t="n">
        <f aca="false">W_PH(AJ$2,$A343)</f>
        <v>897.775755914215</v>
      </c>
      <c r="AK343" s="0" t="n">
        <f aca="false">W_PH(AK$2,$A343)</f>
        <v>898.301178801086</v>
      </c>
      <c r="AL343" s="0" t="n">
        <f aca="false">W_PH(AL$2,$A343)</f>
        <v>898.834275385894</v>
      </c>
      <c r="AM343" s="0" t="n">
        <f aca="false">W_PH(AM$2,$A343)</f>
        <v>899.376258999055</v>
      </c>
      <c r="AN343" s="0" t="n">
        <f aca="false">W_PH(AN$2,$A343)</f>
        <v>899.928344181833</v>
      </c>
      <c r="AO343" s="0" t="n">
        <f aca="false">W_PH(AO$2,$A343)</f>
        <v>900.491737677042</v>
      </c>
      <c r="AP343" s="0" t="n">
        <f aca="false">W_PH(AP$2,$A343)</f>
        <v>2015</v>
      </c>
      <c r="AQ343" s="0" t="n">
        <f aca="false">W_PH(AQ$2,$A343)</f>
        <v>2015</v>
      </c>
      <c r="AR343" s="0" t="n">
        <f aca="false">W_PH(AR$2,$A343)</f>
        <v>2015</v>
      </c>
      <c r="AS343" s="0" t="n">
        <f aca="false">W_PH(AS$2,$A343)</f>
        <v>2015</v>
      </c>
    </row>
    <row r="344" customFormat="false" ht="13.8" hidden="false" customHeight="false" outlineLevel="0" collapsed="false">
      <c r="A344" s="0" t="n">
        <v>5040</v>
      </c>
      <c r="B344" s="0" t="n">
        <f aca="false">W_PH(B$2,$A344)</f>
        <v>896.85877620438</v>
      </c>
      <c r="C344" s="0" t="n">
        <f aca="false">W_PH(C$2,$A344)</f>
        <v>896.858826602895</v>
      </c>
      <c r="D344" s="0" t="n">
        <f aca="false">W_PH(D$2,$A344)</f>
        <v>896.858877001432</v>
      </c>
      <c r="E344" s="0" t="n">
        <f aca="false">W_PH(E$2,$A344)</f>
        <v>896.85892739999</v>
      </c>
      <c r="F344" s="0" t="n">
        <f aca="false">W_PH(F$2,$A344)</f>
        <v>896.858979099979</v>
      </c>
      <c r="G344" s="0" t="n">
        <f aca="false">W_PH(G$2,$A344)</f>
        <v>896.859486991189</v>
      </c>
      <c r="H344" s="0" t="n">
        <f aca="false">W_PH(H$2,$A344)</f>
        <v>896.859993583135</v>
      </c>
      <c r="I344" s="0" t="n">
        <f aca="false">W_PH(I$2,$A344)</f>
        <v>896.860502780076</v>
      </c>
      <c r="J344" s="0" t="n">
        <f aca="false">W_PH(J$2,$A344)</f>
        <v>896.861009376327</v>
      </c>
      <c r="K344" s="0" t="n">
        <f aca="false">W_PH(K$2,$A344)</f>
        <v>896.861518577593</v>
      </c>
      <c r="L344" s="0" t="n">
        <f aca="false">W_PH(L$2,$A344)</f>
        <v>896.862025178155</v>
      </c>
      <c r="M344" s="0" t="n">
        <f aca="false">W_PH(M$2,$A344)</f>
        <v>896.86253308231</v>
      </c>
      <c r="N344" s="0" t="n">
        <f aca="false">W_PH(N$2,$A344)</f>
        <v>896.863040988628</v>
      </c>
      <c r="O344" s="0" t="n">
        <f aca="false">W_PH(O$2,$A344)</f>
        <v>896.863547595661</v>
      </c>
      <c r="P344" s="0" t="n">
        <f aca="false">W_PH(P$2,$A344)</f>
        <v>896.868625498254</v>
      </c>
      <c r="Q344" s="0" t="n">
        <f aca="false">W_PH(Q$2,$A344)</f>
        <v>896.87370361859</v>
      </c>
      <c r="R344" s="0" t="n">
        <f aca="false">W_PH(R$2,$A344)</f>
        <v>896.878780656379</v>
      </c>
      <c r="S344" s="0" t="n">
        <f aca="false">W_PH(S$2,$A344)</f>
        <v>896.883857914408</v>
      </c>
      <c r="T344" s="0" t="n">
        <f aca="false">W_PH(T$2,$A344)</f>
        <v>896.888935393969</v>
      </c>
      <c r="U344" s="0" t="n">
        <f aca="false">W_PH(U$2,$A344)</f>
        <v>896.894013096355</v>
      </c>
      <c r="V344" s="0" t="n">
        <f aca="false">W_PH(V$2,$A344)</f>
        <v>896.899091022858</v>
      </c>
      <c r="W344" s="0" t="n">
        <f aca="false">W_PH(W$2,$A344)</f>
        <v>896.90416917477</v>
      </c>
      <c r="X344" s="0" t="n">
        <f aca="false">W_PH(X$2,$A344)</f>
        <v>896.909247553383</v>
      </c>
      <c r="Y344" s="0" t="n">
        <f aca="false">W_PH(Y$2,$A344)</f>
        <v>896.960041487825</v>
      </c>
      <c r="Z344" s="0" t="n">
        <f aca="false">W_PH(Z$2,$A344)</f>
        <v>897.010851695567</v>
      </c>
      <c r="AA344" s="0" t="n">
        <f aca="false">W_PH(AA$2,$A344)</f>
        <v>897.06168206662</v>
      </c>
      <c r="AB344" s="0" t="n">
        <f aca="false">W_PH(AB$2,$A344)</f>
        <v>897.11253127966</v>
      </c>
      <c r="AC344" s="0" t="n">
        <f aca="false">W_PH(AC$2,$A344)</f>
        <v>897.16340192153</v>
      </c>
      <c r="AD344" s="0" t="n">
        <f aca="false">W_PH(AD$2,$A344)</f>
        <v>897.214295275909</v>
      </c>
      <c r="AE344" s="0" t="n">
        <f aca="false">W_PH(AE$2,$A344)</f>
        <v>897.265212626036</v>
      </c>
      <c r="AF344" s="0" t="n">
        <f aca="false">W_PH(AF$2,$A344)</f>
        <v>897.316155254711</v>
      </c>
      <c r="AG344" s="0" t="n">
        <f aca="false">W_PH(AG$2,$A344)</f>
        <v>897.367123138509</v>
      </c>
      <c r="AH344" s="0" t="n">
        <f aca="false">W_PH(AH$2,$A344)</f>
        <v>897.878517074979</v>
      </c>
      <c r="AI344" s="0" t="n">
        <f aca="false">W_PH(AI$2,$A344)</f>
        <v>898.393879590125</v>
      </c>
      <c r="AJ344" s="0" t="n">
        <f aca="false">W_PH(AJ$2,$A344)</f>
        <v>898.914424444973</v>
      </c>
      <c r="AK344" s="0" t="n">
        <f aca="false">W_PH(AK$2,$A344)</f>
        <v>899.441368515766</v>
      </c>
      <c r="AL344" s="0" t="n">
        <f aca="false">W_PH(AL$2,$A344)</f>
        <v>899.97592549165</v>
      </c>
      <c r="AM344" s="0" t="n">
        <f aca="false">W_PH(AM$2,$A344)</f>
        <v>900.51929947435</v>
      </c>
      <c r="AN344" s="0" t="n">
        <f aca="false">W_PH(AN$2,$A344)</f>
        <v>901.072695842084</v>
      </c>
      <c r="AO344" s="0" t="n">
        <f aca="false">W_PH(AO$2,$A344)</f>
        <v>901.637313588816</v>
      </c>
      <c r="AP344" s="0" t="n">
        <f aca="false">W_PH(AP$2,$A344)</f>
        <v>2015</v>
      </c>
      <c r="AQ344" s="0" t="n">
        <f aca="false">W_PH(AQ$2,$A344)</f>
        <v>2015</v>
      </c>
      <c r="AR344" s="0" t="n">
        <f aca="false">W_PH(AR$2,$A344)</f>
        <v>2015</v>
      </c>
      <c r="AS344" s="0" t="n">
        <f aca="false">W_PH(AS$2,$A344)</f>
        <v>2015</v>
      </c>
    </row>
    <row r="345" customFormat="false" ht="13.8" hidden="false" customHeight="false" outlineLevel="0" collapsed="false">
      <c r="A345" s="0" t="n">
        <v>5050</v>
      </c>
      <c r="B345" s="0" t="n">
        <f aca="false">W_PH(B$2,$A345)</f>
        <v>897.988413135012</v>
      </c>
      <c r="C345" s="0" t="n">
        <f aca="false">W_PH(C$2,$A345)</f>
        <v>897.988465213089</v>
      </c>
      <c r="D345" s="0" t="n">
        <f aca="false">W_PH(D$2,$A345)</f>
        <v>897.988515991458</v>
      </c>
      <c r="E345" s="0" t="n">
        <f aca="false">W_PH(E$2,$A345)</f>
        <v>897.988568069579</v>
      </c>
      <c r="F345" s="0" t="n">
        <f aca="false">W_PH(F$2,$A345)</f>
        <v>897.988618847991</v>
      </c>
      <c r="G345" s="0" t="n">
        <f aca="false">W_PH(G$2,$A345)</f>
        <v>897.98912663327</v>
      </c>
      <c r="H345" s="0" t="n">
        <f aca="false">W_PH(H$2,$A345)</f>
        <v>897.989637020137</v>
      </c>
      <c r="I345" s="0" t="n">
        <f aca="false">W_PH(I$2,$A345)</f>
        <v>897.990146109387</v>
      </c>
      <c r="J345" s="0" t="n">
        <f aca="false">W_PH(J$2,$A345)</f>
        <v>897.990655200758</v>
      </c>
      <c r="K345" s="0" t="n">
        <f aca="false">W_PH(K$2,$A345)</f>
        <v>897.991165594002</v>
      </c>
      <c r="L345" s="0" t="n">
        <f aca="false">W_PH(L$2,$A345)</f>
        <v>897.991673389864</v>
      </c>
      <c r="M345" s="0" t="n">
        <f aca="false">W_PH(M$2,$A345)</f>
        <v>897.992183787363</v>
      </c>
      <c r="N345" s="0" t="n">
        <f aca="false">W_PH(N$2,$A345)</f>
        <v>897.992692887232</v>
      </c>
      <c r="O345" s="0" t="n">
        <f aca="false">W_PH(O$2,$A345)</f>
        <v>897.993201989226</v>
      </c>
      <c r="P345" s="0" t="n">
        <f aca="false">W_PH(P$2,$A345)</f>
        <v>897.998295726037</v>
      </c>
      <c r="Q345" s="0" t="n">
        <f aca="false">W_PH(Q$2,$A345)</f>
        <v>898.003389677083</v>
      </c>
      <c r="R345" s="0" t="n">
        <f aca="false">W_PH(R$2,$A345)</f>
        <v>898.008483843648</v>
      </c>
      <c r="S345" s="0" t="n">
        <f aca="false">W_PH(S$2,$A345)</f>
        <v>898.013578227016</v>
      </c>
      <c r="T345" s="0" t="n">
        <f aca="false">W_PH(T$2,$A345)</f>
        <v>898.018672828471</v>
      </c>
      <c r="U345" s="0" t="n">
        <f aca="false">W_PH(U$2,$A345)</f>
        <v>898.023767649297</v>
      </c>
      <c r="V345" s="0" t="n">
        <f aca="false">W_PH(V$2,$A345)</f>
        <v>898.028862690777</v>
      </c>
      <c r="W345" s="0" t="n">
        <f aca="false">W_PH(W$2,$A345)</f>
        <v>898.033957954196</v>
      </c>
      <c r="X345" s="0" t="n">
        <f aca="false">W_PH(X$2,$A345)</f>
        <v>898.039053440836</v>
      </c>
      <c r="Y345" s="0" t="n">
        <f aca="false">W_PH(Y$2,$A345)</f>
        <v>898.090015664436</v>
      </c>
      <c r="Z345" s="0" t="n">
        <f aca="false">W_PH(Z$2,$A345)</f>
        <v>898.140993812277</v>
      </c>
      <c r="AA345" s="0" t="n">
        <f aca="false">W_PH(AA$2,$A345)</f>
        <v>898.191991762414</v>
      </c>
      <c r="AB345" s="0" t="n">
        <f aca="false">W_PH(AB$2,$A345)</f>
        <v>898.243008188356</v>
      </c>
      <c r="AC345" s="0" t="n">
        <f aca="false">W_PH(AC$2,$A345)</f>
        <v>898.294046969029</v>
      </c>
      <c r="AD345" s="0" t="n">
        <f aca="false">W_PH(AD$2,$A345)</f>
        <v>898.345106775346</v>
      </c>
      <c r="AE345" s="0" t="n">
        <f aca="false">W_PH(AE$2,$A345)</f>
        <v>898.396191487106</v>
      </c>
      <c r="AF345" s="0" t="n">
        <f aca="false">W_PH(AF$2,$A345)</f>
        <v>898.447299772633</v>
      </c>
      <c r="AG345" s="0" t="n">
        <f aca="false">W_PH(AG$2,$A345)</f>
        <v>898.498432904484</v>
      </c>
      <c r="AH345" s="0" t="n">
        <f aca="false">W_PH(AH$2,$A345)</f>
        <v>899.011470615701</v>
      </c>
      <c r="AI345" s="0" t="n">
        <f aca="false">W_PH(AI$2,$A345)</f>
        <v>899.528434679945</v>
      </c>
      <c r="AJ345" s="0" t="n">
        <f aca="false">W_PH(AJ$2,$A345)</f>
        <v>900.050535952655</v>
      </c>
      <c r="AK345" s="0" t="n">
        <f aca="false">W_PH(AK$2,$A345)</f>
        <v>900.578983279026</v>
      </c>
      <c r="AL345" s="0" t="n">
        <f aca="false">W_PH(AL$2,$A345)</f>
        <v>901.114981087216</v>
      </c>
      <c r="AM345" s="0" t="n">
        <f aca="false">W_PH(AM$2,$A345)</f>
        <v>901.659724302549</v>
      </c>
      <c r="AN345" s="0" t="n">
        <f aca="false">W_PH(AN$2,$A345)</f>
        <v>902.214411857839</v>
      </c>
      <c r="AO345" s="0" t="n">
        <f aca="false">W_PH(AO$2,$A345)</f>
        <v>902.780239078446</v>
      </c>
      <c r="AP345" s="0" t="n">
        <f aca="false">W_PH(AP$2,$A345)</f>
        <v>2015</v>
      </c>
      <c r="AQ345" s="0" t="n">
        <f aca="false">W_PH(AQ$2,$A345)</f>
        <v>2015</v>
      </c>
      <c r="AR345" s="0" t="n">
        <f aca="false">W_PH(AR$2,$A345)</f>
        <v>2015</v>
      </c>
      <c r="AS345" s="0" t="n">
        <f aca="false">W_PH(AS$2,$A345)</f>
        <v>2015</v>
      </c>
    </row>
    <row r="346" customFormat="false" ht="13.8" hidden="false" customHeight="false" outlineLevel="0" collapsed="false">
      <c r="A346" s="0" t="n">
        <v>5060</v>
      </c>
      <c r="B346" s="0" t="n">
        <f aca="false">W_PH(B$2,$A346)</f>
        <v>899.115600662515</v>
      </c>
      <c r="C346" s="0" t="n">
        <f aca="false">W_PH(C$2,$A346)</f>
        <v>899.115651815719</v>
      </c>
      <c r="D346" s="0" t="n">
        <f aca="false">W_PH(D$2,$A346)</f>
        <v>899.115702968943</v>
      </c>
      <c r="E346" s="0" t="n">
        <f aca="false">W_PH(E$2,$A346)</f>
        <v>899.115754122189</v>
      </c>
      <c r="F346" s="0" t="n">
        <f aca="false">W_PH(F$2,$A346)</f>
        <v>899.115805275455</v>
      </c>
      <c r="G346" s="0" t="n">
        <f aca="false">W_PH(G$2,$A346)</f>
        <v>899.116316809266</v>
      </c>
      <c r="H346" s="0" t="n">
        <f aca="false">W_PH(H$2,$A346)</f>
        <v>899.116828345166</v>
      </c>
      <c r="I346" s="0" t="n">
        <f aca="false">W_PH(I$2,$A346)</f>
        <v>899.117338585082</v>
      </c>
      <c r="J346" s="0" t="n">
        <f aca="false">W_PH(J$2,$A346)</f>
        <v>899.117848827082</v>
      </c>
      <c r="K346" s="0" t="n">
        <f aca="false">W_PH(K$2,$A346)</f>
        <v>899.118360369249</v>
      </c>
      <c r="L346" s="0" t="n">
        <f aca="false">W_PH(L$2,$A346)</f>
        <v>899.118871913509</v>
      </c>
      <c r="M346" s="0" t="n">
        <f aca="false">W_PH(M$2,$A346)</f>
        <v>899.119383459866</v>
      </c>
      <c r="N346" s="0" t="n">
        <f aca="false">W_PH(N$2,$A346)</f>
        <v>899.119895008319</v>
      </c>
      <c r="O346" s="0" t="n">
        <f aca="false">W_PH(O$2,$A346)</f>
        <v>899.120403962671</v>
      </c>
      <c r="P346" s="0" t="n">
        <f aca="false">W_PH(P$2,$A346)</f>
        <v>899.125515689342</v>
      </c>
      <c r="Q346" s="0" t="n">
        <f aca="false">W_PH(Q$2,$A346)</f>
        <v>899.13062632878</v>
      </c>
      <c r="R346" s="0" t="n">
        <f aca="false">W_PH(R$2,$A346)</f>
        <v>899.135737180358</v>
      </c>
      <c r="S346" s="0" t="n">
        <f aca="false">W_PH(S$2,$A346)</f>
        <v>899.140848245353</v>
      </c>
      <c r="T346" s="0" t="n">
        <f aca="false">W_PH(T$2,$A346)</f>
        <v>899.14595952504</v>
      </c>
      <c r="U346" s="0" t="n">
        <f aca="false">W_PH(U$2,$A346)</f>
        <v>899.151071020693</v>
      </c>
      <c r="V346" s="0" t="n">
        <f aca="false">W_PH(V$2,$A346)</f>
        <v>899.156181435188</v>
      </c>
      <c r="W346" s="0" t="n">
        <f aca="false">W_PH(W$2,$A346)</f>
        <v>899.161293366557</v>
      </c>
      <c r="X346" s="0" t="n">
        <f aca="false">W_PH(X$2,$A346)</f>
        <v>899.166405517718</v>
      </c>
      <c r="Y346" s="0" t="n">
        <f aca="false">W_PH(Y$2,$A346)</f>
        <v>899.217534202725</v>
      </c>
      <c r="Z346" s="0" t="n">
        <f aca="false">W_PH(Z$2,$A346)</f>
        <v>899.268678469722</v>
      </c>
      <c r="AA346" s="0" t="n">
        <f aca="false">W_PH(AA$2,$A346)</f>
        <v>899.31983958537</v>
      </c>
      <c r="AB346" s="0" t="n">
        <f aca="false">W_PH(AB$2,$A346)</f>
        <v>899.371022716512</v>
      </c>
      <c r="AC346" s="0" t="n">
        <f aca="false">W_PH(AC$2,$A346)</f>
        <v>899.422225230934</v>
      </c>
      <c r="AD346" s="0" t="n">
        <f aca="false">W_PH(AD$2,$A346)</f>
        <v>899.473450996148</v>
      </c>
      <c r="AE346" s="0" t="n">
        <f aca="false">W_PH(AE$2,$A346)</f>
        <v>899.524698676732</v>
      </c>
      <c r="AF346" s="0" t="n">
        <f aca="false">W_PH(AF$2,$A346)</f>
        <v>899.575970839161</v>
      </c>
      <c r="AG346" s="0" t="n">
        <f aca="false">W_PH(AG$2,$A346)</f>
        <v>899.6272700512</v>
      </c>
      <c r="AH346" s="0" t="n">
        <f aca="false">W_PH(AH$2,$A346)</f>
        <v>900.141926364779</v>
      </c>
      <c r="AI346" s="0" t="n">
        <f aca="false">W_PH(AI$2,$A346)</f>
        <v>900.660472807374</v>
      </c>
      <c r="AJ346" s="0" t="n">
        <f aca="false">W_PH(AJ$2,$A346)</f>
        <v>901.184112183769</v>
      </c>
      <c r="AK346" s="0" t="n">
        <f aca="false">W_PH(AK$2,$A346)</f>
        <v>901.714040107743</v>
      </c>
      <c r="AL346" s="0" t="n">
        <f aca="false">W_PH(AL$2,$A346)</f>
        <v>902.251457068065</v>
      </c>
      <c r="AM346" s="0" t="n">
        <f aca="false">W_PH(AM$2,$A346)</f>
        <v>902.797551544491</v>
      </c>
      <c r="AN346" s="0" t="n">
        <f aca="false">W_PH(AN$2,$A346)</f>
        <v>903.353516114722</v>
      </c>
      <c r="AO346" s="0" t="n">
        <f aca="false">W_PH(AO$2,$A346)</f>
        <v>903.920534506202</v>
      </c>
      <c r="AP346" s="0" t="n">
        <f aca="false">W_PH(AP$2,$A346)</f>
        <v>2015</v>
      </c>
      <c r="AQ346" s="0" t="n">
        <f aca="false">W_PH(AQ$2,$A346)</f>
        <v>2015</v>
      </c>
      <c r="AR346" s="0" t="n">
        <f aca="false">W_PH(AR$2,$A346)</f>
        <v>2015</v>
      </c>
      <c r="AS346" s="0" t="n">
        <f aca="false">W_PH(AS$2,$A346)</f>
        <v>2015</v>
      </c>
    </row>
    <row r="347" customFormat="false" ht="13.8" hidden="false" customHeight="false" outlineLevel="0" collapsed="false">
      <c r="A347" s="0" t="n">
        <v>5070</v>
      </c>
      <c r="B347" s="0" t="n">
        <f aca="false">W_PH(B$2,$A347)</f>
        <v>900.240354102679</v>
      </c>
      <c r="C347" s="0" t="n">
        <f aca="false">W_PH(C$2,$A347)</f>
        <v>900.240404329434</v>
      </c>
      <c r="D347" s="0" t="n">
        <f aca="false">W_PH(D$2,$A347)</f>
        <v>900.24045585261</v>
      </c>
      <c r="E347" s="0" t="n">
        <f aca="false">W_PH(E$2,$A347)</f>
        <v>900.240507375806</v>
      </c>
      <c r="F347" s="0" t="n">
        <f aca="false">W_PH(F$2,$A347)</f>
        <v>900.240558899022</v>
      </c>
      <c r="G347" s="0" t="n">
        <f aca="false">W_PH(G$2,$A347)</f>
        <v>900.241071539515</v>
      </c>
      <c r="H347" s="0" t="n">
        <f aca="false">W_PH(H$2,$A347)</f>
        <v>900.241584182061</v>
      </c>
      <c r="I347" s="0" t="n">
        <f aca="false">W_PH(I$2,$A347)</f>
        <v>900.242096826661</v>
      </c>
      <c r="J347" s="0" t="n">
        <f aca="false">W_PH(J$2,$A347)</f>
        <v>900.242609473316</v>
      </c>
      <c r="K347" s="0" t="n">
        <f aca="false">W_PH(K$2,$A347)</f>
        <v>900.243122122028</v>
      </c>
      <c r="L347" s="0" t="n">
        <f aca="false">W_PH(L$2,$A347)</f>
        <v>900.243634772797</v>
      </c>
      <c r="M347" s="0" t="n">
        <f aca="false">W_PH(M$2,$A347)</f>
        <v>900.244147425625</v>
      </c>
      <c r="N347" s="0" t="n">
        <f aca="false">W_PH(N$2,$A347)</f>
        <v>900.244660080513</v>
      </c>
      <c r="O347" s="0" t="n">
        <f aca="false">W_PH(O$2,$A347)</f>
        <v>900.245172737463</v>
      </c>
      <c r="P347" s="0" t="n">
        <f aca="false">W_PH(P$2,$A347)</f>
        <v>900.250299420624</v>
      </c>
      <c r="Q347" s="0" t="n">
        <f aca="false">W_PH(Q$2,$A347)</f>
        <v>900.255427607854</v>
      </c>
      <c r="R347" s="0" t="n">
        <f aca="false">W_PH(R$2,$A347)</f>
        <v>900.260554707414</v>
      </c>
      <c r="S347" s="0" t="n">
        <f aca="false">W_PH(S$2,$A347)</f>
        <v>900.265683313662</v>
      </c>
      <c r="T347" s="0" t="n">
        <f aca="false">W_PH(T$2,$A347)</f>
        <v>900.270810834688</v>
      </c>
      <c r="U347" s="0" t="n">
        <f aca="false">W_PH(U$2,$A347)</f>
        <v>900.275938568326</v>
      </c>
      <c r="V347" s="0" t="n">
        <f aca="false">W_PH(V$2,$A347)</f>
        <v>900.281066515843</v>
      </c>
      <c r="W347" s="0" t="n">
        <f aca="false">W_PH(W$2,$A347)</f>
        <v>900.286194678505</v>
      </c>
      <c r="X347" s="0" t="n">
        <f aca="false">W_PH(X$2,$A347)</f>
        <v>900.291321760756</v>
      </c>
      <c r="Y347" s="0" t="n">
        <f aca="false">W_PH(Y$2,$A347)</f>
        <v>900.342613840608</v>
      </c>
      <c r="Z347" s="0" t="n">
        <f aca="false">W_PH(Z$2,$A347)</f>
        <v>900.393919868359</v>
      </c>
      <c r="AA347" s="0" t="n">
        <f aca="false">W_PH(AA$2,$A347)</f>
        <v>900.445247591483</v>
      </c>
      <c r="AB347" s="0" t="n">
        <f aca="false">W_PH(AB$2,$A347)</f>
        <v>900.496593078859</v>
      </c>
      <c r="AC347" s="0" t="n">
        <f aca="false">W_PH(AC$2,$A347)</f>
        <v>900.547957587942</v>
      </c>
      <c r="AD347" s="0" t="n">
        <f aca="false">W_PH(AD$2,$A347)</f>
        <v>900.599344974502</v>
      </c>
      <c r="AE347" s="0" t="n">
        <f aca="false">W_PH(AE$2,$A347)</f>
        <v>900.65075649771</v>
      </c>
      <c r="AF347" s="0" t="n">
        <f aca="false">W_PH(AF$2,$A347)</f>
        <v>900.702190815914</v>
      </c>
      <c r="AG347" s="0" t="n">
        <f aca="false">W_PH(AG$2,$A347)</f>
        <v>900.753650485564</v>
      </c>
      <c r="AH347" s="0" t="n">
        <f aca="false">W_PH(AH$2,$A347)</f>
        <v>901.269904733281</v>
      </c>
      <c r="AI347" s="0" t="n">
        <f aca="false">W_PH(AI$2,$A347)</f>
        <v>901.790012332965</v>
      </c>
      <c r="AJ347" s="0" t="n">
        <f aca="false">W_PH(AJ$2,$A347)</f>
        <v>902.315165477374</v>
      </c>
      <c r="AK347" s="0" t="n">
        <f aca="false">W_PH(AK$2,$A347)</f>
        <v>902.846555822883</v>
      </c>
      <c r="AL347" s="0" t="n">
        <f aca="false">W_PH(AL$2,$A347)</f>
        <v>903.385373424166</v>
      </c>
      <c r="AM347" s="0" t="n">
        <f aca="false">W_PH(AM$2,$A347)</f>
        <v>903.932801695917</v>
      </c>
      <c r="AN347" s="0" t="n">
        <f aca="false">W_PH(AN$2,$A347)</f>
        <v>904.49002426825</v>
      </c>
      <c r="AO347" s="0" t="n">
        <f aca="false">W_PH(AO$2,$A347)</f>
        <v>905.058215993261</v>
      </c>
      <c r="AP347" s="0" t="n">
        <f aca="false">W_PH(AP$2,$A347)</f>
        <v>2015</v>
      </c>
      <c r="AQ347" s="0" t="n">
        <f aca="false">W_PH(AQ$2,$A347)</f>
        <v>2015</v>
      </c>
      <c r="AR347" s="0" t="n">
        <f aca="false">W_PH(AR$2,$A347)</f>
        <v>2015</v>
      </c>
      <c r="AS347" s="0" t="n">
        <f aca="false">W_PH(AS$2,$A347)</f>
        <v>2015</v>
      </c>
    </row>
    <row r="348" customFormat="false" ht="13.8" hidden="false" customHeight="false" outlineLevel="0" collapsed="false">
      <c r="A348" s="0" t="n">
        <v>5080</v>
      </c>
      <c r="B348" s="0" t="n">
        <f aca="false">W_PH(B$2,$A348)</f>
        <v>901.36268862356</v>
      </c>
      <c r="C348" s="0" t="n">
        <f aca="false">W_PH(C$2,$A348)</f>
        <v>901.362740511833</v>
      </c>
      <c r="D348" s="0" t="n">
        <f aca="false">W_PH(D$2,$A348)</f>
        <v>901.362792400128</v>
      </c>
      <c r="E348" s="0" t="n">
        <f aca="false">W_PH(E$2,$A348)</f>
        <v>901.362844288443</v>
      </c>
      <c r="F348" s="0" t="n">
        <f aca="false">W_PH(F$2,$A348)</f>
        <v>901.362896176778</v>
      </c>
      <c r="G348" s="0" t="n">
        <f aca="false">W_PH(G$2,$A348)</f>
        <v>901.363409882231</v>
      </c>
      <c r="H348" s="0" t="n">
        <f aca="false">W_PH(H$2,$A348)</f>
        <v>901.363923589702</v>
      </c>
      <c r="I348" s="0" t="n">
        <f aca="false">W_PH(I$2,$A348)</f>
        <v>901.36443729919</v>
      </c>
      <c r="J348" s="0" t="n">
        <f aca="false">W_PH(J$2,$A348)</f>
        <v>901.364953600236</v>
      </c>
      <c r="K348" s="0" t="n">
        <f aca="false">W_PH(K$2,$A348)</f>
        <v>901.365467313772</v>
      </c>
      <c r="L348" s="0" t="n">
        <f aca="false">W_PH(L$2,$A348)</f>
        <v>901.36598102933</v>
      </c>
      <c r="M348" s="0" t="n">
        <f aca="false">W_PH(M$2,$A348)</f>
        <v>901.366494746911</v>
      </c>
      <c r="N348" s="0" t="n">
        <f aca="false">W_PH(N$2,$A348)</f>
        <v>901.367009761302</v>
      </c>
      <c r="O348" s="0" t="n">
        <f aca="false">W_PH(O$2,$A348)</f>
        <v>901.367524777728</v>
      </c>
      <c r="P348" s="0" t="n">
        <f aca="false">W_PH(P$2,$A348)</f>
        <v>901.372667285129</v>
      </c>
      <c r="Q348" s="0" t="n">
        <f aca="false">W_PH(Q$2,$A348)</f>
        <v>901.377809996803</v>
      </c>
      <c r="R348" s="0" t="n">
        <f aca="false">W_PH(R$2,$A348)</f>
        <v>901.382954208924</v>
      </c>
      <c r="S348" s="0" t="n">
        <f aca="false">W_PH(S$2,$A348)</f>
        <v>901.388098627918</v>
      </c>
      <c r="T348" s="0" t="n">
        <f aca="false">W_PH(T$2,$A348)</f>
        <v>901.393241960043</v>
      </c>
      <c r="U348" s="0" t="n">
        <f aca="false">W_PH(U$2,$A348)</f>
        <v>901.398385501473</v>
      </c>
      <c r="V348" s="0" t="n">
        <f aca="false">W_PH(V$2,$A348)</f>
        <v>901.403529253468</v>
      </c>
      <c r="W348" s="0" t="n">
        <f aca="false">W_PH(W$2,$A348)</f>
        <v>901.408673217285</v>
      </c>
      <c r="X348" s="0" t="n">
        <f aca="false">W_PH(X$2,$A348)</f>
        <v>901.413817394183</v>
      </c>
      <c r="Y348" s="0" t="n">
        <f aca="false">W_PH(Y$2,$A348)</f>
        <v>901.465271159359</v>
      </c>
      <c r="Z348" s="0" t="n">
        <f aca="false">W_PH(Z$2,$A348)</f>
        <v>901.516739840253</v>
      </c>
      <c r="AA348" s="0" t="n">
        <f aca="false">W_PH(AA$2,$A348)</f>
        <v>901.568227279692</v>
      </c>
      <c r="AB348" s="0" t="n">
        <f aca="false">W_PH(AB$2,$A348)</f>
        <v>901.619732136076</v>
      </c>
      <c r="AC348" s="0" t="n">
        <f aca="false">W_PH(AC$2,$A348)</f>
        <v>901.671258253102</v>
      </c>
      <c r="AD348" s="0" t="n">
        <f aca="false">W_PH(AD$2,$A348)</f>
        <v>901.722806882054</v>
      </c>
      <c r="AE348" s="0" t="n">
        <f aca="false">W_PH(AE$2,$A348)</f>
        <v>901.774376677616</v>
      </c>
      <c r="AF348" s="0" t="n">
        <f aca="false">W_PH(AF$2,$A348)</f>
        <v>901.825971484795</v>
      </c>
      <c r="AG348" s="0" t="n">
        <f aca="false">W_PH(AG$2,$A348)</f>
        <v>901.87759125474</v>
      </c>
      <c r="AH348" s="0" t="n">
        <f aca="false">W_PH(AH$2,$A348)</f>
        <v>902.395423335618</v>
      </c>
      <c r="AI348" s="0" t="n">
        <f aca="false">W_PH(AI$2,$A348)</f>
        <v>902.917068815807</v>
      </c>
      <c r="AJ348" s="0" t="n">
        <f aca="false">W_PH(AJ$2,$A348)</f>
        <v>903.443717190834</v>
      </c>
      <c r="AK348" s="0" t="n">
        <f aca="false">W_PH(AK$2,$A348)</f>
        <v>903.976549683401</v>
      </c>
      <c r="AL348" s="0" t="n">
        <f aca="false">W_PH(AL$2,$A348)</f>
        <v>904.516751247041</v>
      </c>
      <c r="AM348" s="0" t="n">
        <f aca="false">W_PH(AM$2,$A348)</f>
        <v>905.065495025369</v>
      </c>
      <c r="AN348" s="0" t="n">
        <f aca="false">W_PH(AN$2,$A348)</f>
        <v>905.623955750521</v>
      </c>
      <c r="AO348" s="0" t="n">
        <f aca="false">W_PH(AO$2,$A348)</f>
        <v>906.193307431541</v>
      </c>
      <c r="AP348" s="0" t="n">
        <f aca="false">W_PH(AP$2,$A348)</f>
        <v>2015</v>
      </c>
      <c r="AQ348" s="0" t="n">
        <f aca="false">W_PH(AQ$2,$A348)</f>
        <v>2015</v>
      </c>
      <c r="AR348" s="0" t="n">
        <f aca="false">W_PH(AR$2,$A348)</f>
        <v>2015</v>
      </c>
      <c r="AS348" s="0" t="n">
        <f aca="false">W_PH(AS$2,$A348)</f>
        <v>2015</v>
      </c>
    </row>
    <row r="349" customFormat="false" ht="13.8" hidden="false" customHeight="false" outlineLevel="0" collapsed="false">
      <c r="A349" s="0" t="n">
        <v>5090</v>
      </c>
      <c r="B349" s="0" t="n">
        <f aca="false">W_PH(B$2,$A349)</f>
        <v>902.482624420247</v>
      </c>
      <c r="C349" s="0" t="n">
        <f aca="false">W_PH(C$2,$A349)</f>
        <v>902.482676668878</v>
      </c>
      <c r="D349" s="0" t="n">
        <f aca="false">W_PH(D$2,$A349)</f>
        <v>902.482727624418</v>
      </c>
      <c r="E349" s="0" t="n">
        <f aca="false">W_PH(E$2,$A349)</f>
        <v>902.482778579977</v>
      </c>
      <c r="F349" s="0" t="n">
        <f aca="false">W_PH(F$2,$A349)</f>
        <v>902.482830828669</v>
      </c>
      <c r="G349" s="0" t="n">
        <f aca="false">W_PH(G$2,$A349)</f>
        <v>902.483345557998</v>
      </c>
      <c r="H349" s="0" t="n">
        <f aca="false">W_PH(H$2,$A349)</f>
        <v>902.483862875551</v>
      </c>
      <c r="I349" s="0" t="n">
        <f aca="false">W_PH(I$2,$A349)</f>
        <v>902.484377608852</v>
      </c>
      <c r="J349" s="0" t="n">
        <f aca="false">W_PH(J$2,$A349)</f>
        <v>902.484894930397</v>
      </c>
      <c r="K349" s="0" t="n">
        <f aca="false">W_PH(K$2,$A349)</f>
        <v>902.485409667675</v>
      </c>
      <c r="L349" s="0" t="n">
        <f aca="false">W_PH(L$2,$A349)</f>
        <v>902.485926993217</v>
      </c>
      <c r="M349" s="0" t="n">
        <f aca="false">W_PH(M$2,$A349)</f>
        <v>902.486441734477</v>
      </c>
      <c r="N349" s="0" t="n">
        <f aca="false">W_PH(N$2,$A349)</f>
        <v>902.486957770873</v>
      </c>
      <c r="O349" s="0" t="n">
        <f aca="false">W_PH(O$2,$A349)</f>
        <v>902.487473809267</v>
      </c>
      <c r="P349" s="0" t="n">
        <f aca="false">W_PH(P$2,$A349)</f>
        <v>902.492633010204</v>
      </c>
      <c r="Q349" s="0" t="n">
        <f aca="false">W_PH(Q$2,$A349)</f>
        <v>902.497792412271</v>
      </c>
      <c r="R349" s="0" t="n">
        <f aca="false">W_PH(R$2,$A349)</f>
        <v>902.502950723443</v>
      </c>
      <c r="S349" s="0" t="n">
        <f aca="false">W_PH(S$2,$A349)</f>
        <v>902.508111824795</v>
      </c>
      <c r="T349" s="0" t="n">
        <f aca="false">W_PH(T$2,$A349)</f>
        <v>902.513270544395</v>
      </c>
      <c r="U349" s="0" t="n">
        <f aca="false">W_PH(U$2,$A349)</f>
        <v>902.518430763442</v>
      </c>
      <c r="V349" s="0" t="n">
        <f aca="false">W_PH(V$2,$A349)</f>
        <v>902.523591189869</v>
      </c>
      <c r="W349" s="0" t="n">
        <f aca="false">W_PH(W$2,$A349)</f>
        <v>902.528750531444</v>
      </c>
      <c r="X349" s="0" t="n">
        <f aca="false">W_PH(X$2,$A349)</f>
        <v>902.53391137634</v>
      </c>
      <c r="Y349" s="0" t="n">
        <f aca="false">W_PH(Y$2,$A349)</f>
        <v>902.585522586079</v>
      </c>
      <c r="Z349" s="0" t="n">
        <f aca="false">W_PH(Z$2,$A349)</f>
        <v>902.637152269531</v>
      </c>
      <c r="AA349" s="0" t="n">
        <f aca="false">W_PH(AA$2,$A349)</f>
        <v>902.688797787883</v>
      </c>
      <c r="AB349" s="0" t="n">
        <f aca="false">W_PH(AB$2,$A349)</f>
        <v>902.740462972863</v>
      </c>
      <c r="AC349" s="0" t="n">
        <f aca="false">W_PH(AC$2,$A349)</f>
        <v>902.792146476742</v>
      </c>
      <c r="AD349" s="0" t="n">
        <f aca="false">W_PH(AD$2,$A349)</f>
        <v>902.843852132117</v>
      </c>
      <c r="AE349" s="0" t="n">
        <f aca="false">W_PH(AE$2,$A349)</f>
        <v>902.895581181662</v>
      </c>
      <c r="AF349" s="0" t="n">
        <f aca="false">W_PH(AF$2,$A349)</f>
        <v>902.947332273995</v>
      </c>
      <c r="AG349" s="0" t="n">
        <f aca="false">W_PH(AG$2,$A349)</f>
        <v>902.999109243023</v>
      </c>
      <c r="AH349" s="0" t="n">
        <f aca="false">W_PH(AH$2,$A349)</f>
        <v>903.518497010001</v>
      </c>
      <c r="AI349" s="0" t="n">
        <f aca="false">W_PH(AI$2,$A349)</f>
        <v>904.041662866964</v>
      </c>
      <c r="AJ349" s="0" t="n">
        <f aca="false">W_PH(AJ$2,$A349)</f>
        <v>904.569783234786</v>
      </c>
      <c r="AK349" s="0" t="n">
        <f aca="false">W_PH(AK$2,$A349)</f>
        <v>905.104040744028</v>
      </c>
      <c r="AL349" s="0" t="n">
        <f aca="false">W_PH(AL$2,$A349)</f>
        <v>905.645603502967</v>
      </c>
      <c r="AM349" s="0" t="n">
        <f aca="false">W_PH(AM$2,$A349)</f>
        <v>906.195643651597</v>
      </c>
      <c r="AN349" s="0" t="n">
        <f aca="false">W_PH(AN$2,$A349)</f>
        <v>906.755329769249</v>
      </c>
      <c r="AO349" s="0" t="n">
        <f aca="false">W_PH(AO$2,$A349)</f>
        <v>907.32582448454</v>
      </c>
      <c r="AP349" s="0" t="n">
        <f aca="false">W_PH(AP$2,$A349)</f>
        <v>2015</v>
      </c>
      <c r="AQ349" s="0" t="n">
        <f aca="false">W_PH(AQ$2,$A349)</f>
        <v>2015</v>
      </c>
      <c r="AR349" s="0" t="n">
        <f aca="false">W_PH(AR$2,$A349)</f>
        <v>2015</v>
      </c>
      <c r="AS349" s="0" t="n">
        <f aca="false">W_PH(AS$2,$A349)</f>
        <v>2015</v>
      </c>
    </row>
    <row r="350" customFormat="false" ht="13.8" hidden="false" customHeight="false" outlineLevel="0" collapsed="false">
      <c r="A350" s="0" t="n">
        <v>5100</v>
      </c>
      <c r="B350" s="0" t="n">
        <f aca="false">W_PH(B$2,$A350)</f>
        <v>903.600173769735</v>
      </c>
      <c r="C350" s="0" t="n">
        <f aca="false">W_PH(C$2,$A350)</f>
        <v>903.600226374031</v>
      </c>
      <c r="D350" s="0" t="n">
        <f aca="false">W_PH(D$2,$A350)</f>
        <v>903.600277686865</v>
      </c>
      <c r="E350" s="0" t="n">
        <f aca="false">W_PH(E$2,$A350)</f>
        <v>903.600328999718</v>
      </c>
      <c r="F350" s="0" t="n">
        <f aca="false">W_PH(F$2,$A350)</f>
        <v>903.600381604074</v>
      </c>
      <c r="G350" s="0" t="n">
        <f aca="false">W_PH(G$2,$A350)</f>
        <v>903.600899899812</v>
      </c>
      <c r="H350" s="0" t="n">
        <f aca="false">W_PH(H$2,$A350)</f>
        <v>903.601415614529</v>
      </c>
      <c r="I350" s="0" t="n">
        <f aca="false">W_PH(I$2,$A350)</f>
        <v>903.601933914186</v>
      </c>
      <c r="J350" s="0" t="n">
        <f aca="false">W_PH(J$2,$A350)</f>
        <v>903.602452215809</v>
      </c>
      <c r="K350" s="0" t="n">
        <f aca="false">W_PH(K$2,$A350)</f>
        <v>903.60296793639</v>
      </c>
      <c r="L350" s="0" t="n">
        <f aca="false">W_PH(L$2,$A350)</f>
        <v>903.603486241938</v>
      </c>
      <c r="M350" s="0" t="n">
        <f aca="false">W_PH(M$2,$A350)</f>
        <v>903.604004549456</v>
      </c>
      <c r="N350" s="0" t="n">
        <f aca="false">W_PH(N$2,$A350)</f>
        <v>903.604520275911</v>
      </c>
      <c r="O350" s="0" t="n">
        <f aca="false">W_PH(O$2,$A350)</f>
        <v>903.605038587363</v>
      </c>
      <c r="P350" s="0" t="n">
        <f aca="false">W_PH(P$2,$A350)</f>
        <v>903.61021406122</v>
      </c>
      <c r="Q350" s="0" t="n">
        <f aca="false">W_PH(Q$2,$A350)</f>
        <v>903.615388441508</v>
      </c>
      <c r="R350" s="0" t="n">
        <f aca="false">W_PH(R$2,$A350)</f>
        <v>903.620563020988</v>
      </c>
      <c r="S350" s="0" t="n">
        <f aca="false">W_PH(S$2,$A350)</f>
        <v>903.625739092588</v>
      </c>
      <c r="T350" s="0" t="n">
        <f aca="false">W_PH(T$2,$A350)</f>
        <v>903.630915365946</v>
      </c>
      <c r="U350" s="0" t="n">
        <f aca="false">W_PH(U$2,$A350)</f>
        <v>903.636089258771</v>
      </c>
      <c r="V350" s="0" t="n">
        <f aca="false">W_PH(V$2,$A350)</f>
        <v>903.64126593929</v>
      </c>
      <c r="W350" s="0" t="n">
        <f aca="false">W_PH(W$2,$A350)</f>
        <v>903.646442825292</v>
      </c>
      <c r="X350" s="0" t="n">
        <f aca="false">W_PH(X$2,$A350)</f>
        <v>903.65161733424</v>
      </c>
      <c r="Y350" s="0" t="n">
        <f aca="false">W_PH(Y$2,$A350)</f>
        <v>903.703386980722</v>
      </c>
      <c r="Z350" s="0" t="n">
        <f aca="false">W_PH(Z$2,$A350)</f>
        <v>903.755172193503</v>
      </c>
      <c r="AA350" s="0" t="n">
        <f aca="false">W_PH(AA$2,$A350)</f>
        <v>903.806975500554</v>
      </c>
      <c r="AB350" s="0" t="n">
        <f aca="false">W_PH(AB$2,$A350)</f>
        <v>903.858796844045</v>
      </c>
      <c r="AC350" s="0" t="n">
        <f aca="false">W_PH(AC$2,$A350)</f>
        <v>903.910636164125</v>
      </c>
      <c r="AD350" s="0" t="n">
        <f aca="false">W_PH(AD$2,$A350)</f>
        <v>903.962498576307</v>
      </c>
      <c r="AE350" s="0" t="n">
        <f aca="false">W_PH(AE$2,$A350)</f>
        <v>904.014381432104</v>
      </c>
      <c r="AF350" s="0" t="n">
        <f aca="false">W_PH(AF$2,$A350)</f>
        <v>904.066289848715</v>
      </c>
      <c r="AG350" s="0" t="n">
        <f aca="false">W_PH(AG$2,$A350)</f>
        <v>904.118221174445</v>
      </c>
      <c r="AH350" s="0" t="n">
        <f aca="false">W_PH(AH$2,$A350)</f>
        <v>904.639143037026</v>
      </c>
      <c r="AI350" s="0" t="n">
        <f aca="false">W_PH(AI$2,$A350)</f>
        <v>905.163807080425</v>
      </c>
      <c r="AJ350" s="0" t="n">
        <f aca="false">W_PH(AJ$2,$A350)</f>
        <v>905.693384573917</v>
      </c>
      <c r="AK350" s="0" t="n">
        <f aca="false">W_PH(AK$2,$A350)</f>
        <v>906.22904261263</v>
      </c>
      <c r="AL350" s="0" t="n">
        <f aca="false">W_PH(AL$2,$A350)</f>
        <v>906.771952193878</v>
      </c>
      <c r="AM350" s="0" t="n">
        <f aca="false">W_PH(AM$2,$A350)</f>
        <v>907.323272712292</v>
      </c>
      <c r="AN350" s="0" t="n">
        <f aca="false">W_PH(AN$2,$A350)</f>
        <v>907.884165311713</v>
      </c>
      <c r="AO350" s="0" t="n">
        <f aca="false">W_PH(AO$2,$A350)</f>
        <v>908.45578526432</v>
      </c>
      <c r="AP350" s="0" t="n">
        <f aca="false">W_PH(AP$2,$A350)</f>
        <v>2015</v>
      </c>
      <c r="AQ350" s="0" t="n">
        <f aca="false">W_PH(AQ$2,$A350)</f>
        <v>2015</v>
      </c>
      <c r="AR350" s="0" t="n">
        <f aca="false">W_PH(AR$2,$A350)</f>
        <v>2015</v>
      </c>
      <c r="AS350" s="0" t="n">
        <f aca="false">W_PH(AS$2,$A350)</f>
        <v>2015</v>
      </c>
    </row>
    <row r="351" customFormat="false" ht="13.8" hidden="false" customHeight="false" outlineLevel="0" collapsed="false">
      <c r="A351" s="0" t="n">
        <v>5110</v>
      </c>
      <c r="B351" s="0" t="n">
        <f aca="false">W_PH(B$2,$A351)</f>
        <v>904.715355270618</v>
      </c>
      <c r="C351" s="0" t="n">
        <f aca="false">W_PH(C$2,$A351)</f>
        <v>904.715408225955</v>
      </c>
      <c r="D351" s="0" t="n">
        <f aca="false">W_PH(D$2,$A351)</f>
        <v>904.715459891449</v>
      </c>
      <c r="E351" s="0" t="n">
        <f aca="false">W_PH(E$2,$A351)</f>
        <v>904.715511556962</v>
      </c>
      <c r="F351" s="0" t="n">
        <f aca="false">W_PH(F$2,$A351)</f>
        <v>904.715564512358</v>
      </c>
      <c r="G351" s="0" t="n">
        <f aca="false">W_PH(G$2,$A351)</f>
        <v>904.716082458603</v>
      </c>
      <c r="H351" s="0" t="n">
        <f aca="false">W_PH(H$2,$A351)</f>
        <v>904.716601696641</v>
      </c>
      <c r="I351" s="0" t="n">
        <f aca="false">W_PH(I$2,$A351)</f>
        <v>904.717119646732</v>
      </c>
      <c r="J351" s="0" t="n">
        <f aca="false">W_PH(J$2,$A351)</f>
        <v>904.717638888626</v>
      </c>
      <c r="K351" s="0" t="n">
        <f aca="false">W_PH(K$2,$A351)</f>
        <v>904.718158132452</v>
      </c>
      <c r="L351" s="0" t="n">
        <f aca="false">W_PH(L$2,$A351)</f>
        <v>904.718677378211</v>
      </c>
      <c r="M351" s="0" t="n">
        <f aca="false">W_PH(M$2,$A351)</f>
        <v>904.719196625906</v>
      </c>
      <c r="N351" s="0" t="n">
        <f aca="false">W_PH(N$2,$A351)</f>
        <v>904.719715875535</v>
      </c>
      <c r="O351" s="0" t="n">
        <f aca="false">W_PH(O$2,$A351)</f>
        <v>904.720235127102</v>
      </c>
      <c r="P351" s="0" t="n">
        <f aca="false">W_PH(P$2,$A351)</f>
        <v>904.725425169698</v>
      </c>
      <c r="Q351" s="0" t="n">
        <f aca="false">W_PH(Q$2,$A351)</f>
        <v>904.730615407192</v>
      </c>
      <c r="R351" s="0" t="n">
        <f aca="false">W_PH(R$2,$A351)</f>
        <v>904.73580584082</v>
      </c>
      <c r="S351" s="0" t="n">
        <f aca="false">W_PH(S$2,$A351)</f>
        <v>904.740996471814</v>
      </c>
      <c r="T351" s="0" t="n">
        <f aca="false">W_PH(T$2,$A351)</f>
        <v>904.746187301408</v>
      </c>
      <c r="U351" s="0" t="n">
        <f aca="false">W_PH(U$2,$A351)</f>
        <v>904.751379620979</v>
      </c>
      <c r="V351" s="0" t="n">
        <f aca="false">W_PH(V$2,$A351)</f>
        <v>904.756570851515</v>
      </c>
      <c r="W351" s="0" t="n">
        <f aca="false">W_PH(W$2,$A351)</f>
        <v>904.761762284352</v>
      </c>
      <c r="X351" s="0" t="n">
        <f aca="false">W_PH(X$2,$A351)</f>
        <v>904.766953920723</v>
      </c>
      <c r="Y351" s="0" t="n">
        <f aca="false">W_PH(Y$2,$A351)</f>
        <v>904.818877878151</v>
      </c>
      <c r="Z351" s="0" t="n">
        <f aca="false">W_PH(Z$2,$A351)</f>
        <v>904.870817087759</v>
      </c>
      <c r="AA351" s="0" t="n">
        <f aca="false">W_PH(AA$2,$A351)</f>
        <v>904.922774067813</v>
      </c>
      <c r="AB351" s="0" t="n">
        <f aca="false">W_PH(AB$2,$A351)</f>
        <v>904.974750045939</v>
      </c>
      <c r="AC351" s="0" t="n">
        <f aca="false">W_PH(AC$2,$A351)</f>
        <v>905.026746249384</v>
      </c>
      <c r="AD351" s="0" t="n">
        <f aca="false">W_PH(AD$2,$A351)</f>
        <v>905.078761319639</v>
      </c>
      <c r="AE351" s="0" t="n">
        <f aca="false">W_PH(AE$2,$A351)</f>
        <v>905.130799066975</v>
      </c>
      <c r="AF351" s="0" t="n">
        <f aca="false">W_PH(AF$2,$A351)</f>
        <v>905.182859424021</v>
      </c>
      <c r="AG351" s="0" t="n">
        <f aca="false">W_PH(AG$2,$A351)</f>
        <v>905.234944909226</v>
      </c>
      <c r="AH351" s="0" t="n">
        <f aca="false">W_PH(AH$2,$A351)</f>
        <v>905.757379827177</v>
      </c>
      <c r="AI351" s="0" t="n">
        <f aca="false">W_PH(AI$2,$A351)</f>
        <v>906.283521711745</v>
      </c>
      <c r="AJ351" s="0" t="n">
        <f aca="false">W_PH(AJ$2,$A351)</f>
        <v>906.814532829902</v>
      </c>
      <c r="AK351" s="0" t="n">
        <f aca="false">W_PH(AK$2,$A351)</f>
        <v>907.351576587419</v>
      </c>
      <c r="AL351" s="0" t="n">
        <f aca="false">W_PH(AL$2,$A351)</f>
        <v>907.895813845752</v>
      </c>
      <c r="AM351" s="0" t="n">
        <f aca="false">W_PH(AM$2,$A351)</f>
        <v>908.448396560484</v>
      </c>
      <c r="AN351" s="0" t="n">
        <f aca="false">W_PH(AN$2,$A351)</f>
        <v>909.010478506915</v>
      </c>
      <c r="AO351" s="0" t="n">
        <f aca="false">W_PH(AO$2,$A351)</f>
        <v>909.583210314918</v>
      </c>
      <c r="AP351" s="0" t="n">
        <f aca="false">W_PH(AP$2,$A351)</f>
        <v>2015</v>
      </c>
      <c r="AQ351" s="0" t="n">
        <f aca="false">W_PH(AQ$2,$A351)</f>
        <v>2015</v>
      </c>
      <c r="AR351" s="0" t="n">
        <f aca="false">W_PH(AR$2,$A351)</f>
        <v>2015</v>
      </c>
      <c r="AS351" s="0" t="n">
        <f aca="false">W_PH(AS$2,$A351)</f>
        <v>2015</v>
      </c>
    </row>
    <row r="352" customFormat="false" ht="13.8" hidden="false" customHeight="false" outlineLevel="0" collapsed="false">
      <c r="A352" s="0" t="n">
        <v>5120</v>
      </c>
      <c r="B352" s="0" t="n">
        <f aca="false">W_PH(B$2,$A352)</f>
        <v>905.82818478706</v>
      </c>
      <c r="C352" s="0" t="n">
        <f aca="false">W_PH(C$2,$A352)</f>
        <v>905.82823808888</v>
      </c>
      <c r="D352" s="0" t="n">
        <f aca="false">W_PH(D$2,$A352)</f>
        <v>905.828288814215</v>
      </c>
      <c r="E352" s="0" t="n">
        <f aca="false">W_PH(E$2,$A352)</f>
        <v>905.828342116075</v>
      </c>
      <c r="F352" s="0" t="n">
        <f aca="false">W_PH(F$2,$A352)</f>
        <v>905.828392841446</v>
      </c>
      <c r="G352" s="0" t="n">
        <f aca="false">W_PH(G$2,$A352)</f>
        <v>905.828912978739</v>
      </c>
      <c r="H352" s="0" t="n">
        <f aca="false">W_PH(H$2,$A352)</f>
        <v>905.829435694448</v>
      </c>
      <c r="I352" s="0" t="n">
        <f aca="false">W_PH(I$2,$A352)</f>
        <v>905.829955835538</v>
      </c>
      <c r="J352" s="0" t="n">
        <f aca="false">W_PH(J$2,$A352)</f>
        <v>905.830475978526</v>
      </c>
      <c r="K352" s="0" t="n">
        <f aca="false">W_PH(K$2,$A352)</f>
        <v>905.830996123411</v>
      </c>
      <c r="L352" s="0" t="n">
        <f aca="false">W_PH(L$2,$A352)</f>
        <v>905.831516270195</v>
      </c>
      <c r="M352" s="0" t="n">
        <f aca="false">W_PH(M$2,$A352)</f>
        <v>905.832036418881</v>
      </c>
      <c r="N352" s="0" t="n">
        <f aca="false">W_PH(N$2,$A352)</f>
        <v>905.832557857753</v>
      </c>
      <c r="O352" s="0" t="n">
        <f aca="false">W_PH(O$2,$A352)</f>
        <v>905.833079298537</v>
      </c>
      <c r="P352" s="0" t="n">
        <f aca="false">W_PH(P$2,$A352)</f>
        <v>905.838283505113</v>
      </c>
      <c r="Q352" s="0" t="n">
        <f aca="false">W_PH(Q$2,$A352)</f>
        <v>905.843490480238</v>
      </c>
      <c r="R352" s="0" t="n">
        <f aca="false">W_PH(R$2,$A352)</f>
        <v>905.848695071742</v>
      </c>
      <c r="S352" s="0" t="n">
        <f aca="false">W_PH(S$2,$A352)</f>
        <v>905.853902434407</v>
      </c>
      <c r="T352" s="0" t="n">
        <f aca="false">W_PH(T$2,$A352)</f>
        <v>905.85910870423</v>
      </c>
      <c r="U352" s="0" t="n">
        <f aca="false">W_PH(U$2,$A352)</f>
        <v>905.864315170846</v>
      </c>
      <c r="V352" s="0" t="n">
        <f aca="false">W_PH(V$2,$A352)</f>
        <v>905.869521835481</v>
      </c>
      <c r="W352" s="0" t="n">
        <f aca="false">W_PH(W$2,$A352)</f>
        <v>905.874728699361</v>
      </c>
      <c r="X352" s="0" t="n">
        <f aca="false">W_PH(X$2,$A352)</f>
        <v>905.87993447506</v>
      </c>
      <c r="Y352" s="0" t="n">
        <f aca="false">W_PH(Y$2,$A352)</f>
        <v>905.932011257347</v>
      </c>
      <c r="Z352" s="0" t="n">
        <f aca="false">W_PH(Z$2,$A352)</f>
        <v>905.984104273275</v>
      </c>
      <c r="AA352" s="0" t="n">
        <f aca="false">W_PH(AA$2,$A352)</f>
        <v>906.036214742845</v>
      </c>
      <c r="AB352" s="0" t="n">
        <f aca="false">W_PH(AB$2,$A352)</f>
        <v>906.088341305185</v>
      </c>
      <c r="AC352" s="0" t="n">
        <f aca="false">W_PH(AC$2,$A352)</f>
        <v>906.140490339764</v>
      </c>
      <c r="AD352" s="0" t="n">
        <f aca="false">W_PH(AD$2,$A352)</f>
        <v>906.192656612632</v>
      </c>
      <c r="AE352" s="0" t="n">
        <f aca="false">W_PH(AE$2,$A352)</f>
        <v>906.244845213076</v>
      </c>
      <c r="AF352" s="0" t="n">
        <f aca="false">W_PH(AF$2,$A352)</f>
        <v>906.297058651114</v>
      </c>
      <c r="AG352" s="0" t="n">
        <f aca="false">W_PH(AG$2,$A352)</f>
        <v>906.349294269014</v>
      </c>
      <c r="AH352" s="0" t="n">
        <f aca="false">W_PH(AH$2,$A352)</f>
        <v>906.873223026402</v>
      </c>
      <c r="AI352" s="0" t="n">
        <f aca="false">W_PH(AI$2,$A352)</f>
        <v>907.400821626683</v>
      </c>
      <c r="AJ352" s="0" t="n">
        <f aca="false">W_PH(AJ$2,$A352)</f>
        <v>907.933248603797</v>
      </c>
      <c r="AK352" s="0" t="n">
        <f aca="false">W_PH(AK$2,$A352)</f>
        <v>908.47165983409</v>
      </c>
      <c r="AL352" s="0" t="n">
        <f aca="false">W_PH(AL$2,$A352)</f>
        <v>909.017204796421</v>
      </c>
      <c r="AM352" s="0" t="n">
        <f aca="false">W_PH(AM$2,$A352)</f>
        <v>909.571031998598</v>
      </c>
      <c r="AN352" s="0" t="n">
        <f aca="false">W_PH(AN$2,$A352)</f>
        <v>910.134287924561</v>
      </c>
      <c r="AO352" s="0" t="n">
        <f aca="false">W_PH(AO$2,$A352)</f>
        <v>910.708114661717</v>
      </c>
      <c r="AP352" s="0" t="n">
        <f aca="false">W_PH(AP$2,$A352)</f>
        <v>2015</v>
      </c>
      <c r="AQ352" s="0" t="n">
        <f aca="false">W_PH(AQ$2,$A352)</f>
        <v>2015</v>
      </c>
      <c r="AR352" s="0" t="n">
        <f aca="false">W_PH(AR$2,$A352)</f>
        <v>2015</v>
      </c>
      <c r="AS352" s="0" t="n">
        <f aca="false">W_PH(AS$2,$A352)</f>
        <v>2015</v>
      </c>
    </row>
    <row r="353" customFormat="false" ht="13.8" hidden="false" customHeight="false" outlineLevel="0" collapsed="false">
      <c r="A353" s="0" t="n">
        <v>5130</v>
      </c>
      <c r="B353" s="0" t="n">
        <f aca="false">W_PH(B$2,$A353)</f>
        <v>906.938678040528</v>
      </c>
      <c r="C353" s="0" t="n">
        <f aca="false">W_PH(C$2,$A353)</f>
        <v>906.938729111038</v>
      </c>
      <c r="D353" s="0" t="n">
        <f aca="false">W_PH(D$2,$A353)</f>
        <v>906.938782754869</v>
      </c>
      <c r="E353" s="0" t="n">
        <f aca="false">W_PH(E$2,$A353)</f>
        <v>906.938833825416</v>
      </c>
      <c r="F353" s="0" t="n">
        <f aca="false">W_PH(F$2,$A353)</f>
        <v>906.938887469285</v>
      </c>
      <c r="G353" s="0" t="n">
        <f aca="false">W_PH(G$2,$A353)</f>
        <v>906.939408469177</v>
      </c>
      <c r="H353" s="0" t="n">
        <f aca="false">W_PH(H$2,$A353)</f>
        <v>906.939930757591</v>
      </c>
      <c r="I353" s="0" t="n">
        <f aca="false">W_PH(I$2,$A353)</f>
        <v>906.940453047875</v>
      </c>
      <c r="J353" s="0" t="n">
        <f aca="false">W_PH(J$2,$A353)</f>
        <v>906.940974053362</v>
      </c>
      <c r="K353" s="0" t="n">
        <f aca="false">W_PH(K$2,$A353)</f>
        <v>906.941497634058</v>
      </c>
      <c r="L353" s="0" t="n">
        <f aca="false">W_PH(L$2,$A353)</f>
        <v>906.942018643284</v>
      </c>
      <c r="M353" s="0" t="n">
        <f aca="false">W_PH(M$2,$A353)</f>
        <v>906.942542227737</v>
      </c>
      <c r="N353" s="0" t="n">
        <f aca="false">W_PH(N$2,$A353)</f>
        <v>906.943063240705</v>
      </c>
      <c r="O353" s="0" t="n">
        <f aca="false">W_PH(O$2,$A353)</f>
        <v>906.943585542232</v>
      </c>
      <c r="P353" s="0" t="n">
        <f aca="false">W_PH(P$2,$A353)</f>
        <v>906.948807374295</v>
      </c>
      <c r="Q353" s="0" t="n">
        <f aca="false">W_PH(Q$2,$A353)</f>
        <v>906.954028108597</v>
      </c>
      <c r="R353" s="0" t="n">
        <f aca="false">W_PH(R$2,$A353)</f>
        <v>906.959249033042</v>
      </c>
      <c r="S353" s="0" t="n">
        <f aca="false">W_PH(S$2,$A353)</f>
        <v>906.964470148849</v>
      </c>
      <c r="T353" s="0" t="n">
        <f aca="false">W_PH(T$2,$A353)</f>
        <v>906.969691457234</v>
      </c>
      <c r="U353" s="0" t="n">
        <f aca="false">W_PH(U$2,$A353)</f>
        <v>906.974912959416</v>
      </c>
      <c r="V353" s="0" t="n">
        <f aca="false">W_PH(V$2,$A353)</f>
        <v>906.980134656611</v>
      </c>
      <c r="W353" s="0" t="n">
        <f aca="false">W_PH(W$2,$A353)</f>
        <v>906.985356550038</v>
      </c>
      <c r="X353" s="0" t="n">
        <f aca="false">W_PH(X$2,$A353)</f>
        <v>906.990578640914</v>
      </c>
      <c r="Y353" s="0" t="n">
        <f aca="false">W_PH(Y$2,$A353)</f>
        <v>907.042805527397</v>
      </c>
      <c r="Z353" s="0" t="n">
        <f aca="false">W_PH(Z$2,$A353)</f>
        <v>907.095048343137</v>
      </c>
      <c r="AA353" s="0" t="n">
        <f aca="false">W_PH(AA$2,$A353)</f>
        <v>907.147308300213</v>
      </c>
      <c r="AB353" s="0" t="n">
        <f aca="false">W_PH(AB$2,$A353)</f>
        <v>907.199586610342</v>
      </c>
      <c r="AC353" s="0" t="n">
        <f aca="false">W_PH(AC$2,$A353)</f>
        <v>907.251884484884</v>
      </c>
      <c r="AD353" s="0" t="n">
        <f aca="false">W_PH(AD$2,$A353)</f>
        <v>907.30420055601</v>
      </c>
      <c r="AE353" s="0" t="n">
        <f aca="false">W_PH(AE$2,$A353)</f>
        <v>907.356539901433</v>
      </c>
      <c r="AF353" s="0" t="n">
        <f aca="false">W_PH(AF$2,$A353)</f>
        <v>907.408899862011</v>
      </c>
      <c r="AG353" s="0" t="n">
        <f aca="false">W_PH(AG$2,$A353)</f>
        <v>907.461285517115</v>
      </c>
      <c r="AH353" s="0" t="n">
        <f aca="false">W_PH(AH$2,$A353)</f>
        <v>907.986688124828</v>
      </c>
      <c r="AI353" s="0" t="n">
        <f aca="false">W_PH(AI$2,$A353)</f>
        <v>908.515725427855</v>
      </c>
      <c r="AJ353" s="0" t="n">
        <f aca="false">W_PH(AJ$2,$A353)</f>
        <v>909.049549696041</v>
      </c>
      <c r="AK353" s="0" t="n">
        <f aca="false">W_PH(AK$2,$A353)</f>
        <v>909.589306722717</v>
      </c>
      <c r="AL353" s="0" t="n">
        <f aca="false">W_PH(AL$2,$A353)</f>
        <v>910.136143818256</v>
      </c>
      <c r="AM353" s="0" t="n">
        <f aca="false">W_PH(AM$2,$A353)</f>
        <v>910.691198262489</v>
      </c>
      <c r="AN353" s="0" t="n">
        <f aca="false">W_PH(AN$2,$A353)</f>
        <v>911.255611925098</v>
      </c>
      <c r="AO353" s="0" t="n">
        <f aca="false">W_PH(AO$2,$A353)</f>
        <v>911.830519738953</v>
      </c>
      <c r="AP353" s="0" t="n">
        <f aca="false">W_PH(AP$2,$A353)</f>
        <v>2015</v>
      </c>
      <c r="AQ353" s="0" t="n">
        <f aca="false">W_PH(AQ$2,$A353)</f>
        <v>2015</v>
      </c>
      <c r="AR353" s="0" t="n">
        <f aca="false">W_PH(AR$2,$A353)</f>
        <v>2015</v>
      </c>
      <c r="AS353" s="0" t="n">
        <f aca="false">W_PH(AS$2,$A353)</f>
        <v>2015</v>
      </c>
    </row>
    <row r="354" customFormat="false" ht="13.8" hidden="false" customHeight="false" outlineLevel="0" collapsed="false">
      <c r="A354" s="0" t="n">
        <v>5140</v>
      </c>
      <c r="B354" s="0" t="n">
        <f aca="false">W_PH(B$2,$A354)</f>
        <v>908.046850611982</v>
      </c>
      <c r="C354" s="0" t="n">
        <f aca="false">W_PH(C$2,$A354)</f>
        <v>908.04690202324</v>
      </c>
      <c r="D354" s="0" t="n">
        <f aca="false">W_PH(D$2,$A354)</f>
        <v>908.046953434516</v>
      </c>
      <c r="E354" s="0" t="n">
        <f aca="false">W_PH(E$2,$A354)</f>
        <v>908.04700741593</v>
      </c>
      <c r="F354" s="0" t="n">
        <f aca="false">W_PH(F$2,$A354)</f>
        <v>908.047058827242</v>
      </c>
      <c r="G354" s="0" t="n">
        <f aca="false">W_PH(G$2,$A354)</f>
        <v>908.04758322186</v>
      </c>
      <c r="H354" s="0" t="n">
        <f aca="false">W_PH(H$2,$A354)</f>
        <v>908.048106333252</v>
      </c>
      <c r="I354" s="0" t="n">
        <f aca="false">W_PH(I$2,$A354)</f>
        <v>908.048629446482</v>
      </c>
      <c r="J354" s="0" t="n">
        <f aca="false">W_PH(J$2,$A354)</f>
        <v>908.049153846627</v>
      </c>
      <c r="K354" s="0" t="n">
        <f aca="false">W_PH(K$2,$A354)</f>
        <v>908.049676963539</v>
      </c>
      <c r="L354" s="0" t="n">
        <f aca="false">W_PH(L$2,$A354)</f>
        <v>908.050200082291</v>
      </c>
      <c r="M354" s="0" t="n">
        <f aca="false">W_PH(M$2,$A354)</f>
        <v>908.050724487973</v>
      </c>
      <c r="N354" s="0" t="n">
        <f aca="false">W_PH(N$2,$A354)</f>
        <v>908.051247610415</v>
      </c>
      <c r="O354" s="0" t="n">
        <f aca="false">W_PH(O$2,$A354)</f>
        <v>908.0517707347</v>
      </c>
      <c r="P354" s="0" t="n">
        <f aca="false">W_PH(P$2,$A354)</f>
        <v>908.057007219806</v>
      </c>
      <c r="Q354" s="0" t="n">
        <f aca="false">W_PH(Q$2,$A354)</f>
        <v>908.062243890994</v>
      </c>
      <c r="R354" s="0" t="n">
        <f aca="false">W_PH(R$2,$A354)</f>
        <v>908.067478179046</v>
      </c>
      <c r="S354" s="0" t="n">
        <f aca="false">W_PH(S$2,$A354)</f>
        <v>908.072715225948</v>
      </c>
      <c r="T354" s="0" t="n">
        <f aca="false">W_PH(T$2,$A354)</f>
        <v>908.077952462561</v>
      </c>
      <c r="U354" s="0" t="n">
        <f aca="false">W_PH(U$2,$A354)</f>
        <v>908.083187319432</v>
      </c>
      <c r="V354" s="0" t="n">
        <f aca="false">W_PH(V$2,$A354)</f>
        <v>908.088424939018</v>
      </c>
      <c r="W354" s="0" t="n">
        <f aca="false">W_PH(W$2,$A354)</f>
        <v>908.093660181125</v>
      </c>
      <c r="X354" s="0" t="n">
        <f aca="false">W_PH(X$2,$A354)</f>
        <v>908.098898188521</v>
      </c>
      <c r="Y354" s="0" t="n">
        <f aca="false">W_PH(Y$2,$A354)</f>
        <v>908.151273798675</v>
      </c>
      <c r="Z354" s="0" t="n">
        <f aca="false">W_PH(Z$2,$A354)</f>
        <v>908.203666325858</v>
      </c>
      <c r="AA354" s="0" t="n">
        <f aca="false">W_PH(AA$2,$A354)</f>
        <v>908.256075688856</v>
      </c>
      <c r="AB354" s="0" t="n">
        <f aca="false">W_PH(AB$2,$A354)</f>
        <v>908.308501804536</v>
      </c>
      <c r="AC354" s="0" t="n">
        <f aca="false">W_PH(AC$2,$A354)</f>
        <v>908.360945875259</v>
      </c>
      <c r="AD354" s="0" t="n">
        <f aca="false">W_PH(AD$2,$A354)</f>
        <v>908.413410390834</v>
      </c>
      <c r="AE354" s="0" t="n">
        <f aca="false">W_PH(AE$2,$A354)</f>
        <v>908.465896554096</v>
      </c>
      <c r="AF354" s="0" t="n">
        <f aca="false">W_PH(AF$2,$A354)</f>
        <v>908.518405567535</v>
      </c>
      <c r="AG354" s="0" t="n">
        <f aca="false">W_PH(AG$2,$A354)</f>
        <v>908.570937344332</v>
      </c>
      <c r="AH354" s="0" t="n">
        <f aca="false">W_PH(AH$2,$A354)</f>
        <v>909.097791752104</v>
      </c>
      <c r="AI354" s="0" t="n">
        <f aca="false">W_PH(AI$2,$A354)</f>
        <v>909.628248948042</v>
      </c>
      <c r="AJ354" s="0" t="n">
        <f aca="false">W_PH(AJ$2,$A354)</f>
        <v>910.163451127379</v>
      </c>
      <c r="AK354" s="0" t="n">
        <f aca="false">W_PH(AK$2,$A354)</f>
        <v>910.704536674218</v>
      </c>
      <c r="AL354" s="0" t="n">
        <f aca="false">W_PH(AL$2,$A354)</f>
        <v>911.252646871222</v>
      </c>
      <c r="AM354" s="0" t="n">
        <f aca="false">W_PH(AM$2,$A354)</f>
        <v>911.808914382819</v>
      </c>
      <c r="AN354" s="0" t="n">
        <f aca="false">W_PH(AN$2,$A354)</f>
        <v>912.374468663335</v>
      </c>
      <c r="AO354" s="0" t="n">
        <f aca="false">W_PH(AO$2,$A354)</f>
        <v>912.950441477768</v>
      </c>
      <c r="AP354" s="0" t="n">
        <f aca="false">W_PH(AP$2,$A354)</f>
        <v>2015</v>
      </c>
      <c r="AQ354" s="0" t="n">
        <f aca="false">W_PH(AQ$2,$A354)</f>
        <v>2015</v>
      </c>
      <c r="AR354" s="0" t="n">
        <f aca="false">W_PH(AR$2,$A354)</f>
        <v>2015</v>
      </c>
      <c r="AS354" s="0" t="n">
        <f aca="false">W_PH(AS$2,$A354)</f>
        <v>2015</v>
      </c>
    </row>
    <row r="355" customFormat="false" ht="13.8" hidden="false" customHeight="false" outlineLevel="0" collapsed="false">
      <c r="A355" s="0" t="n">
        <v>5150</v>
      </c>
      <c r="B355" s="0" t="n">
        <f aca="false">W_PH(B$2,$A355)</f>
        <v>909.152715377061</v>
      </c>
      <c r="C355" s="0" t="n">
        <f aca="false">W_PH(C$2,$A355)</f>
        <v>909.152769691639</v>
      </c>
      <c r="D355" s="0" t="n">
        <f aca="false">W_PH(D$2,$A355)</f>
        <v>909.15282143928</v>
      </c>
      <c r="E355" s="0" t="n">
        <f aca="false">W_PH(E$2,$A355)</f>
        <v>909.152873186939</v>
      </c>
      <c r="F355" s="0" t="n">
        <f aca="false">W_PH(F$2,$A355)</f>
        <v>909.152926218094</v>
      </c>
      <c r="G355" s="0" t="n">
        <f aca="false">W_PH(G$2,$A355)</f>
        <v>909.153450113248</v>
      </c>
      <c r="H355" s="0" t="n">
        <f aca="false">W_PH(H$2,$A355)</f>
        <v>909.153975293691</v>
      </c>
      <c r="I355" s="0" t="n">
        <f aca="false">W_PH(I$2,$A355)</f>
        <v>909.154500475946</v>
      </c>
      <c r="J355" s="0" t="n">
        <f aca="false">W_PH(J$2,$A355)</f>
        <v>909.155025660015</v>
      </c>
      <c r="K355" s="0" t="n">
        <f aca="false">W_PH(K$2,$A355)</f>
        <v>909.155550845899</v>
      </c>
      <c r="L355" s="0" t="n">
        <f aca="false">W_PH(L$2,$A355)</f>
        <v>909.156076033599</v>
      </c>
      <c r="M355" s="0" t="n">
        <f aca="false">W_PH(M$2,$A355)</f>
        <v>909.156601223116</v>
      </c>
      <c r="N355" s="0" t="n">
        <f aca="false">W_PH(N$2,$A355)</f>
        <v>909.157126414451</v>
      </c>
      <c r="O355" s="0" t="n">
        <f aca="false">W_PH(O$2,$A355)</f>
        <v>909.157651607606</v>
      </c>
      <c r="P355" s="0" t="n">
        <f aca="false">W_PH(P$2,$A355)</f>
        <v>909.16290107239</v>
      </c>
      <c r="Q355" s="0" t="n">
        <f aca="false">W_PH(Q$2,$A355)</f>
        <v>909.168153287478</v>
      </c>
      <c r="R355" s="0" t="n">
        <f aca="false">W_PH(R$2,$A355)</f>
        <v>909.173403119787</v>
      </c>
      <c r="S355" s="0" t="n">
        <f aca="false">W_PH(S$2,$A355)</f>
        <v>909.178653137624</v>
      </c>
      <c r="T355" s="0" t="n">
        <f aca="false">W_PH(T$2,$A355)</f>
        <v>909.183905909602</v>
      </c>
      <c r="U355" s="0" t="n">
        <f aca="false">W_PH(U$2,$A355)</f>
        <v>909.189156302175</v>
      </c>
      <c r="V355" s="0" t="n">
        <f aca="false">W_PH(V$2,$A355)</f>
        <v>909.19440688388</v>
      </c>
      <c r="W355" s="0" t="n">
        <f aca="false">W_PH(W$2,$A355)</f>
        <v>909.199658939742</v>
      </c>
      <c r="X355" s="0" t="n">
        <f aca="false">W_PH(X$2,$A355)</f>
        <v>909.204911187216</v>
      </c>
      <c r="Y355" s="0" t="n">
        <f aca="false">W_PH(Y$2,$A355)</f>
        <v>909.257434191031</v>
      </c>
      <c r="Z355" s="0" t="n">
        <f aca="false">W_PH(Z$2,$A355)</f>
        <v>909.309972532995</v>
      </c>
      <c r="AA355" s="0" t="n">
        <f aca="false">W_PH(AA$2,$A355)</f>
        <v>909.362527409575</v>
      </c>
      <c r="AB355" s="0" t="n">
        <f aca="false">W_PH(AB$2,$A355)</f>
        <v>909.415100016894</v>
      </c>
      <c r="AC355" s="0" t="n">
        <f aca="false">W_PH(AC$2,$A355)</f>
        <v>909.467688979146</v>
      </c>
      <c r="AD355" s="0" t="n">
        <f aca="false">W_PH(AD$2,$A355)</f>
        <v>909.520300634178</v>
      </c>
      <c r="AE355" s="0" t="n">
        <f aca="false">W_PH(AE$2,$A355)</f>
        <v>909.572931033143</v>
      </c>
      <c r="AF355" s="0" t="n">
        <f aca="false">W_PH(AF$2,$A355)</f>
        <v>909.625585229347</v>
      </c>
      <c r="AG355" s="0" t="n">
        <f aca="false">W_PH(AG$2,$A355)</f>
        <v>909.678261843697</v>
      </c>
      <c r="AH355" s="0" t="n">
        <f aca="false">W_PH(AH$2,$A355)</f>
        <v>910.206551671488</v>
      </c>
      <c r="AI355" s="0" t="n">
        <f aca="false">W_PH(AI$2,$A355)</f>
        <v>910.738407860119</v>
      </c>
      <c r="AJ355" s="0" t="n">
        <f aca="false">W_PH(AJ$2,$A355)</f>
        <v>911.274967756807</v>
      </c>
      <c r="AK355" s="0" t="n">
        <f aca="false">W_PH(AK$2,$A355)</f>
        <v>911.817366312658</v>
      </c>
      <c r="AL355" s="0" t="n">
        <f aca="false">W_PH(AL$2,$A355)</f>
        <v>912.366732348787</v>
      </c>
      <c r="AM355" s="0" t="n">
        <f aca="false">W_PH(AM$2,$A355)</f>
        <v>912.924193950145</v>
      </c>
      <c r="AN355" s="0" t="n">
        <f aca="false">W_PH(AN$2,$A355)</f>
        <v>913.490873465813</v>
      </c>
      <c r="AO355" s="0" t="n">
        <f aca="false">W_PH(AO$2,$A355)</f>
        <v>914.067898248275</v>
      </c>
      <c r="AP355" s="0" t="n">
        <f aca="false">W_PH(AP$2,$A355)</f>
        <v>2015</v>
      </c>
      <c r="AQ355" s="0" t="n">
        <f aca="false">W_PH(AQ$2,$A355)</f>
        <v>2015</v>
      </c>
      <c r="AR355" s="0" t="n">
        <f aca="false">W_PH(AR$2,$A355)</f>
        <v>2015</v>
      </c>
      <c r="AS355" s="0" t="n">
        <f aca="false">W_PH(AS$2,$A355)</f>
        <v>2015</v>
      </c>
    </row>
    <row r="356" customFormat="false" ht="13.8" hidden="false" customHeight="false" outlineLevel="0" collapsed="false">
      <c r="A356" s="0" t="n">
        <v>5160</v>
      </c>
      <c r="B356" s="0" t="n">
        <f aca="false">W_PH(B$2,$A356)</f>
        <v>910.256292779145</v>
      </c>
      <c r="C356" s="0" t="n">
        <f aca="false">W_PH(C$2,$A356)</f>
        <v>910.256344858815</v>
      </c>
      <c r="D356" s="0" t="n">
        <f aca="false">W_PH(D$2,$A356)</f>
        <v>910.256396938502</v>
      </c>
      <c r="E356" s="0" t="n">
        <f aca="false">W_PH(E$2,$A356)</f>
        <v>910.256450300111</v>
      </c>
      <c r="F356" s="0" t="n">
        <f aca="false">W_PH(F$2,$A356)</f>
        <v>910.256503661739</v>
      </c>
      <c r="G356" s="0" t="n">
        <f aca="false">W_PH(G$2,$A356)</f>
        <v>910.257029587564</v>
      </c>
      <c r="H356" s="0" t="n">
        <f aca="false">W_PH(H$2,$A356)</f>
        <v>910.257555515169</v>
      </c>
      <c r="I356" s="0" t="n">
        <f aca="false">W_PH(I$2,$A356)</f>
        <v>910.258081444554</v>
      </c>
      <c r="J356" s="0" t="n">
        <f aca="false">W_PH(J$2,$A356)</f>
        <v>910.258609939561</v>
      </c>
      <c r="K356" s="0" t="n">
        <f aca="false">W_PH(K$2,$A356)</f>
        <v>910.259135872517</v>
      </c>
      <c r="L356" s="0" t="n">
        <f aca="false">W_PH(L$2,$A356)</f>
        <v>910.259661807257</v>
      </c>
      <c r="M356" s="0" t="n">
        <f aca="false">W_PH(M$2,$A356)</f>
        <v>910.260187743783</v>
      </c>
      <c r="N356" s="0" t="n">
        <f aca="false">W_PH(N$2,$A356)</f>
        <v>910.26071496403</v>
      </c>
      <c r="O356" s="0" t="n">
        <f aca="false">W_PH(O$2,$A356)</f>
        <v>910.261242186073</v>
      </c>
      <c r="P356" s="0" t="n">
        <f aca="false">W_PH(P$2,$A356)</f>
        <v>910.26650681362</v>
      </c>
      <c r="Q356" s="0" t="n">
        <f aca="false">W_PH(Q$2,$A356)</f>
        <v>910.271771621528</v>
      </c>
      <c r="R356" s="0" t="n">
        <f aca="false">W_PH(R$2,$A356)</f>
        <v>910.277036610991</v>
      </c>
      <c r="S356" s="0" t="n">
        <f aca="false">W_PH(S$2,$A356)</f>
        <v>910.282301783203</v>
      </c>
      <c r="T356" s="0" t="n">
        <f aca="false">W_PH(T$2,$A356)</f>
        <v>910.287567139357</v>
      </c>
      <c r="U356" s="0" t="n">
        <f aca="false">W_PH(U$2,$A356)</f>
        <v>910.292832680649</v>
      </c>
      <c r="V356" s="0" t="n">
        <f aca="false">W_PH(V$2,$A356)</f>
        <v>910.298098408271</v>
      </c>
      <c r="W356" s="0" t="n">
        <f aca="false">W_PH(W$2,$A356)</f>
        <v>910.303364323418</v>
      </c>
      <c r="X356" s="0" t="n">
        <f aca="false">W_PH(X$2,$A356)</f>
        <v>910.308630427283</v>
      </c>
      <c r="Y356" s="0" t="n">
        <f aca="false">W_PH(Y$2,$A356)</f>
        <v>910.36129954277</v>
      </c>
      <c r="Z356" s="0" t="n">
        <f aca="false">W_PH(Z$2,$A356)</f>
        <v>910.41398114336</v>
      </c>
      <c r="AA356" s="0" t="n">
        <f aca="false">W_PH(AA$2,$A356)</f>
        <v>910.466681549258</v>
      </c>
      <c r="AB356" s="0" t="n">
        <f aca="false">W_PH(AB$2,$A356)</f>
        <v>910.519396815946</v>
      </c>
      <c r="AC356" s="0" t="n">
        <f aca="false">W_PH(AC$2,$A356)</f>
        <v>910.572133266019</v>
      </c>
      <c r="AD356" s="0" t="n">
        <f aca="false">W_PH(AD$2,$A356)</f>
        <v>910.624886951236</v>
      </c>
      <c r="AE356" s="0" t="n">
        <f aca="false">W_PH(AE$2,$A356)</f>
        <v>910.677661626667</v>
      </c>
      <c r="AF356" s="0" t="n">
        <f aca="false">W_PH(AF$2,$A356)</f>
        <v>910.730458479425</v>
      </c>
      <c r="AG356" s="0" t="n">
        <f aca="false">W_PH(AG$2,$A356)</f>
        <v>910.783277410574</v>
      </c>
      <c r="AH356" s="0" t="n">
        <f aca="false">W_PH(AH$2,$A356)</f>
        <v>911.312980326503</v>
      </c>
      <c r="AI356" s="0" t="n">
        <f aca="false">W_PH(AI$2,$A356)</f>
        <v>911.84621767964</v>
      </c>
      <c r="AJ356" s="0" t="n">
        <f aca="false">W_PH(AJ$2,$A356)</f>
        <v>912.384119472109</v>
      </c>
      <c r="AK356" s="0" t="n">
        <f aca="false">W_PH(AK$2,$A356)</f>
        <v>912.927810786941</v>
      </c>
      <c r="AL356" s="0" t="n">
        <f aca="false">W_PH(AL$2,$A356)</f>
        <v>913.478415845769</v>
      </c>
      <c r="AM356" s="0" t="n">
        <f aca="false">W_PH(AM$2,$A356)</f>
        <v>914.03705561761</v>
      </c>
      <c r="AN356" s="0" t="n">
        <f aca="false">W_PH(AN$2,$A356)</f>
        <v>914.604845409237</v>
      </c>
      <c r="AO356" s="0" t="n">
        <f aca="false">W_PH(AO$2,$A356)</f>
        <v>915.182905585316</v>
      </c>
      <c r="AP356" s="0" t="n">
        <f aca="false">W_PH(AP$2,$A356)</f>
        <v>2015</v>
      </c>
      <c r="AQ356" s="0" t="n">
        <f aca="false">W_PH(AQ$2,$A356)</f>
        <v>2015</v>
      </c>
      <c r="AR356" s="0" t="n">
        <f aca="false">W_PH(AR$2,$A356)</f>
        <v>2015</v>
      </c>
      <c r="AS356" s="0" t="n">
        <f aca="false">W_PH(AS$2,$A356)</f>
        <v>2015</v>
      </c>
    </row>
    <row r="357" customFormat="false" ht="13.8" hidden="false" customHeight="false" outlineLevel="0" collapsed="false">
      <c r="A357" s="0" t="n">
        <v>5170</v>
      </c>
      <c r="B357" s="0" t="n">
        <f aca="false">W_PH(B$2,$A357)</f>
        <v>911.357592859558</v>
      </c>
      <c r="C357" s="0" t="n">
        <f aca="false">W_PH(C$2,$A357)</f>
        <v>911.357646547355</v>
      </c>
      <c r="D357" s="0" t="n">
        <f aca="false">W_PH(D$2,$A357)</f>
        <v>911.35770023517</v>
      </c>
      <c r="E357" s="0" t="n">
        <f aca="false">W_PH(E$2,$A357)</f>
        <v>911.357752642662</v>
      </c>
      <c r="F357" s="0" t="n">
        <f aca="false">W_PH(F$2,$A357)</f>
        <v>911.357805050173</v>
      </c>
      <c r="G357" s="0" t="n">
        <f aca="false">W_PH(G$2,$A357)</f>
        <v>911.35833296726</v>
      </c>
      <c r="H357" s="0" t="n">
        <f aca="false">W_PH(H$2,$A357)</f>
        <v>911.358860886102</v>
      </c>
      <c r="I357" s="0" t="n">
        <f aca="false">W_PH(I$2,$A357)</f>
        <v>911.359387526348</v>
      </c>
      <c r="J357" s="0" t="n">
        <f aca="false">W_PH(J$2,$A357)</f>
        <v>911.359916729056</v>
      </c>
      <c r="K357" s="0" t="n">
        <f aca="false">W_PH(K$2,$A357)</f>
        <v>911.36044337281</v>
      </c>
      <c r="L357" s="0" t="n">
        <f aca="false">W_PH(L$2,$A357)</f>
        <v>911.360972579044</v>
      </c>
      <c r="M357" s="0" t="n">
        <f aca="false">W_PH(M$2,$A357)</f>
        <v>911.361499226311</v>
      </c>
      <c r="N357" s="0" t="n">
        <f aca="false">W_PH(N$2,$A357)</f>
        <v>911.362028436076</v>
      </c>
      <c r="O357" s="0" t="n">
        <f aca="false">W_PH(O$2,$A357)</f>
        <v>911.362555086861</v>
      </c>
      <c r="P357" s="0" t="n">
        <f aca="false">W_PH(P$2,$A357)</f>
        <v>911.367834495671</v>
      </c>
      <c r="Q357" s="0" t="n">
        <f aca="false">W_PH(Q$2,$A357)</f>
        <v>911.373114082117</v>
      </c>
      <c r="R357" s="0" t="n">
        <f aca="false">W_PH(R$2,$A357)</f>
        <v>911.378393847387</v>
      </c>
      <c r="S357" s="0" t="n">
        <f aca="false">W_PH(S$2,$A357)</f>
        <v>911.383673792667</v>
      </c>
      <c r="T357" s="0" t="n">
        <f aca="false">W_PH(T$2,$A357)</f>
        <v>911.388953919143</v>
      </c>
      <c r="U357" s="0" t="n">
        <f aca="false">W_PH(U$2,$A357)</f>
        <v>911.394234228002</v>
      </c>
      <c r="V357" s="0" t="n">
        <f aca="false">W_PH(V$2,$A357)</f>
        <v>911.399514720429</v>
      </c>
      <c r="W357" s="0" t="n">
        <f aca="false">W_PH(W$2,$A357)</f>
        <v>911.404794116935</v>
      </c>
      <c r="X357" s="0" t="n">
        <f aca="false">W_PH(X$2,$A357)</f>
        <v>911.410073699306</v>
      </c>
      <c r="Y357" s="0" t="n">
        <f aca="false">W_PH(Y$2,$A357)</f>
        <v>911.462885130954</v>
      </c>
      <c r="Z357" s="0" t="n">
        <f aca="false">W_PH(Z$2,$A357)</f>
        <v>911.515711330933</v>
      </c>
      <c r="AA357" s="0" t="n">
        <f aca="false">W_PH(AA$2,$A357)</f>
        <v>911.568553480401</v>
      </c>
      <c r="AB357" s="0" t="n">
        <f aca="false">W_PH(AB$2,$A357)</f>
        <v>911.621410195735</v>
      </c>
      <c r="AC357" s="0" t="n">
        <f aca="false">W_PH(AC$2,$A357)</f>
        <v>911.674287785596</v>
      </c>
      <c r="AD357" s="0" t="n">
        <f aca="false">W_PH(AD$2,$A357)</f>
        <v>911.727183583485</v>
      </c>
      <c r="AE357" s="0" t="n">
        <f aca="false">W_PH(AE$2,$A357)</f>
        <v>911.780100051489</v>
      </c>
      <c r="AF357" s="0" t="n">
        <f aca="false">W_PH(AF$2,$A357)</f>
        <v>911.833037085409</v>
      </c>
      <c r="AG357" s="0" t="n">
        <f aca="false">W_PH(AG$2,$A357)</f>
        <v>911.88599714744</v>
      </c>
      <c r="AH357" s="0" t="n">
        <f aca="false">W_PH(AH$2,$A357)</f>
        <v>912.417095179359</v>
      </c>
      <c r="AI357" s="0" t="n">
        <f aca="false">W_PH(AI$2,$A357)</f>
        <v>912.951695058934</v>
      </c>
      <c r="AJ357" s="0" t="n">
        <f aca="false">W_PH(AJ$2,$A357)</f>
        <v>913.49092079587</v>
      </c>
      <c r="AK357" s="0" t="n">
        <f aca="false">W_PH(AK$2,$A357)</f>
        <v>914.035887679118</v>
      </c>
      <c r="AL357" s="0" t="n">
        <f aca="false">W_PH(AL$2,$A357)</f>
        <v>914.587715389284</v>
      </c>
      <c r="AM357" s="0" t="n">
        <f aca="false">W_PH(AM$2,$A357)</f>
        <v>915.147515231379</v>
      </c>
      <c r="AN357" s="0" t="n">
        <f aca="false">W_PH(AN$2,$A357)</f>
        <v>915.71640205804</v>
      </c>
      <c r="AO357" s="0" t="n">
        <f aca="false">W_PH(AO$2,$A357)</f>
        <v>916.295482774315</v>
      </c>
      <c r="AP357" s="0" t="n">
        <f aca="false">W_PH(AP$2,$A357)</f>
        <v>2015</v>
      </c>
      <c r="AQ357" s="0" t="n">
        <f aca="false">W_PH(AQ$2,$A357)</f>
        <v>2015</v>
      </c>
      <c r="AR357" s="0" t="n">
        <f aca="false">W_PH(AR$2,$A357)</f>
        <v>2015</v>
      </c>
      <c r="AS357" s="0" t="n">
        <f aca="false">W_PH(AS$2,$A357)</f>
        <v>2015</v>
      </c>
    </row>
    <row r="358" customFormat="false" ht="13.8" hidden="false" customHeight="false" outlineLevel="0" collapsed="false">
      <c r="A358" s="0" t="n">
        <v>5180</v>
      </c>
      <c r="B358" s="0" t="n">
        <f aca="false">W_PH(B$2,$A358)</f>
        <v>912.456635782696</v>
      </c>
      <c r="C358" s="0" t="n">
        <f aca="false">W_PH(C$2,$A358)</f>
        <v>912.456688513744</v>
      </c>
      <c r="D358" s="0" t="n">
        <f aca="false">W_PH(D$2,$A358)</f>
        <v>912.456741244809</v>
      </c>
      <c r="E358" s="0" t="n">
        <f aca="false">W_PH(E$2,$A358)</f>
        <v>912.456793975892</v>
      </c>
      <c r="F358" s="0" t="n">
        <f aca="false">W_PH(F$2,$A358)</f>
        <v>912.456846706992</v>
      </c>
      <c r="G358" s="0" t="n">
        <f aca="false">W_PH(G$2,$A358)</f>
        <v>912.45737657651</v>
      </c>
      <c r="H358" s="0" t="n">
        <f aca="false">W_PH(H$2,$A358)</f>
        <v>912.45790644776</v>
      </c>
      <c r="I358" s="0" t="n">
        <f aca="false">W_PH(I$2,$A358)</f>
        <v>912.45843376315</v>
      </c>
      <c r="J358" s="0" t="n">
        <f aca="false">W_PH(J$2,$A358)</f>
        <v>912.458963637858</v>
      </c>
      <c r="K358" s="0" t="n">
        <f aca="false">W_PH(K$2,$A358)</f>
        <v>912.459493514302</v>
      </c>
      <c r="L358" s="0" t="n">
        <f aca="false">W_PH(L$2,$A358)</f>
        <v>912.460023392481</v>
      </c>
      <c r="M358" s="0" t="n">
        <f aca="false">W_PH(M$2,$A358)</f>
        <v>912.460551993586</v>
      </c>
      <c r="N358" s="0" t="n">
        <f aca="false">W_PH(N$2,$A358)</f>
        <v>912.461080596423</v>
      </c>
      <c r="O358" s="0" t="n">
        <f aca="false">W_PH(O$2,$A358)</f>
        <v>912.46161047981</v>
      </c>
      <c r="P358" s="0" t="n">
        <f aca="false">W_PH(P$2,$A358)</f>
        <v>912.46690429419</v>
      </c>
      <c r="Q358" s="0" t="n">
        <f aca="false">W_PH(Q$2,$A358)</f>
        <v>912.472198283522</v>
      </c>
      <c r="R358" s="0" t="n">
        <f aca="false">W_PH(R$2,$A358)</f>
        <v>912.477491170053</v>
      </c>
      <c r="S358" s="0" t="n">
        <f aca="false">W_PH(S$2,$A358)</f>
        <v>912.48278423382</v>
      </c>
      <c r="T358" s="0" t="n">
        <f aca="false">W_PH(T$2,$A358)</f>
        <v>912.488078755006</v>
      </c>
      <c r="U358" s="0" t="n">
        <f aca="false">W_PH(U$2,$A358)</f>
        <v>912.49337345586</v>
      </c>
      <c r="V358" s="0" t="n">
        <f aca="false">W_PH(V$2,$A358)</f>
        <v>912.498667058478</v>
      </c>
      <c r="W358" s="0" t="n">
        <f aca="false">W_PH(W$2,$A358)</f>
        <v>912.503960843047</v>
      </c>
      <c r="X358" s="0" t="n">
        <f aca="false">W_PH(X$2,$A358)</f>
        <v>912.509256089899</v>
      </c>
      <c r="Y358" s="0" t="n">
        <f aca="false">W_PH(Y$2,$A358)</f>
        <v>912.562208657637</v>
      </c>
      <c r="Z358" s="0" t="n">
        <f aca="false">W_PH(Z$2,$A358)</f>
        <v>912.615173156547</v>
      </c>
      <c r="AA358" s="0" t="n">
        <f aca="false">W_PH(AA$2,$A358)</f>
        <v>912.668155879109</v>
      </c>
      <c r="AB358" s="0" t="n">
        <f aca="false">W_PH(AB$2,$A358)</f>
        <v>912.721155439562</v>
      </c>
      <c r="AC358" s="0" t="n">
        <f aca="false">W_PH(AC$2,$A358)</f>
        <v>912.774171729863</v>
      </c>
      <c r="AD358" s="0" t="n">
        <f aca="false">W_PH(AD$2,$A358)</f>
        <v>912.827207202954</v>
      </c>
      <c r="AE358" s="0" t="n">
        <f aca="false">W_PH(AE$2,$A358)</f>
        <v>912.88026431295</v>
      </c>
      <c r="AF358" s="0" t="n">
        <f aca="false">W_PH(AF$2,$A358)</f>
        <v>912.933340386577</v>
      </c>
      <c r="AG358" s="0" t="n">
        <f aca="false">W_PH(AG$2,$A358)</f>
        <v>912.986439158347</v>
      </c>
      <c r="AH358" s="0" t="n">
        <f aca="false">W_PH(AH$2,$A358)</f>
        <v>913.518914821582</v>
      </c>
      <c r="AI358" s="0" t="n">
        <f aca="false">W_PH(AI$2,$A358)</f>
        <v>914.054856491283</v>
      </c>
      <c r="AJ358" s="0" t="n">
        <f aca="false">W_PH(AJ$2,$A358)</f>
        <v>914.595386096991</v>
      </c>
      <c r="AK358" s="0" t="n">
        <f aca="false">W_PH(AK$2,$A358)</f>
        <v>915.141611801116</v>
      </c>
      <c r="AL358" s="0" t="n">
        <f aca="false">W_PH(AL$2,$A358)</f>
        <v>915.694646221188</v>
      </c>
      <c r="AM358" s="0" t="n">
        <f aca="false">W_PH(AM$2,$A358)</f>
        <v>916.255592372544</v>
      </c>
      <c r="AN358" s="0" t="n">
        <f aca="false">W_PH(AN$2,$A358)</f>
        <v>916.825558169849</v>
      </c>
      <c r="AO358" s="0" t="n">
        <f aca="false">W_PH(AO$2,$A358)</f>
        <v>917.405643650963</v>
      </c>
      <c r="AP358" s="0" t="n">
        <f aca="false">W_PH(AP$2,$A358)</f>
        <v>2015</v>
      </c>
      <c r="AQ358" s="0" t="n">
        <f aca="false">W_PH(AQ$2,$A358)</f>
        <v>2015</v>
      </c>
      <c r="AR358" s="0" t="n">
        <f aca="false">W_PH(AR$2,$A358)</f>
        <v>2015</v>
      </c>
      <c r="AS358" s="0" t="n">
        <f aca="false">W_PH(AS$2,$A358)</f>
        <v>2015</v>
      </c>
    </row>
    <row r="359" customFormat="false" ht="13.8" hidden="false" customHeight="false" outlineLevel="0" collapsed="false">
      <c r="A359" s="0" t="n">
        <v>5190</v>
      </c>
      <c r="B359" s="0" t="n">
        <f aca="false">W_PH(B$2,$A359)</f>
        <v>913.553431339994</v>
      </c>
      <c r="C359" s="0" t="n">
        <f aca="false">W_PH(C$2,$A359)</f>
        <v>913.553484390494</v>
      </c>
      <c r="D359" s="0" t="n">
        <f aca="false">W_PH(D$2,$A359)</f>
        <v>913.553537441011</v>
      </c>
      <c r="E359" s="0" t="n">
        <f aca="false">W_PH(E$2,$A359)</f>
        <v>913.553590491545</v>
      </c>
      <c r="F359" s="0" t="n">
        <f aca="false">W_PH(F$2,$A359)</f>
        <v>913.553643542096</v>
      </c>
      <c r="G359" s="0" t="n">
        <f aca="false">W_PH(G$2,$A359)</f>
        <v>913.554174048541</v>
      </c>
      <c r="H359" s="0" t="n">
        <f aca="false">W_PH(H$2,$A359)</f>
        <v>913.554704556686</v>
      </c>
      <c r="I359" s="0" t="n">
        <f aca="false">W_PH(I$2,$A359)</f>
        <v>913.555235066533</v>
      </c>
      <c r="J359" s="0" t="n">
        <f aca="false">W_PH(J$2,$A359)</f>
        <v>913.555765578083</v>
      </c>
      <c r="K359" s="0" t="n">
        <f aca="false">W_PH(K$2,$A359)</f>
        <v>913.556297368594</v>
      </c>
      <c r="L359" s="0" t="n">
        <f aca="false">W_PH(L$2,$A359)</f>
        <v>913.556827883557</v>
      </c>
      <c r="M359" s="0" t="n">
        <f aca="false">W_PH(M$2,$A359)</f>
        <v>913.55735967749</v>
      </c>
      <c r="N359" s="0" t="n">
        <f aca="false">W_PH(N$2,$A359)</f>
        <v>913.557890195871</v>
      </c>
      <c r="O359" s="0" t="n">
        <f aca="false">W_PH(O$2,$A359)</f>
        <v>913.55842071596</v>
      </c>
      <c r="P359" s="0" t="n">
        <f aca="false">W_PH(P$2,$A359)</f>
        <v>913.563728565703</v>
      </c>
      <c r="Q359" s="0" t="n">
        <f aca="false">W_PH(Q$2,$A359)</f>
        <v>913.56903403306</v>
      </c>
      <c r="R359" s="0" t="n">
        <f aca="false">W_PH(R$2,$A359)</f>
        <v>913.574342228511</v>
      </c>
      <c r="S359" s="0" t="n">
        <f aca="false">W_PH(S$2,$A359)</f>
        <v>913.57965059861</v>
      </c>
      <c r="T359" s="0" t="n">
        <f aca="false">W_PH(T$2,$A359)</f>
        <v>913.584957867071</v>
      </c>
      <c r="U359" s="0" t="n">
        <f aca="false">W_PH(U$2,$A359)</f>
        <v>913.590265312448</v>
      </c>
      <c r="V359" s="0" t="n">
        <f aca="false">W_PH(V$2,$A359)</f>
        <v>913.595574213444</v>
      </c>
      <c r="W359" s="0" t="n">
        <f aca="false">W_PH(W$2,$A359)</f>
        <v>913.600882016203</v>
      </c>
      <c r="X359" s="0" t="n">
        <f aca="false">W_PH(X$2,$A359)</f>
        <v>913.606189999393</v>
      </c>
      <c r="Y359" s="0" t="n">
        <f aca="false">W_PH(Y$2,$A359)</f>
        <v>913.659281290509</v>
      </c>
      <c r="Z359" s="0" t="n">
        <f aca="false">W_PH(Z$2,$A359)</f>
        <v>913.712386799922</v>
      </c>
      <c r="AA359" s="0" t="n">
        <f aca="false">W_PH(AA$2,$A359)</f>
        <v>913.765506415067</v>
      </c>
      <c r="AB359" s="0" t="n">
        <f aca="false">W_PH(AB$2,$A359)</f>
        <v>913.818645137918</v>
      </c>
      <c r="AC359" s="0" t="n">
        <f aca="false">W_PH(AC$2,$A359)</f>
        <v>913.871799018412</v>
      </c>
      <c r="AD359" s="0" t="n">
        <f aca="false">W_PH(AD$2,$A359)</f>
        <v>913.924971779192</v>
      </c>
      <c r="AE359" s="0" t="n">
        <f aca="false">W_PH(AE$2,$A359)</f>
        <v>913.978167145545</v>
      </c>
      <c r="AF359" s="0" t="n">
        <f aca="false">W_PH(AF$2,$A359)</f>
        <v>914.031381162056</v>
      </c>
      <c r="AG359" s="0" t="n">
        <f aca="false">W_PH(AG$2,$A359)</f>
        <v>914.084617552657</v>
      </c>
      <c r="AH359" s="0" t="n">
        <f aca="false">W_PH(AH$2,$A359)</f>
        <v>914.618449976205</v>
      </c>
      <c r="AI359" s="0" t="n">
        <f aca="false">W_PH(AI$2,$A359)</f>
        <v>915.155718313452</v>
      </c>
      <c r="AJ359" s="0" t="n">
        <f aca="false">W_PH(AJ$2,$A359)</f>
        <v>915.697534760362</v>
      </c>
      <c r="AK359" s="0" t="n">
        <f aca="false">W_PH(AK$2,$A359)</f>
        <v>916.245000396469</v>
      </c>
      <c r="AL359" s="0" t="n">
        <f aca="false">W_PH(AL$2,$A359)</f>
        <v>916.799223416657</v>
      </c>
      <c r="AM359" s="0" t="n">
        <f aca="false">W_PH(AM$2,$A359)</f>
        <v>917.361301217183</v>
      </c>
      <c r="AN359" s="0" t="n">
        <f aca="false">W_PH(AN$2,$A359)</f>
        <v>917.932330939538</v>
      </c>
      <c r="AO359" s="0" t="n">
        <f aca="false">W_PH(AO$2,$A359)</f>
        <v>918.513409730549</v>
      </c>
      <c r="AP359" s="0" t="n">
        <f aca="false">W_PH(AP$2,$A359)</f>
        <v>2015</v>
      </c>
      <c r="AQ359" s="0" t="n">
        <f aca="false">W_PH(AQ$2,$A359)</f>
        <v>2015</v>
      </c>
      <c r="AR359" s="0" t="n">
        <f aca="false">W_PH(AR$2,$A359)</f>
        <v>2015</v>
      </c>
      <c r="AS359" s="0" t="n">
        <f aca="false">W_PH(AS$2,$A359)</f>
        <v>2015</v>
      </c>
    </row>
    <row r="360" customFormat="false" ht="13.8" hidden="false" customHeight="false" outlineLevel="0" collapsed="false">
      <c r="A360" s="0" t="n">
        <v>5200</v>
      </c>
      <c r="B360" s="0" t="n">
        <f aca="false">W_PH(B$2,$A360)</f>
        <v>914.647996873519</v>
      </c>
      <c r="C360" s="0" t="n">
        <f aca="false">W_PH(C$2,$A360)</f>
        <v>914.648050239391</v>
      </c>
      <c r="D360" s="0" t="n">
        <f aca="false">W_PH(D$2,$A360)</f>
        <v>914.648103605279</v>
      </c>
      <c r="E360" s="0" t="n">
        <f aca="false">W_PH(E$2,$A360)</f>
        <v>914.648156971185</v>
      </c>
      <c r="F360" s="0" t="n">
        <f aca="false">W_PH(F$2,$A360)</f>
        <v>914.648210337107</v>
      </c>
      <c r="G360" s="0" t="n">
        <f aca="false">W_PH(G$2,$A360)</f>
        <v>914.648741445848</v>
      </c>
      <c r="H360" s="0" t="n">
        <f aca="false">W_PH(H$2,$A360)</f>
        <v>914.649275107675</v>
      </c>
      <c r="I360" s="0" t="n">
        <f aca="false">W_PH(I$2,$A360)</f>
        <v>914.649806219765</v>
      </c>
      <c r="J360" s="0" t="n">
        <f aca="false">W_PH(J$2,$A360)</f>
        <v>914.650338609243</v>
      </c>
      <c r="K360" s="0" t="n">
        <f aca="false">W_PH(K$2,$A360)</f>
        <v>914.650871000401</v>
      </c>
      <c r="L360" s="0" t="n">
        <f aca="false">W_PH(L$2,$A360)</f>
        <v>914.65140211752</v>
      </c>
      <c r="M360" s="0" t="n">
        <f aca="false">W_PH(M$2,$A360)</f>
        <v>914.651935787766</v>
      </c>
      <c r="N360" s="0" t="n">
        <f aca="false">W_PH(N$2,$A360)</f>
        <v>914.652466908244</v>
      </c>
      <c r="O360" s="0" t="n">
        <f aca="false">W_PH(O$2,$A360)</f>
        <v>914.652998030402</v>
      </c>
      <c r="P360" s="0" t="n">
        <f aca="false">W_PH(P$2,$A360)</f>
        <v>914.658319550693</v>
      </c>
      <c r="Q360" s="0" t="n">
        <f aca="false">W_PH(Q$2,$A360)</f>
        <v>914.663641240681</v>
      </c>
      <c r="R360" s="0" t="n">
        <f aca="false">W_PH(R$2,$A360)</f>
        <v>914.668963101528</v>
      </c>
      <c r="S360" s="0" t="n">
        <f aca="false">W_PH(S$2,$A360)</f>
        <v>914.674283858519</v>
      </c>
      <c r="T360" s="0" t="n">
        <f aca="false">W_PH(T$2,$A360)</f>
        <v>914.679604788624</v>
      </c>
      <c r="U360" s="0" t="n">
        <f aca="false">W_PH(U$2,$A360)</f>
        <v>914.684927168959</v>
      </c>
      <c r="V360" s="0" t="n">
        <f aca="false">W_PH(V$2,$A360)</f>
        <v>914.690249724809</v>
      </c>
      <c r="W360" s="0" t="n">
        <f aca="false">W_PH(W$2,$A360)</f>
        <v>914.695569905286</v>
      </c>
      <c r="X360" s="0" t="n">
        <f aca="false">W_PH(X$2,$A360)</f>
        <v>914.700892815583</v>
      </c>
      <c r="Y360" s="0" t="n">
        <f aca="false">W_PH(Y$2,$A360)</f>
        <v>914.754121744411</v>
      </c>
      <c r="Z360" s="0" t="n">
        <f aca="false">W_PH(Z$2,$A360)</f>
        <v>914.807362070595</v>
      </c>
      <c r="AA360" s="0" t="n">
        <f aca="false">W_PH(AA$2,$A360)</f>
        <v>914.860620059326</v>
      </c>
      <c r="AB360" s="0" t="n">
        <f aca="false">W_PH(AB$2,$A360)</f>
        <v>914.913894316195</v>
      </c>
      <c r="AC360" s="0" t="n">
        <f aca="false">W_PH(AC$2,$A360)</f>
        <v>914.967184721458</v>
      </c>
      <c r="AD360" s="0" t="n">
        <f aca="false">W_PH(AD$2,$A360)</f>
        <v>915.020493710117</v>
      </c>
      <c r="AE360" s="0" t="n">
        <f aca="false">W_PH(AE$2,$A360)</f>
        <v>915.07382371833</v>
      </c>
      <c r="AF360" s="0" t="n">
        <f aca="false">W_PH(AF$2,$A360)</f>
        <v>915.127174625449</v>
      </c>
      <c r="AG360" s="0" t="n">
        <f aca="false">W_PH(AG$2,$A360)</f>
        <v>915.180545029727</v>
      </c>
      <c r="AH360" s="0" t="n">
        <f aca="false">W_PH(AH$2,$A360)</f>
        <v>915.715716378545</v>
      </c>
      <c r="AI360" s="0" t="n">
        <f aca="false">W_PH(AI$2,$A360)</f>
        <v>916.254294135058</v>
      </c>
      <c r="AJ360" s="0" t="n">
        <f aca="false">W_PH(AJ$2,$A360)</f>
        <v>916.797378254292</v>
      </c>
      <c r="AK360" s="0" t="n">
        <f aca="false">W_PH(AK$2,$A360)</f>
        <v>917.346070538322</v>
      </c>
      <c r="AL360" s="0" t="n">
        <f aca="false">W_PH(AL$2,$A360)</f>
        <v>917.901464480982</v>
      </c>
      <c r="AM360" s="0" t="n">
        <f aca="false">W_PH(AM$2,$A360)</f>
        <v>918.464655777554</v>
      </c>
      <c r="AN360" s="0" t="n">
        <f aca="false">W_PH(AN$2,$A360)</f>
        <v>919.036737376236</v>
      </c>
      <c r="AO360" s="0" t="n">
        <f aca="false">W_PH(AO$2,$A360)</f>
        <v>919.618794471603</v>
      </c>
      <c r="AP360" s="0" t="n">
        <f aca="false">W_PH(AP$2,$A360)</f>
        <v>2015</v>
      </c>
      <c r="AQ360" s="0" t="n">
        <f aca="false">W_PH(AQ$2,$A360)</f>
        <v>2015</v>
      </c>
      <c r="AR360" s="0" t="n">
        <f aca="false">W_PH(AR$2,$A360)</f>
        <v>2015</v>
      </c>
      <c r="AS360" s="0" t="n">
        <f aca="false">W_PH(AS$2,$A360)</f>
        <v>2015</v>
      </c>
    </row>
    <row r="361" customFormat="false" ht="13.8" hidden="false" customHeight="false" outlineLevel="0" collapsed="false">
      <c r="A361" s="0" t="n">
        <v>5210</v>
      </c>
      <c r="B361" s="0" t="n">
        <f aca="false">W_PH(B$2,$A361)</f>
        <v>915.740347038285</v>
      </c>
      <c r="C361" s="0" t="n">
        <f aca="false">W_PH(C$2,$A361)</f>
        <v>915.740400715506</v>
      </c>
      <c r="D361" s="0" t="n">
        <f aca="false">W_PH(D$2,$A361)</f>
        <v>915.740454392743</v>
      </c>
      <c r="E361" s="0" t="n">
        <f aca="false">W_PH(E$2,$A361)</f>
        <v>915.740508069997</v>
      </c>
      <c r="F361" s="0" t="n">
        <f aca="false">W_PH(F$2,$A361)</f>
        <v>915.740561747268</v>
      </c>
      <c r="G361" s="0" t="n">
        <f aca="false">W_PH(G$2,$A361)</f>
        <v>915.741093424198</v>
      </c>
      <c r="H361" s="0" t="n">
        <f aca="false">W_PH(H$2,$A361)</f>
        <v>915.741627651124</v>
      </c>
      <c r="I361" s="0" t="n">
        <f aca="false">W_PH(I$2,$A361)</f>
        <v>915.742161879705</v>
      </c>
      <c r="J361" s="0" t="n">
        <f aca="false">W_PH(J$2,$A361)</f>
        <v>915.742693561573</v>
      </c>
      <c r="K361" s="0" t="n">
        <f aca="false">W_PH(K$2,$A361)</f>
        <v>915.743227793463</v>
      </c>
      <c r="L361" s="0" t="n">
        <f aca="false">W_PH(L$2,$A361)</f>
        <v>915.743762027012</v>
      </c>
      <c r="M361" s="0" t="n">
        <f aca="false">W_PH(M$2,$A361)</f>
        <v>915.744294988025</v>
      </c>
      <c r="N361" s="0" t="n">
        <f aca="false">W_PH(N$2,$A361)</f>
        <v>915.744827950693</v>
      </c>
      <c r="O361" s="0" t="n">
        <f aca="false">W_PH(O$2,$A361)</f>
        <v>915.74536218922</v>
      </c>
      <c r="P361" s="0" t="n">
        <f aca="false">W_PH(P$2,$A361)</f>
        <v>915.750697020764</v>
      </c>
      <c r="Q361" s="0" t="n">
        <f aca="false">W_PH(Q$2,$A361)</f>
        <v>915.75603201943</v>
      </c>
      <c r="R361" s="0" t="n">
        <f aca="false">W_PH(R$2,$A361)</f>
        <v>915.761365912065</v>
      </c>
      <c r="S361" s="0" t="n">
        <f aca="false">W_PH(S$2,$A361)</f>
        <v>915.766699974063</v>
      </c>
      <c r="T361" s="0" t="n">
        <f aca="false">W_PH(T$2,$A361)</f>
        <v>915.772035480966</v>
      </c>
      <c r="U361" s="0" t="n">
        <f aca="false">W_PH(U$2,$A361)</f>
        <v>915.777371159618</v>
      </c>
      <c r="V361" s="0" t="n">
        <f aca="false">W_PH(V$2,$A361)</f>
        <v>915.782707011175</v>
      </c>
      <c r="W361" s="0" t="n">
        <f aca="false">W_PH(W$2,$A361)</f>
        <v>915.7880417623</v>
      </c>
      <c r="X361" s="0" t="n">
        <f aca="false">W_PH(X$2,$A361)</f>
        <v>915.793376688572</v>
      </c>
      <c r="Y361" s="0" t="n">
        <f aca="false">W_PH(Y$2,$A361)</f>
        <v>915.846740938199</v>
      </c>
      <c r="Z361" s="0" t="n">
        <f aca="false">W_PH(Z$2,$A361)</f>
        <v>915.90011760066</v>
      </c>
      <c r="AA361" s="0" t="n">
        <f aca="false">W_PH(AA$2,$A361)</f>
        <v>915.95350910191</v>
      </c>
      <c r="AB361" s="0" t="n">
        <f aca="false">W_PH(AB$2,$A361)</f>
        <v>916.006917869049</v>
      </c>
      <c r="AC361" s="0" t="n">
        <f aca="false">W_PH(AC$2,$A361)</f>
        <v>916.060343777659</v>
      </c>
      <c r="AD361" s="0" t="n">
        <f aca="false">W_PH(AD$2,$A361)</f>
        <v>916.113787978278</v>
      </c>
      <c r="AE361" s="0" t="n">
        <f aca="false">W_PH(AE$2,$A361)</f>
        <v>916.167251621151</v>
      </c>
      <c r="AF361" s="0" t="n">
        <f aca="false">W_PH(AF$2,$A361)</f>
        <v>916.220734578814</v>
      </c>
      <c r="AG361" s="0" t="n">
        <f aca="false">W_PH(AG$2,$A361)</f>
        <v>916.274239277619</v>
      </c>
      <c r="AH361" s="0" t="n">
        <f aca="false">W_PH(AH$2,$A361)</f>
        <v>916.810730901786</v>
      </c>
      <c r="AI361" s="0" t="n">
        <f aca="false">W_PH(AI$2,$A361)</f>
        <v>917.350597427317</v>
      </c>
      <c r="AJ361" s="0" t="n">
        <f aca="false">W_PH(AJ$2,$A361)</f>
        <v>917.894935644926</v>
      </c>
      <c r="AK361" s="0" t="n">
        <f aca="false">W_PH(AK$2,$A361)</f>
        <v>918.444833964749</v>
      </c>
      <c r="AL361" s="0" t="n">
        <f aca="false">W_PH(AL$2,$A361)</f>
        <v>919.001386744063</v>
      </c>
      <c r="AM361" s="0" t="n">
        <f aca="false">W_PH(AM$2,$A361)</f>
        <v>919.565677696288</v>
      </c>
      <c r="AN361" s="0" t="n">
        <f aca="false">W_PH(AN$2,$A361)</f>
        <v>920.138791702781</v>
      </c>
      <c r="AO361" s="0" t="n">
        <f aca="false">W_PH(AO$2,$A361)</f>
        <v>920.721813775902</v>
      </c>
      <c r="AP361" s="0" t="n">
        <f aca="false">W_PH(AP$2,$A361)</f>
        <v>2015</v>
      </c>
      <c r="AQ361" s="0" t="n">
        <f aca="false">W_PH(AQ$2,$A361)</f>
        <v>2015</v>
      </c>
      <c r="AR361" s="0" t="n">
        <f aca="false">W_PH(AR$2,$A361)</f>
        <v>2015</v>
      </c>
      <c r="AS361" s="0" t="n">
        <f aca="false">W_PH(AS$2,$A361)</f>
        <v>2015</v>
      </c>
    </row>
    <row r="362" customFormat="false" ht="13.8" hidden="false" customHeight="false" outlineLevel="0" collapsed="false">
      <c r="A362" s="0" t="n">
        <v>5220</v>
      </c>
      <c r="B362" s="0" t="n">
        <f aca="false">W_PH(B$2,$A362)</f>
        <v>916.830496364792</v>
      </c>
      <c r="C362" s="0" t="n">
        <f aca="false">W_PH(C$2,$A362)</f>
        <v>916.830550349396</v>
      </c>
      <c r="D362" s="0" t="n">
        <f aca="false">W_PH(D$2,$A362)</f>
        <v>916.830603061367</v>
      </c>
      <c r="E362" s="0" t="n">
        <f aca="false">W_PH(E$2,$A362)</f>
        <v>916.830655773354</v>
      </c>
      <c r="F362" s="0" t="n">
        <f aca="false">W_PH(F$2,$A362)</f>
        <v>916.830709758007</v>
      </c>
      <c r="G362" s="0" t="n">
        <f aca="false">W_PH(G$2,$A362)</f>
        <v>916.831244514828</v>
      </c>
      <c r="H362" s="0" t="n">
        <f aca="false">W_PH(H$2,$A362)</f>
        <v>916.831779273275</v>
      </c>
      <c r="I362" s="0" t="n">
        <f aca="false">W_PH(I$2,$A362)</f>
        <v>916.832314033348</v>
      </c>
      <c r="J362" s="0" t="n">
        <f aca="false">W_PH(J$2,$A362)</f>
        <v>916.832848795048</v>
      </c>
      <c r="K362" s="0" t="n">
        <f aca="false">W_PH(K$2,$A362)</f>
        <v>916.833383558377</v>
      </c>
      <c r="L362" s="0" t="n">
        <f aca="false">W_PH(L$2,$A362)</f>
        <v>916.833918323336</v>
      </c>
      <c r="M362" s="0" t="n">
        <f aca="false">W_PH(M$2,$A362)</f>
        <v>916.834453089926</v>
      </c>
      <c r="N362" s="0" t="n">
        <f aca="false">W_PH(N$2,$A362)</f>
        <v>916.834987858148</v>
      </c>
      <c r="O362" s="0" t="n">
        <f aca="false">W_PH(O$2,$A362)</f>
        <v>916.835522628003</v>
      </c>
      <c r="P362" s="0" t="n">
        <f aca="false">W_PH(P$2,$A362)</f>
        <v>916.840870416634</v>
      </c>
      <c r="Q362" s="0" t="n">
        <f aca="false">W_PH(Q$2,$A362)</f>
        <v>916.846218369853</v>
      </c>
      <c r="R362" s="0" t="n">
        <f aca="false">W_PH(R$2,$A362)</f>
        <v>916.851566488809</v>
      </c>
      <c r="S362" s="0" t="n">
        <f aca="false">W_PH(S$2,$A362)</f>
        <v>916.85691477465</v>
      </c>
      <c r="T362" s="0" t="n">
        <f aca="false">W_PH(T$2,$A362)</f>
        <v>916.862263228526</v>
      </c>
      <c r="U362" s="0" t="n">
        <f aca="false">W_PH(U$2,$A362)</f>
        <v>916.867611851585</v>
      </c>
      <c r="V362" s="0" t="n">
        <f aca="false">W_PH(V$2,$A362)</f>
        <v>916.872960644977</v>
      </c>
      <c r="W362" s="0" t="n">
        <f aca="false">W_PH(W$2,$A362)</f>
        <v>916.878309609851</v>
      </c>
      <c r="X362" s="0" t="n">
        <f aca="false">W_PH(X$2,$A362)</f>
        <v>916.883658747355</v>
      </c>
      <c r="Y362" s="0" t="n">
        <f aca="false">W_PH(Y$2,$A362)</f>
        <v>916.937154776382</v>
      </c>
      <c r="Z362" s="0" t="n">
        <f aca="false">W_PH(Z$2,$A362)</f>
        <v>916.990664234348</v>
      </c>
      <c r="AA362" s="0" t="n">
        <f aca="false">W_PH(AA$2,$A362)</f>
        <v>917.044190813573</v>
      </c>
      <c r="AB362" s="0" t="n">
        <f aca="false">W_PH(AB$2,$A362)</f>
        <v>917.097730562351</v>
      </c>
      <c r="AC362" s="0" t="n">
        <f aca="false">W_PH(AC$2,$A362)</f>
        <v>917.151289721288</v>
      </c>
      <c r="AD362" s="0" t="n">
        <f aca="false">W_PH(AD$2,$A362)</f>
        <v>917.204865610391</v>
      </c>
      <c r="AE362" s="0" t="n">
        <f aca="false">W_PH(AE$2,$A362)</f>
        <v>917.258460647109</v>
      </c>
      <c r="AF362" s="0" t="n">
        <f aca="false">W_PH(AF$2,$A362)</f>
        <v>917.31207725003</v>
      </c>
      <c r="AG362" s="0" t="n">
        <f aca="false">W_PH(AG$2,$A362)</f>
        <v>917.365715286453</v>
      </c>
      <c r="AH362" s="0" t="n">
        <f aca="false">W_PH(AH$2,$A362)</f>
        <v>917.903507711916</v>
      </c>
      <c r="AI362" s="0" t="n">
        <f aca="false">W_PH(AI$2,$A362)</f>
        <v>918.444646658259</v>
      </c>
      <c r="AJ362" s="0" t="n">
        <f aca="false">W_PH(AJ$2,$A362)</f>
        <v>918.990219393966</v>
      </c>
      <c r="AK362" s="0" t="n">
        <f aca="false">W_PH(AK$2,$A362)</f>
        <v>919.541310017251</v>
      </c>
      <c r="AL362" s="0" t="n">
        <f aca="false">W_PH(AL$2,$A362)</f>
        <v>920.099002189289</v>
      </c>
      <c r="AM362" s="0" t="n">
        <f aca="false">W_PH(AM$2,$A362)</f>
        <v>920.664376743436</v>
      </c>
      <c r="AN362" s="0" t="n">
        <f aca="false">W_PH(AN$2,$A362)</f>
        <v>921.238513177063</v>
      </c>
      <c r="AO362" s="0" t="n">
        <f aca="false">W_PH(AO$2,$A362)</f>
        <v>921.822485972586</v>
      </c>
      <c r="AP362" s="0" t="n">
        <f aca="false">W_PH(AP$2,$A362)</f>
        <v>2015</v>
      </c>
      <c r="AQ362" s="0" t="n">
        <f aca="false">W_PH(AQ$2,$A362)</f>
        <v>2015</v>
      </c>
      <c r="AR362" s="0" t="n">
        <f aca="false">W_PH(AR$2,$A362)</f>
        <v>2015</v>
      </c>
      <c r="AS362" s="0" t="n">
        <f aca="false">W_PH(AS$2,$A362)</f>
        <v>2015</v>
      </c>
    </row>
    <row r="363" customFormat="false" ht="13.8" hidden="false" customHeight="false" outlineLevel="0" collapsed="false">
      <c r="A363" s="0" t="n">
        <v>5230</v>
      </c>
      <c r="B363" s="0" t="n">
        <f aca="false">W_PH(B$2,$A363)</f>
        <v>917.918456718586</v>
      </c>
      <c r="C363" s="0" t="n">
        <f aca="false">W_PH(C$2,$A363)</f>
        <v>917.91851100666</v>
      </c>
      <c r="D363" s="0" t="n">
        <f aca="false">W_PH(D$2,$A363)</f>
        <v>917.918565294751</v>
      </c>
      <c r="E363" s="0" t="n">
        <f aca="false">W_PH(E$2,$A363)</f>
        <v>917.918618311722</v>
      </c>
      <c r="F363" s="0" t="n">
        <f aca="false">W_PH(F$2,$A363)</f>
        <v>917.918671328709</v>
      </c>
      <c r="G363" s="0" t="n">
        <f aca="false">W_PH(G$2,$A363)</f>
        <v>917.91920785514</v>
      </c>
      <c r="H363" s="0" t="n">
        <f aca="false">W_PH(H$2,$A363)</f>
        <v>917.919744383173</v>
      </c>
      <c r="I363" s="0" t="n">
        <f aca="false">W_PH(I$2,$A363)</f>
        <v>917.920279641664</v>
      </c>
      <c r="J363" s="0" t="n">
        <f aca="false">W_PH(J$2,$A363)</f>
        <v>917.920816172904</v>
      </c>
      <c r="K363" s="0" t="n">
        <f aca="false">W_PH(K$2,$A363)</f>
        <v>917.92135270575</v>
      </c>
      <c r="L363" s="0" t="n">
        <f aca="false">W_PH(L$2,$A363)</f>
        <v>917.921887969046</v>
      </c>
      <c r="M363" s="0" t="n">
        <f aca="false">W_PH(M$2,$A363)</f>
        <v>917.922424505105</v>
      </c>
      <c r="N363" s="0" t="n">
        <f aca="false">W_PH(N$2,$A363)</f>
        <v>917.922961042775</v>
      </c>
      <c r="O363" s="0" t="n">
        <f aca="false">W_PH(O$2,$A363)</f>
        <v>917.923496310887</v>
      </c>
      <c r="P363" s="0" t="n">
        <f aca="false">W_PH(P$2,$A363)</f>
        <v>917.92885797891</v>
      </c>
      <c r="Q363" s="0" t="n">
        <f aca="false">W_PH(Q$2,$A363)</f>
        <v>917.93421980909</v>
      </c>
      <c r="R363" s="0" t="n">
        <f aca="false">W_PH(R$2,$A363)</f>
        <v>917.939580531297</v>
      </c>
      <c r="S363" s="0" t="n">
        <f aca="false">W_PH(S$2,$A363)</f>
        <v>917.944941417874</v>
      </c>
      <c r="T363" s="0" t="n">
        <f aca="false">W_PH(T$2,$A363)</f>
        <v>917.950302469964</v>
      </c>
      <c r="U363" s="0" t="n">
        <f aca="false">W_PH(U$2,$A363)</f>
        <v>917.95566623147</v>
      </c>
      <c r="V363" s="0" t="n">
        <f aca="false">W_PH(V$2,$A363)</f>
        <v>917.961027618083</v>
      </c>
      <c r="W363" s="0" t="n">
        <f aca="false">W_PH(W$2,$A363)</f>
        <v>917.966389173633</v>
      </c>
      <c r="X363" s="0" t="n">
        <f aca="false">W_PH(X$2,$A363)</f>
        <v>917.971750899264</v>
      </c>
      <c r="Y363" s="0" t="n">
        <f aca="false">W_PH(Y$2,$A363)</f>
        <v>918.025379032953</v>
      </c>
      <c r="Z363" s="0" t="n">
        <f aca="false">W_PH(Z$2,$A363)</f>
        <v>918.079020342214</v>
      </c>
      <c r="AA363" s="0" t="n">
        <f aca="false">W_PH(AA$2,$A363)</f>
        <v>918.132677236577</v>
      </c>
      <c r="AB363" s="0" t="n">
        <f aca="false">W_PH(AB$2,$A363)</f>
        <v>918.1863495809</v>
      </c>
      <c r="AC363" s="0" t="n">
        <f aca="false">W_PH(AC$2,$A363)</f>
        <v>918.240037238353</v>
      </c>
      <c r="AD363" s="0" t="n">
        <f aca="false">W_PH(AD$2,$A363)</f>
        <v>918.293745164826</v>
      </c>
      <c r="AE363" s="0" t="n">
        <f aca="false">W_PH(AE$2,$A363)</f>
        <v>918.347470676425</v>
      </c>
      <c r="AF363" s="0" t="n">
        <f aca="false">W_PH(AF$2,$A363)</f>
        <v>918.401216181979</v>
      </c>
      <c r="AG363" s="0" t="n">
        <f aca="false">W_PH(AG$2,$A363)</f>
        <v>918.454982816788</v>
      </c>
      <c r="AH363" s="0" t="n">
        <f aca="false">W_PH(AH$2,$A363)</f>
        <v>918.994062120395</v>
      </c>
      <c r="AI363" s="0" t="n">
        <f aca="false">W_PH(AI$2,$A363)</f>
        <v>919.536455009197</v>
      </c>
      <c r="AJ363" s="0" t="n">
        <f aca="false">W_PH(AJ$2,$A363)</f>
        <v>920.083246968626</v>
      </c>
      <c r="AK363" s="0" t="n">
        <f aca="false">W_PH(AK$2,$A363)</f>
        <v>920.635512707399</v>
      </c>
      <c r="AL363" s="0" t="n">
        <f aca="false">W_PH(AL$2,$A363)</f>
        <v>921.194330408763</v>
      </c>
      <c r="AM363" s="0" t="n">
        <f aca="false">W_PH(AM$2,$A363)</f>
        <v>921.760772915038</v>
      </c>
      <c r="AN363" s="0" t="n">
        <f aca="false">W_PH(AN$2,$A363)</f>
        <v>922.335915672945</v>
      </c>
      <c r="AO363" s="0" t="n">
        <f aca="false">W_PH(AO$2,$A363)</f>
        <v>922.92082399498</v>
      </c>
      <c r="AP363" s="0" t="n">
        <f aca="false">W_PH(AP$2,$A363)</f>
        <v>2015</v>
      </c>
      <c r="AQ363" s="0" t="n">
        <f aca="false">W_PH(AQ$2,$A363)</f>
        <v>2015</v>
      </c>
      <c r="AR363" s="0" t="n">
        <f aca="false">W_PH(AR$2,$A363)</f>
        <v>2015</v>
      </c>
      <c r="AS363" s="0" t="n">
        <f aca="false">W_PH(AS$2,$A363)</f>
        <v>2015</v>
      </c>
    </row>
    <row r="364" customFormat="false" ht="13.8" hidden="false" customHeight="false" outlineLevel="0" collapsed="false">
      <c r="A364" s="0" t="n">
        <v>5240</v>
      </c>
      <c r="B364" s="0" t="n">
        <f aca="false">W_PH(B$2,$A364)</f>
        <v>919.004244934872</v>
      </c>
      <c r="C364" s="0" t="n">
        <f aca="false">W_PH(C$2,$A364)</f>
        <v>919.004299522561</v>
      </c>
      <c r="D364" s="0" t="n">
        <f aca="false">W_PH(D$2,$A364)</f>
        <v>919.004354110266</v>
      </c>
      <c r="E364" s="0" t="n">
        <f aca="false">W_PH(E$2,$A364)</f>
        <v>919.004406158724</v>
      </c>
      <c r="F364" s="0" t="n">
        <f aca="false">W_PH(F$2,$A364)</f>
        <v>919.004460746462</v>
      </c>
      <c r="G364" s="0" t="n">
        <f aca="false">W_PH(G$2,$A364)</f>
        <v>919.004999006913</v>
      </c>
      <c r="H364" s="0" t="n">
        <f aca="false">W_PH(H$2,$A364)</f>
        <v>919.005534729667</v>
      </c>
      <c r="I364" s="0" t="n">
        <f aca="false">W_PH(I$2,$A364)</f>
        <v>919.006072993275</v>
      </c>
      <c r="J364" s="0" t="n">
        <f aca="false">W_PH(J$2,$A364)</f>
        <v>919.006609988821</v>
      </c>
      <c r="K364" s="0" t="n">
        <f aca="false">W_PH(K$2,$A364)</f>
        <v>919.007146985944</v>
      </c>
      <c r="L364" s="0" t="n">
        <f aca="false">W_PH(L$2,$A364)</f>
        <v>919.007685254299</v>
      </c>
      <c r="M364" s="0" t="n">
        <f aca="false">W_PH(M$2,$A364)</f>
        <v>919.008222254585</v>
      </c>
      <c r="N364" s="0" t="n">
        <f aca="false">W_PH(N$2,$A364)</f>
        <v>919.008759256452</v>
      </c>
      <c r="O364" s="0" t="n">
        <f aca="false">W_PH(O$2,$A364)</f>
        <v>919.009297529565</v>
      </c>
      <c r="P364" s="0" t="n">
        <f aca="false">W_PH(P$2,$A364)</f>
        <v>919.014671460469</v>
      </c>
      <c r="Q364" s="0" t="n">
        <f aca="false">W_PH(Q$2,$A364)</f>
        <v>919.020045551066</v>
      </c>
      <c r="R364" s="0" t="n">
        <f aca="false">W_PH(R$2,$A364)</f>
        <v>919.025419802491</v>
      </c>
      <c r="S364" s="0" t="n">
        <f aca="false">W_PH(S$2,$A364)</f>
        <v>919.030794215877</v>
      </c>
      <c r="T364" s="0" t="n">
        <f aca="false">W_PH(T$2,$A364)</f>
        <v>919.036168792361</v>
      </c>
      <c r="U364" s="0" t="n">
        <f aca="false">W_PH(U$2,$A364)</f>
        <v>919.041543533076</v>
      </c>
      <c r="V364" s="0" t="n">
        <f aca="false">W_PH(V$2,$A364)</f>
        <v>919.046918439157</v>
      </c>
      <c r="W364" s="0" t="n">
        <f aca="false">W_PH(W$2,$A364)</f>
        <v>919.052293511739</v>
      </c>
      <c r="X364" s="0" t="n">
        <f aca="false">W_PH(X$2,$A364)</f>
        <v>919.057667481977</v>
      </c>
      <c r="Y364" s="0" t="n">
        <f aca="false">W_PH(Y$2,$A364)</f>
        <v>919.111426812643</v>
      </c>
      <c r="Z364" s="0" t="n">
        <f aca="false">W_PH(Z$2,$A364)</f>
        <v>919.165196529119</v>
      </c>
      <c r="AA364" s="0" t="n">
        <f aca="false">W_PH(AA$2,$A364)</f>
        <v>919.218982843277</v>
      </c>
      <c r="AB364" s="0" t="n">
        <f aca="false">W_PH(AB$2,$A364)</f>
        <v>919.272784344052</v>
      </c>
      <c r="AC364" s="0" t="n">
        <f aca="false">W_PH(AC$2,$A364)</f>
        <v>919.326602160759</v>
      </c>
      <c r="AD364" s="0" t="n">
        <f aca="false">W_PH(AD$2,$A364)</f>
        <v>919.380437422437</v>
      </c>
      <c r="AE364" s="0" t="n">
        <f aca="false">W_PH(AE$2,$A364)</f>
        <v>919.434291257854</v>
      </c>
      <c r="AF364" s="0" t="n">
        <f aca="false">W_PH(AF$2,$A364)</f>
        <v>919.488166068273</v>
      </c>
      <c r="AG364" s="0" t="n">
        <f aca="false">W_PH(AG$2,$A364)</f>
        <v>919.542061709844</v>
      </c>
      <c r="AH364" s="0" t="n">
        <f aca="false">W_PH(AH$2,$A364)</f>
        <v>920.082406748534</v>
      </c>
      <c r="AI364" s="0" t="n">
        <f aca="false">W_PH(AI$2,$A364)</f>
        <v>920.626039369697</v>
      </c>
      <c r="AJ364" s="0" t="n">
        <f aca="false">W_PH(AJ$2,$A364)</f>
        <v>921.174030543402</v>
      </c>
      <c r="AK364" s="0" t="n">
        <f aca="false">W_PH(AK$2,$A364)</f>
        <v>921.727455900535</v>
      </c>
      <c r="AL364" s="0" t="n">
        <f aca="false">W_PH(AL$2,$A364)</f>
        <v>922.287383073378</v>
      </c>
      <c r="AM364" s="0" t="n">
        <f aca="false">W_PH(AM$2,$A364)</f>
        <v>922.854880845704</v>
      </c>
      <c r="AN364" s="0" t="n">
        <f aca="false">W_PH(AN$2,$A364)</f>
        <v>923.431015497798</v>
      </c>
      <c r="AO364" s="0" t="n">
        <f aca="false">W_PH(AO$2,$A364)</f>
        <v>924.0168484149</v>
      </c>
      <c r="AP364" s="0" t="n">
        <f aca="false">W_PH(AP$2,$A364)</f>
        <v>2015</v>
      </c>
      <c r="AQ364" s="0" t="n">
        <f aca="false">W_PH(AQ$2,$A364)</f>
        <v>2015</v>
      </c>
      <c r="AR364" s="0" t="n">
        <f aca="false">W_PH(AR$2,$A364)</f>
        <v>2015</v>
      </c>
      <c r="AS364" s="0" t="n">
        <f aca="false">W_PH(AS$2,$A364)</f>
        <v>2015</v>
      </c>
    </row>
    <row r="365" customFormat="false" ht="13.8" hidden="false" customHeight="false" outlineLevel="0" collapsed="false">
      <c r="A365" s="0" t="n">
        <v>5250</v>
      </c>
      <c r="B365" s="0" t="n">
        <f aca="false">W_PH(B$2,$A365)</f>
        <v>920.087875181379</v>
      </c>
      <c r="C365" s="0" t="n">
        <f aca="false">W_PH(C$2,$A365)</f>
        <v>920.08792752861</v>
      </c>
      <c r="D365" s="0" t="n">
        <f aca="false">W_PH(D$2,$A365)</f>
        <v>920.087982412126</v>
      </c>
      <c r="E365" s="0" t="n">
        <f aca="false">W_PH(E$2,$A365)</f>
        <v>920.088037295659</v>
      </c>
      <c r="F365" s="0" t="n">
        <f aca="false">W_PH(F$2,$A365)</f>
        <v>920.088089642936</v>
      </c>
      <c r="G365" s="0" t="n">
        <f aca="false">W_PH(G$2,$A365)</f>
        <v>920.088628334184</v>
      </c>
      <c r="H365" s="0" t="n">
        <f aca="false">W_PH(H$2,$A365)</f>
        <v>920.089167026985</v>
      </c>
      <c r="I365" s="0" t="n">
        <f aca="false">W_PH(I$2,$A365)</f>
        <v>920.089705721341</v>
      </c>
      <c r="J365" s="0" t="n">
        <f aca="false">W_PH(J$2,$A365)</f>
        <v>920.090244417252</v>
      </c>
      <c r="K365" s="0" t="n">
        <f aca="false">W_PH(K$2,$A365)</f>
        <v>920.090783114719</v>
      </c>
      <c r="L365" s="0" t="n">
        <f aca="false">W_PH(L$2,$A365)</f>
        <v>920.091321813744</v>
      </c>
      <c r="M365" s="0" t="n">
        <f aca="false">W_PH(M$2,$A365)</f>
        <v>920.091860514327</v>
      </c>
      <c r="N365" s="0" t="n">
        <f aca="false">W_PH(N$2,$A365)</f>
        <v>920.09239921647</v>
      </c>
      <c r="O365" s="0" t="n">
        <f aca="false">W_PH(O$2,$A365)</f>
        <v>920.092937920174</v>
      </c>
      <c r="P365" s="0" t="n">
        <f aca="false">W_PH(P$2,$A365)</f>
        <v>920.098325043314</v>
      </c>
      <c r="Q365" s="0" t="n">
        <f aca="false">W_PH(Q$2,$A365)</f>
        <v>920.103712323785</v>
      </c>
      <c r="R365" s="0" t="n">
        <f aca="false">W_PH(R$2,$A365)</f>
        <v>920.109099762715</v>
      </c>
      <c r="S365" s="0" t="n">
        <f aca="false">W_PH(S$2,$A365)</f>
        <v>920.114487361233</v>
      </c>
      <c r="T365" s="0" t="n">
        <f aca="false">W_PH(T$2,$A365)</f>
        <v>920.119873852125</v>
      </c>
      <c r="U365" s="0" t="n">
        <f aca="false">W_PH(U$2,$A365)</f>
        <v>920.12526050479</v>
      </c>
      <c r="V365" s="0" t="n">
        <f aca="false">W_PH(V$2,$A365)</f>
        <v>920.130648588764</v>
      </c>
      <c r="W365" s="0" t="n">
        <f aca="false">W_PH(W$2,$A365)</f>
        <v>920.136036836835</v>
      </c>
      <c r="X365" s="0" t="n">
        <f aca="false">W_PH(X$2,$A365)</f>
        <v>920.14142525013</v>
      </c>
      <c r="Y365" s="0" t="n">
        <f aca="false">W_PH(Y$2,$A365)</f>
        <v>920.195311105481</v>
      </c>
      <c r="Z365" s="0" t="n">
        <f aca="false">W_PH(Z$2,$A365)</f>
        <v>920.249209642378</v>
      </c>
      <c r="AA365" s="0" t="n">
        <f aca="false">W_PH(AA$2,$A365)</f>
        <v>920.303121983634</v>
      </c>
      <c r="AB365" s="0" t="n">
        <f aca="false">W_PH(AB$2,$A365)</f>
        <v>920.357051791512</v>
      </c>
      <c r="AC365" s="0" t="n">
        <f aca="false">W_PH(AC$2,$A365)</f>
        <v>920.410995109547</v>
      </c>
      <c r="AD365" s="0" t="n">
        <f aca="false">W_PH(AD$2,$A365)</f>
        <v>920.464958139871</v>
      </c>
      <c r="AE365" s="0" t="n">
        <f aca="false">W_PH(AE$2,$A365)</f>
        <v>920.518939464512</v>
      </c>
      <c r="AF365" s="0" t="n">
        <f aca="false">W_PH(AF$2,$A365)</f>
        <v>920.572940204945</v>
      </c>
      <c r="AG365" s="0" t="n">
        <f aca="false">W_PH(AG$2,$A365)</f>
        <v>920.626961482382</v>
      </c>
      <c r="AH365" s="0" t="n">
        <f aca="false">W_PH(AH$2,$A365)</f>
        <v>921.16855792033</v>
      </c>
      <c r="AI365" s="0" t="n">
        <f aca="false">W_PH(AI$2,$A365)</f>
        <v>921.713411366671</v>
      </c>
      <c r="AJ365" s="0" t="n">
        <f aca="false">W_PH(AJ$2,$A365)</f>
        <v>922.262589853014</v>
      </c>
      <c r="AK365" s="0" t="n">
        <f aca="false">W_PH(AK$2,$A365)</f>
        <v>922.817155888193</v>
      </c>
      <c r="AL365" s="0" t="n">
        <f aca="false">W_PH(AL$2,$A365)</f>
        <v>923.378179446927</v>
      </c>
      <c r="AM365" s="0" t="n">
        <f aca="false">W_PH(AM$2,$A365)</f>
        <v>923.946715012761</v>
      </c>
      <c r="AN365" s="0" t="n">
        <f aca="false">W_PH(AN$2,$A365)</f>
        <v>924.523827493432</v>
      </c>
      <c r="AO365" s="0" t="n">
        <f aca="false">W_PH(AO$2,$A365)</f>
        <v>925.110570521594</v>
      </c>
      <c r="AP365" s="0" t="n">
        <f aca="false">W_PH(AP$2,$A365)</f>
        <v>2015</v>
      </c>
      <c r="AQ365" s="0" t="n">
        <f aca="false">W_PH(AQ$2,$A365)</f>
        <v>2015</v>
      </c>
      <c r="AR365" s="0" t="n">
        <f aca="false">W_PH(AR$2,$A365)</f>
        <v>2015</v>
      </c>
      <c r="AS365" s="0" t="n">
        <f aca="false">W_PH(AS$2,$A365)</f>
        <v>2015</v>
      </c>
    </row>
    <row r="366" customFormat="false" ht="13.8" hidden="false" customHeight="false" outlineLevel="0" collapsed="false">
      <c r="A366" s="0" t="n">
        <v>5260</v>
      </c>
      <c r="B366" s="0" t="n">
        <f aca="false">W_PH(B$2,$A366)</f>
        <v>921.169358975124</v>
      </c>
      <c r="C366" s="0" t="n">
        <f aca="false">W_PH(C$2,$A366)</f>
        <v>921.169411617393</v>
      </c>
      <c r="D366" s="0" t="n">
        <f aca="false">W_PH(D$2,$A366)</f>
        <v>921.16946679297</v>
      </c>
      <c r="E366" s="0" t="n">
        <f aca="false">W_PH(E$2,$A366)</f>
        <v>921.169519435269</v>
      </c>
      <c r="F366" s="0" t="n">
        <f aca="false">W_PH(F$2,$A366)</f>
        <v>921.169574610876</v>
      </c>
      <c r="G366" s="0" t="n">
        <f aca="false">W_PH(G$2,$A366)</f>
        <v>921.170113701324</v>
      </c>
      <c r="H366" s="0" t="n">
        <f aca="false">W_PH(H$2,$A366)</f>
        <v>921.170654059952</v>
      </c>
      <c r="I366" s="0" t="n">
        <f aca="false">W_PH(I$2,$A366)</f>
        <v>921.171194420112</v>
      </c>
      <c r="J366" s="0" t="n">
        <f aca="false">W_PH(J$2,$A366)</f>
        <v>921.171733515145</v>
      </c>
      <c r="K366" s="0" t="n">
        <f aca="false">W_PH(K$2,$A366)</f>
        <v>921.172273878372</v>
      </c>
      <c r="L366" s="0" t="n">
        <f aca="false">W_PH(L$2,$A366)</f>
        <v>921.172814243134</v>
      </c>
      <c r="M366" s="0" t="n">
        <f aca="false">W_PH(M$2,$A366)</f>
        <v>921.173353342764</v>
      </c>
      <c r="N366" s="0" t="n">
        <f aca="false">W_PH(N$2,$A366)</f>
        <v>921.173893710599</v>
      </c>
      <c r="O366" s="0" t="n">
        <f aca="false">W_PH(O$2,$A366)</f>
        <v>921.174434079974</v>
      </c>
      <c r="P366" s="0" t="n">
        <f aca="false">W_PH(P$2,$A366)</f>
        <v>921.179832791811</v>
      </c>
      <c r="Q366" s="0" t="n">
        <f aca="false">W_PH(Q$2,$A366)</f>
        <v>921.185232925329</v>
      </c>
      <c r="R366" s="0" t="n">
        <f aca="false">W_PH(R$2,$A366)</f>
        <v>921.190633214972</v>
      </c>
      <c r="S366" s="0" t="n">
        <f aca="false">W_PH(S$2,$A366)</f>
        <v>921.196032395044</v>
      </c>
      <c r="T366" s="0" t="n">
        <f aca="false">W_PH(T$2,$A366)</f>
        <v>921.201431733413</v>
      </c>
      <c r="U366" s="0" t="n">
        <f aca="false">W_PH(U$2,$A366)</f>
        <v>921.206833764966</v>
      </c>
      <c r="V366" s="0" t="n">
        <f aca="false">W_PH(V$2,$A366)</f>
        <v>921.212233423359</v>
      </c>
      <c r="W366" s="0" t="n">
        <f aca="false">W_PH(W$2,$A366)</f>
        <v>921.21763324341</v>
      </c>
      <c r="X366" s="0" t="n">
        <f aca="false">W_PH(X$2,$A366)</f>
        <v>921.223033226239</v>
      </c>
      <c r="Y366" s="0" t="n">
        <f aca="false">W_PH(Y$2,$A366)</f>
        <v>921.277044788463</v>
      </c>
      <c r="Z366" s="0" t="n">
        <f aca="false">W_PH(Z$2,$A366)</f>
        <v>921.331071326767</v>
      </c>
      <c r="AA366" s="0" t="n">
        <f aca="false">W_PH(AA$2,$A366)</f>
        <v>921.385108886991</v>
      </c>
      <c r="AB366" s="0" t="n">
        <f aca="false">W_PH(AB$2,$A366)</f>
        <v>921.43916365606</v>
      </c>
      <c r="AC366" s="0" t="n">
        <f aca="false">W_PH(AC$2,$A366)</f>
        <v>921.493234213943</v>
      </c>
      <c r="AD366" s="0" t="n">
        <f aca="false">W_PH(AD$2,$A366)</f>
        <v>921.547321675686</v>
      </c>
      <c r="AE366" s="0" t="n">
        <f aca="false">W_PH(AE$2,$A366)</f>
        <v>921.601428425448</v>
      </c>
      <c r="AF366" s="0" t="n">
        <f aca="false">W_PH(AF$2,$A366)</f>
        <v>921.655554309061</v>
      </c>
      <c r="AG366" s="0" t="n">
        <f aca="false">W_PH(AG$2,$A366)</f>
        <v>921.709701710847</v>
      </c>
      <c r="AH366" s="0" t="n">
        <f aca="false">W_PH(AH$2,$A366)</f>
        <v>922.252530547096</v>
      </c>
      <c r="AI366" s="0" t="n">
        <f aca="false">W_PH(AI$2,$A366)</f>
        <v>922.798587613055</v>
      </c>
      <c r="AJ366" s="0" t="n">
        <f aca="false">W_PH(AJ$2,$A366)</f>
        <v>923.348932943683</v>
      </c>
      <c r="AK366" s="0" t="n">
        <f aca="false">W_PH(AK$2,$A366)</f>
        <v>923.90462880688</v>
      </c>
      <c r="AL366" s="0" t="n">
        <f aca="false">W_PH(AL$2,$A366)</f>
        <v>924.466730897996</v>
      </c>
      <c r="AM366" s="0" t="n">
        <f aca="false">W_PH(AM$2,$A366)</f>
        <v>925.036292318239</v>
      </c>
      <c r="AN366" s="0" t="n">
        <f aca="false">W_PH(AN$2,$A366)</f>
        <v>925.614366340611</v>
      </c>
      <c r="AO366" s="0" t="n">
        <f aca="false">W_PH(AO$2,$A366)</f>
        <v>926.202007938023</v>
      </c>
      <c r="AP366" s="0" t="n">
        <f aca="false">W_PH(AP$2,$A366)</f>
        <v>2015</v>
      </c>
      <c r="AQ366" s="0" t="n">
        <f aca="false">W_PH(AQ$2,$A366)</f>
        <v>2015</v>
      </c>
      <c r="AR366" s="0" t="n">
        <f aca="false">W_PH(AR$2,$A366)</f>
        <v>2015</v>
      </c>
      <c r="AS366" s="0" t="n">
        <f aca="false">W_PH(AS$2,$A366)</f>
        <v>2015</v>
      </c>
    </row>
    <row r="367" customFormat="false" ht="13.8" hidden="false" customHeight="false" outlineLevel="0" collapsed="false">
      <c r="A367" s="0" t="n">
        <v>5270</v>
      </c>
      <c r="B367" s="0" t="n">
        <f aca="false">W_PH(B$2,$A367)</f>
        <v>922.248710259569</v>
      </c>
      <c r="C367" s="0" t="n">
        <f aca="false">W_PH(C$2,$A367)</f>
        <v>922.24876319316</v>
      </c>
      <c r="D367" s="0" t="n">
        <f aca="false">W_PH(D$2,$A367)</f>
        <v>922.248818657098</v>
      </c>
      <c r="E367" s="0" t="n">
        <f aca="false">W_PH(E$2,$A367)</f>
        <v>922.248871590718</v>
      </c>
      <c r="F367" s="0" t="n">
        <f aca="false">W_PH(F$2,$A367)</f>
        <v>922.248927054688</v>
      </c>
      <c r="G367" s="0" t="n">
        <f aca="false">W_PH(G$2,$A367)</f>
        <v>922.249467778371</v>
      </c>
      <c r="H367" s="0" t="n">
        <f aca="false">W_PH(H$2,$A367)</f>
        <v>922.25000850356</v>
      </c>
      <c r="I367" s="0" t="n">
        <f aca="false">W_PH(I$2,$A367)</f>
        <v>922.25055049543</v>
      </c>
      <c r="J367" s="0" t="n">
        <f aca="false">W_PH(J$2,$A367)</f>
        <v>922.251091223634</v>
      </c>
      <c r="K367" s="0" t="n">
        <f aca="false">W_PH(K$2,$A367)</f>
        <v>922.251631953345</v>
      </c>
      <c r="L367" s="0" t="n">
        <f aca="false">W_PH(L$2,$A367)</f>
        <v>922.252173949752</v>
      </c>
      <c r="M367" s="0" t="n">
        <f aca="false">W_PH(M$2,$A367)</f>
        <v>922.252714682486</v>
      </c>
      <c r="N367" s="0" t="n">
        <f aca="false">W_PH(N$2,$A367)</f>
        <v>922.25325541673</v>
      </c>
      <c r="O367" s="0" t="n">
        <f aca="false">W_PH(O$2,$A367)</f>
        <v>922.253797417684</v>
      </c>
      <c r="P367" s="0" t="n">
        <f aca="false">W_PH(P$2,$A367)</f>
        <v>922.259209919618</v>
      </c>
      <c r="Q367" s="0" t="n">
        <f aca="false">W_PH(Q$2,$A367)</f>
        <v>922.264621308997</v>
      </c>
      <c r="R367" s="0" t="n">
        <f aca="false">W_PH(R$2,$A367)</f>
        <v>922.270032852129</v>
      </c>
      <c r="S367" s="0" t="n">
        <f aca="false">W_PH(S$2,$A367)</f>
        <v>922.275445815461</v>
      </c>
      <c r="T367" s="0" t="n">
        <f aca="false">W_PH(T$2,$A367)</f>
        <v>922.280858934842</v>
      </c>
      <c r="U367" s="0" t="n">
        <f aca="false">W_PH(U$2,$A367)</f>
        <v>922.286272211385</v>
      </c>
      <c r="V367" s="0" t="n">
        <f aca="false">W_PH(V$2,$A367)</f>
        <v>922.291683115336</v>
      </c>
      <c r="W367" s="0" t="n">
        <f aca="false">W_PH(W$2,$A367)</f>
        <v>922.297096709476</v>
      </c>
      <c r="X367" s="0" t="n">
        <f aca="false">W_PH(X$2,$A367)</f>
        <v>922.302510464119</v>
      </c>
      <c r="Y367" s="0" t="n">
        <f aca="false">W_PH(Y$2,$A367)</f>
        <v>922.35664569055</v>
      </c>
      <c r="Z367" s="0" t="n">
        <f aca="false">W_PH(Z$2,$A367)</f>
        <v>922.410795653324</v>
      </c>
      <c r="AA367" s="0" t="n">
        <f aca="false">W_PH(AA$2,$A367)</f>
        <v>922.464957663836</v>
      </c>
      <c r="AB367" s="0" t="n">
        <f aca="false">W_PH(AB$2,$A367)</f>
        <v>922.519136630285</v>
      </c>
      <c r="AC367" s="0" t="n">
        <f aca="false">W_PH(AC$2,$A367)</f>
        <v>922.573331128721</v>
      </c>
      <c r="AD367" s="0" t="n">
        <f aca="false">W_PH(AD$2,$A367)</f>
        <v>922.627542267288</v>
      </c>
      <c r="AE367" s="0" t="n">
        <f aca="false">W_PH(AE$2,$A367)</f>
        <v>922.68177115388</v>
      </c>
      <c r="AF367" s="0" t="n">
        <f aca="false">W_PH(AF$2,$A367)</f>
        <v>922.736021432534</v>
      </c>
      <c r="AG367" s="0" t="n">
        <f aca="false">W_PH(AG$2,$A367)</f>
        <v>922.790289138515</v>
      </c>
      <c r="AH367" s="0" t="n">
        <f aca="false">W_PH(AH$2,$A367)</f>
        <v>923.334335593568</v>
      </c>
      <c r="AI367" s="0" t="n">
        <f aca="false">W_PH(AI$2,$A367)</f>
        <v>923.881582026617</v>
      </c>
      <c r="AJ367" s="0" t="n">
        <f aca="false">W_PH(AJ$2,$A367)</f>
        <v>924.433080540086</v>
      </c>
      <c r="AK367" s="0" t="n">
        <f aca="false">W_PH(AK$2,$A367)</f>
        <v>924.989888077111</v>
      </c>
      <c r="AL367" s="0" t="n">
        <f aca="false">W_PH(AL$2,$A367)</f>
        <v>925.553052517697</v>
      </c>
      <c r="AM367" s="0" t="n">
        <f aca="false">W_PH(AM$2,$A367)</f>
        <v>926.123624346104</v>
      </c>
      <c r="AN367" s="0" t="n">
        <f aca="false">W_PH(AN$2,$A367)</f>
        <v>926.702651725735</v>
      </c>
      <c r="AO367" s="0" t="n">
        <f aca="false">W_PH(AO$2,$A367)</f>
        <v>927.291175520274</v>
      </c>
      <c r="AP367" s="0" t="n">
        <f aca="false">W_PH(AP$2,$A367)</f>
        <v>2015</v>
      </c>
      <c r="AQ367" s="0" t="n">
        <f aca="false">W_PH(AQ$2,$A367)</f>
        <v>2015</v>
      </c>
      <c r="AR367" s="0" t="n">
        <f aca="false">W_PH(AR$2,$A367)</f>
        <v>2015</v>
      </c>
      <c r="AS367" s="0" t="n">
        <f aca="false">W_PH(AS$2,$A367)</f>
        <v>2015</v>
      </c>
    </row>
    <row r="368" customFormat="false" ht="13.8" hidden="false" customHeight="false" outlineLevel="0" collapsed="false">
      <c r="A368" s="0" t="n">
        <v>5280</v>
      </c>
      <c r="B368" s="0" t="n">
        <f aca="false">W_PH(B$2,$A368)</f>
        <v>923.325942864003</v>
      </c>
      <c r="C368" s="0" t="n">
        <f aca="false">W_PH(C$2,$A368)</f>
        <v>923.325998612639</v>
      </c>
      <c r="D368" s="0" t="n">
        <f aca="false">W_PH(D$2,$A368)</f>
        <v>923.326051833904</v>
      </c>
      <c r="E368" s="0" t="n">
        <f aca="false">W_PH(E$2,$A368)</f>
        <v>923.326106318876</v>
      </c>
      <c r="F368" s="0" t="n">
        <f aca="false">W_PH(F$2,$A368)</f>
        <v>923.326160803864</v>
      </c>
      <c r="G368" s="0" t="n">
        <f aca="false">W_PH(G$2,$A368)</f>
        <v>923.326703127167</v>
      </c>
      <c r="H368" s="0" t="n">
        <f aca="false">W_PH(H$2,$A368)</f>
        <v>923.327245451953</v>
      </c>
      <c r="I368" s="0" t="n">
        <f aca="false">W_PH(I$2,$A368)</f>
        <v>923.327787778225</v>
      </c>
      <c r="J368" s="0" t="n">
        <f aca="false">W_PH(J$2,$A368)</f>
        <v>923.328330105983</v>
      </c>
      <c r="K368" s="0" t="n">
        <f aca="false">W_PH(K$2,$A368)</f>
        <v>923.328872435228</v>
      </c>
      <c r="L368" s="0" t="n">
        <f aca="false">W_PH(L$2,$A368)</f>
        <v>923.329414765962</v>
      </c>
      <c r="M368" s="0" t="n">
        <f aca="false">W_PH(M$2,$A368)</f>
        <v>923.329957098184</v>
      </c>
      <c r="N368" s="0" t="n">
        <f aca="false">W_PH(N$2,$A368)</f>
        <v>923.330499431897</v>
      </c>
      <c r="O368" s="0" t="n">
        <f aca="false">W_PH(O$2,$A368)</f>
        <v>923.331041767102</v>
      </c>
      <c r="P368" s="0" t="n">
        <f aca="false">W_PH(P$2,$A368)</f>
        <v>923.336467728948</v>
      </c>
      <c r="Q368" s="0" t="n">
        <f aca="false">W_PH(Q$2,$A368)</f>
        <v>923.341891313722</v>
      </c>
      <c r="R368" s="0" t="n">
        <f aca="false">W_PH(R$2,$A368)</f>
        <v>923.347315049981</v>
      </c>
      <c r="S368" s="0" t="n">
        <f aca="false">W_PH(S$2,$A368)</f>
        <v>923.352740202689</v>
      </c>
      <c r="T368" s="0" t="n">
        <f aca="false">W_PH(T$2,$A368)</f>
        <v>923.358165509162</v>
      </c>
      <c r="U368" s="0" t="n">
        <f aca="false">W_PH(U$2,$A368)</f>
        <v>923.36358970658</v>
      </c>
      <c r="V368" s="0" t="n">
        <f aca="false">W_PH(V$2,$A368)</f>
        <v>923.36901405991</v>
      </c>
      <c r="W368" s="0" t="n">
        <f aca="false">W_PH(W$2,$A368)</f>
        <v>923.37444109824</v>
      </c>
      <c r="X368" s="0" t="n">
        <f aca="false">W_PH(X$2,$A368)</f>
        <v>923.379865766777</v>
      </c>
      <c r="Y368" s="0" t="n">
        <f aca="false">W_PH(Y$2,$A368)</f>
        <v>923.434123921083</v>
      </c>
      <c r="Z368" s="0" t="n">
        <f aca="false">W_PH(Z$2,$A368)</f>
        <v>923.488396576658</v>
      </c>
      <c r="AA368" s="0" t="n">
        <f aca="false">W_PH(AA$2,$A368)</f>
        <v>923.54268230751</v>
      </c>
      <c r="AB368" s="0" t="n">
        <f aca="false">W_PH(AB$2,$A368)</f>
        <v>923.59698221545</v>
      </c>
      <c r="AC368" s="0" t="n">
        <f aca="false">W_PH(AC$2,$A368)</f>
        <v>923.65129740204</v>
      </c>
      <c r="AD368" s="0" t="n">
        <f aca="false">W_PH(AD$2,$A368)</f>
        <v>923.705631500645</v>
      </c>
      <c r="AE368" s="0" t="n">
        <f aca="false">W_PH(AE$2,$A368)</f>
        <v>923.759983081609</v>
      </c>
      <c r="AF368" s="0" t="n">
        <f aca="false">W_PH(AF$2,$A368)</f>
        <v>923.81435324575</v>
      </c>
      <c r="AG368" s="0" t="n">
        <f aca="false">W_PH(AG$2,$A368)</f>
        <v>923.868744360663</v>
      </c>
      <c r="AH368" s="0" t="n">
        <f aca="false">W_PH(AH$2,$A368)</f>
        <v>924.41398899541</v>
      </c>
      <c r="AI368" s="0" t="n">
        <f aca="false">W_PH(AI$2,$A368)</f>
        <v>924.962407121617</v>
      </c>
      <c r="AJ368" s="0" t="n">
        <f aca="false">W_PH(AJ$2,$A368)</f>
        <v>925.515042982641</v>
      </c>
      <c r="AK368" s="0" t="n">
        <f aca="false">W_PH(AK$2,$A368)</f>
        <v>926.072946982459</v>
      </c>
      <c r="AL368" s="0" t="n">
        <f aca="false">W_PH(AL$2,$A368)</f>
        <v>926.637161813211</v>
      </c>
      <c r="AM368" s="0" t="n">
        <f aca="false">W_PH(AM$2,$A368)</f>
        <v>927.208730262003</v>
      </c>
      <c r="AN368" s="0" t="n">
        <f aca="false">W_PH(AN$2,$A368)</f>
        <v>927.788692837125</v>
      </c>
      <c r="AO368" s="0" t="n">
        <f aca="false">W_PH(AO$2,$A368)</f>
        <v>928.37808925497</v>
      </c>
      <c r="AP368" s="0" t="n">
        <f aca="false">W_PH(AP$2,$A368)</f>
        <v>2015</v>
      </c>
      <c r="AQ368" s="0" t="n">
        <f aca="false">W_PH(AQ$2,$A368)</f>
        <v>2015</v>
      </c>
      <c r="AR368" s="0" t="n">
        <f aca="false">W_PH(AR$2,$A368)</f>
        <v>2015</v>
      </c>
      <c r="AS368" s="0" t="n">
        <f aca="false">W_PH(AS$2,$A368)</f>
        <v>2015</v>
      </c>
    </row>
    <row r="369" customFormat="false" ht="13.8" hidden="false" customHeight="false" outlineLevel="0" collapsed="false">
      <c r="A369" s="0" t="n">
        <v>5290</v>
      </c>
      <c r="B369" s="0" t="n">
        <f aca="false">W_PH(B$2,$A369)</f>
        <v>924.401073029632</v>
      </c>
      <c r="C369" s="0" t="n">
        <f aca="false">W_PH(C$2,$A369)</f>
        <v>924.401126534926</v>
      </c>
      <c r="D369" s="0" t="n">
        <f aca="false">W_PH(D$2,$A369)</f>
        <v>924.401180040234</v>
      </c>
      <c r="E369" s="0" t="n">
        <f aca="false">W_PH(E$2,$A369)</f>
        <v>924.401236070015</v>
      </c>
      <c r="F369" s="0" t="n">
        <f aca="false">W_PH(F$2,$A369)</f>
        <v>924.401289575352</v>
      </c>
      <c r="G369" s="0" t="n">
        <f aca="false">W_PH(G$2,$A369)</f>
        <v>924.401833465136</v>
      </c>
      <c r="H369" s="0" t="n">
        <f aca="false">W_PH(H$2,$A369)</f>
        <v>924.402377356383</v>
      </c>
      <c r="I369" s="0" t="n">
        <f aca="false">W_PH(I$2,$A369)</f>
        <v>924.402919986856</v>
      </c>
      <c r="J369" s="0" t="n">
        <f aca="false">W_PH(J$2,$A369)</f>
        <v>924.403465143273</v>
      </c>
      <c r="K369" s="0" t="n">
        <f aca="false">W_PH(K$2,$A369)</f>
        <v>924.404007776671</v>
      </c>
      <c r="L369" s="0" t="n">
        <f aca="false">W_PH(L$2,$A369)</f>
        <v>924.404551673781</v>
      </c>
      <c r="M369" s="0" t="n">
        <f aca="false">W_PH(M$2,$A369)</f>
        <v>924.405095572359</v>
      </c>
      <c r="N369" s="0" t="n">
        <f aca="false">W_PH(N$2,$A369)</f>
        <v>924.405638210152</v>
      </c>
      <c r="O369" s="0" t="n">
        <f aca="false">W_PH(O$2,$A369)</f>
        <v>924.406183373928</v>
      </c>
      <c r="P369" s="0" t="n">
        <f aca="false">W_PH(P$2,$A369)</f>
        <v>924.411619945711</v>
      </c>
      <c r="Q369" s="0" t="n">
        <f aca="false">W_PH(Q$2,$A369)</f>
        <v>924.417055403382</v>
      </c>
      <c r="R369" s="0" t="n">
        <f aca="false">W_PH(R$2,$A369)</f>
        <v>924.422492272658</v>
      </c>
      <c r="S369" s="0" t="n">
        <f aca="false">W_PH(S$2,$A369)</f>
        <v>924.427928029954</v>
      </c>
      <c r="T369" s="0" t="n">
        <f aca="false">W_PH(T$2,$A369)</f>
        <v>924.433365201121</v>
      </c>
      <c r="U369" s="0" t="n">
        <f aca="false">W_PH(U$2,$A369)</f>
        <v>924.438802524901</v>
      </c>
      <c r="V369" s="0" t="n">
        <f aca="false">W_PH(V$2,$A369)</f>
        <v>924.444240002391</v>
      </c>
      <c r="W369" s="0" t="n">
        <f aca="false">W_PH(W$2,$A369)</f>
        <v>924.449677634693</v>
      </c>
      <c r="X369" s="0" t="n">
        <f aca="false">W_PH(X$2,$A369)</f>
        <v>924.455115422906</v>
      </c>
      <c r="Y369" s="0" t="n">
        <f aca="false">W_PH(Y$2,$A369)</f>
        <v>924.509494544712</v>
      </c>
      <c r="Z369" s="0" t="n">
        <f aca="false">W_PH(Z$2,$A369)</f>
        <v>924.563887936625</v>
      </c>
      <c r="AA369" s="0" t="n">
        <f aca="false">W_PH(AA$2,$A369)</f>
        <v>924.618294168804</v>
      </c>
      <c r="AB369" s="0" t="n">
        <f aca="false">W_PH(AB$2,$A369)</f>
        <v>924.672714336275</v>
      </c>
      <c r="AC369" s="0" t="n">
        <f aca="false">W_PH(AC$2,$A369)</f>
        <v>924.727152062237</v>
      </c>
      <c r="AD369" s="0" t="n">
        <f aca="false">W_PH(AD$2,$A369)</f>
        <v>924.781605914137</v>
      </c>
      <c r="AE369" s="0" t="n">
        <f aca="false">W_PH(AE$2,$A369)</f>
        <v>924.836076986274</v>
      </c>
      <c r="AF369" s="0" t="n">
        <f aca="false">W_PH(AF$2,$A369)</f>
        <v>924.890566372707</v>
      </c>
      <c r="AG369" s="0" t="n">
        <f aca="false">W_PH(AG$2,$A369)</f>
        <v>924.9450776983</v>
      </c>
      <c r="AH369" s="0" t="n">
        <f aca="false">W_PH(AH$2,$A369)</f>
        <v>925.491506554921</v>
      </c>
      <c r="AI369" s="0" t="n">
        <f aca="false">W_PH(AI$2,$A369)</f>
        <v>926.041077834765</v>
      </c>
      <c r="AJ369" s="0" t="n">
        <f aca="false">W_PH(AJ$2,$A369)</f>
        <v>926.594835597444</v>
      </c>
      <c r="AK369" s="0" t="n">
        <f aca="false">W_PH(AK$2,$A369)</f>
        <v>927.153821228493</v>
      </c>
      <c r="AL369" s="0" t="n">
        <f aca="false">W_PH(AL$2,$A369)</f>
        <v>927.719071004357</v>
      </c>
      <c r="AM369" s="0" t="n">
        <f aca="false">W_PH(AM$2,$A369)</f>
        <v>928.291621349502</v>
      </c>
      <c r="AN369" s="0" t="n">
        <f aca="false">W_PH(AN$2,$A369)</f>
        <v>928.872507750568</v>
      </c>
      <c r="AO369" s="0" t="n">
        <f aca="false">W_PH(AO$2,$A369)</f>
        <v>929.462763672189</v>
      </c>
      <c r="AP369" s="0" t="n">
        <f aca="false">W_PH(AP$2,$A369)</f>
        <v>2015</v>
      </c>
      <c r="AQ369" s="0" t="n">
        <f aca="false">W_PH(AQ$2,$A369)</f>
        <v>2015</v>
      </c>
      <c r="AR369" s="0" t="n">
        <f aca="false">W_PH(AR$2,$A369)</f>
        <v>2015</v>
      </c>
      <c r="AS369" s="0" t="n">
        <f aca="false">W_PH(AS$2,$A369)</f>
        <v>2015</v>
      </c>
    </row>
    <row r="370" customFormat="false" ht="13.8" hidden="false" customHeight="false" outlineLevel="0" collapsed="false">
      <c r="A370" s="0" t="n">
        <v>5300</v>
      </c>
      <c r="B370" s="0" t="n">
        <f aca="false">W_PH(B$2,$A370)</f>
        <v>925.474109310422</v>
      </c>
      <c r="C370" s="0" t="n">
        <f aca="false">W_PH(C$2,$A370)</f>
        <v>925.474163096196</v>
      </c>
      <c r="D370" s="0" t="n">
        <f aca="false">W_PH(D$2,$A370)</f>
        <v>925.474218142756</v>
      </c>
      <c r="E370" s="0" t="n">
        <f aca="false">W_PH(E$2,$A370)</f>
        <v>925.47427318933</v>
      </c>
      <c r="F370" s="0" t="n">
        <f aca="false">W_PH(F$2,$A370)</f>
        <v>925.474326975147</v>
      </c>
      <c r="G370" s="0" t="n">
        <f aca="false">W_PH(G$2,$A370)</f>
        <v>925.474872398743</v>
      </c>
      <c r="H370" s="0" t="n">
        <f aca="false">W_PH(H$2,$A370)</f>
        <v>925.475417823782</v>
      </c>
      <c r="I370" s="0" t="n">
        <f aca="false">W_PH(I$2,$A370)</f>
        <v>925.475960728701</v>
      </c>
      <c r="J370" s="0" t="n">
        <f aca="false">W_PH(J$2,$A370)</f>
        <v>925.476506156624</v>
      </c>
      <c r="K370" s="0" t="n">
        <f aca="false">W_PH(K$2,$A370)</f>
        <v>925.477051585995</v>
      </c>
      <c r="L370" s="0" t="n">
        <f aca="false">W_PH(L$2,$A370)</f>
        <v>925.477597016813</v>
      </c>
      <c r="M370" s="0" t="n">
        <f aca="false">W_PH(M$2,$A370)</f>
        <v>925.478141188286</v>
      </c>
      <c r="N370" s="0" t="n">
        <f aca="false">W_PH(N$2,$A370)</f>
        <v>925.478685361201</v>
      </c>
      <c r="O370" s="0" t="n">
        <f aca="false">W_PH(O$2,$A370)</f>
        <v>925.479230796364</v>
      </c>
      <c r="P370" s="0" t="n">
        <f aca="false">W_PH(P$2,$A370)</f>
        <v>925.484680184719</v>
      </c>
      <c r="Q370" s="0" t="n">
        <f aca="false">W_PH(Q$2,$A370)</f>
        <v>925.490127197416</v>
      </c>
      <c r="R370" s="0" t="n">
        <f aca="false">W_PH(R$2,$A370)</f>
        <v>925.495576878954</v>
      </c>
      <c r="S370" s="0" t="n">
        <f aca="false">W_PH(S$2,$A370)</f>
        <v>925.50102418689</v>
      </c>
      <c r="T370" s="0" t="n">
        <f aca="false">W_PH(T$2,$A370)</f>
        <v>925.506474165982</v>
      </c>
      <c r="U370" s="0" t="n">
        <f aca="false">W_PH(U$2,$A370)</f>
        <v>925.511923034526</v>
      </c>
      <c r="V370" s="0" t="n">
        <f aca="false">W_PH(V$2,$A370)</f>
        <v>925.517372054547</v>
      </c>
      <c r="W370" s="0" t="n">
        <f aca="false">W_PH(W$2,$A370)</f>
        <v>925.522821227138</v>
      </c>
      <c r="X370" s="0" t="n">
        <f aca="false">W_PH(X$2,$A370)</f>
        <v>925.528270553392</v>
      </c>
      <c r="Y370" s="0" t="n">
        <f aca="false">W_PH(Y$2,$A370)</f>
        <v>925.582769984955</v>
      </c>
      <c r="Z370" s="0" t="n">
        <f aca="false">W_PH(Z$2,$A370)</f>
        <v>925.637280936467</v>
      </c>
      <c r="AA370" s="0" t="n">
        <f aca="false">W_PH(AA$2,$A370)</f>
        <v>925.691807020625</v>
      </c>
      <c r="AB370" s="0" t="n">
        <f aca="false">W_PH(AB$2,$A370)</f>
        <v>925.746346802892</v>
      </c>
      <c r="AC370" s="0" t="n">
        <f aca="false">W_PH(AC$2,$A370)</f>
        <v>925.800902634066</v>
      </c>
      <c r="AD370" s="0" t="n">
        <f aca="false">W_PH(AD$2,$A370)</f>
        <v>925.855474339904</v>
      </c>
      <c r="AE370" s="0" t="n">
        <f aca="false">W_PH(AE$2,$A370)</f>
        <v>925.910064271385</v>
      </c>
      <c r="AF370" s="0" t="n">
        <f aca="false">W_PH(AF$2,$A370)</f>
        <v>925.964672253144</v>
      </c>
      <c r="AG370" s="0" t="n">
        <f aca="false">W_PH(AG$2,$A370)</f>
        <v>926.019301900367</v>
      </c>
      <c r="AH370" s="0" t="n">
        <f aca="false">W_PH(AH$2,$A370)</f>
        <v>926.566897606674</v>
      </c>
      <c r="AI370" s="0" t="n">
        <f aca="false">W_PH(AI$2,$A370)</f>
        <v>927.117608970461</v>
      </c>
      <c r="AJ370" s="0" t="n">
        <f aca="false">W_PH(AJ$2,$A370)</f>
        <v>927.67247357145</v>
      </c>
      <c r="AK370" s="0" t="n">
        <f aca="false">W_PH(AK$2,$A370)</f>
        <v>928.232523821468</v>
      </c>
      <c r="AL370" s="0" t="n">
        <f aca="false">W_PH(AL$2,$A370)</f>
        <v>928.798794738513</v>
      </c>
      <c r="AM370" s="0" t="n">
        <f aca="false">W_PH(AM$2,$A370)</f>
        <v>929.372313892347</v>
      </c>
      <c r="AN370" s="0" t="n">
        <f aca="false">W_PH(AN$2,$A370)</f>
        <v>929.95411179857</v>
      </c>
      <c r="AO370" s="0" t="n">
        <f aca="false">W_PH(AO$2,$A370)</f>
        <v>930.545213145645</v>
      </c>
      <c r="AP370" s="0" t="n">
        <f aca="false">W_PH(AP$2,$A370)</f>
        <v>2015</v>
      </c>
      <c r="AQ370" s="0" t="n">
        <f aca="false">W_PH(AQ$2,$A370)</f>
        <v>2015</v>
      </c>
      <c r="AR370" s="0" t="n">
        <f aca="false">W_PH(AR$2,$A370)</f>
        <v>2015</v>
      </c>
      <c r="AS370" s="0" t="n">
        <f aca="false">W_PH(AS$2,$A370)</f>
        <v>2015</v>
      </c>
    </row>
    <row r="371" customFormat="false" ht="13.8" hidden="false" customHeight="false" outlineLevel="0" collapsed="false">
      <c r="A371" s="0" t="n">
        <v>5310</v>
      </c>
      <c r="B371" s="0" t="n">
        <f aca="false">W_PH(B$2,$A371)</f>
        <v>926.54506773017</v>
      </c>
      <c r="C371" s="0" t="n">
        <f aca="false">W_PH(C$2,$A371)</f>
        <v>926.545121792908</v>
      </c>
      <c r="D371" s="0" t="n">
        <f aca="false">W_PH(D$2,$A371)</f>
        <v>926.545177114983</v>
      </c>
      <c r="E371" s="0" t="n">
        <f aca="false">W_PH(E$2,$A371)</f>
        <v>926.545232437072</v>
      </c>
      <c r="F371" s="0" t="n">
        <f aca="false">W_PH(F$2,$A371)</f>
        <v>926.545286499852</v>
      </c>
      <c r="G371" s="0" t="n">
        <f aca="false">W_PH(G$2,$A371)</f>
        <v>926.545832165727</v>
      </c>
      <c r="H371" s="0" t="n">
        <f aca="false">W_PH(H$2,$A371)</f>
        <v>926.54637783302</v>
      </c>
      <c r="I371" s="0" t="n">
        <f aca="false">W_PH(I$2,$A371)</f>
        <v>926.546923501731</v>
      </c>
      <c r="J371" s="0" t="n">
        <f aca="false">W_PH(J$2,$A371)</f>
        <v>926.547470431198</v>
      </c>
      <c r="K371" s="0" t="n">
        <f aca="false">W_PH(K$2,$A371)</f>
        <v>926.548017362092</v>
      </c>
      <c r="L371" s="0" t="n">
        <f aca="false">W_PH(L$2,$A371)</f>
        <v>926.548563035072</v>
      </c>
      <c r="M371" s="0" t="n">
        <f aca="false">W_PH(M$2,$A371)</f>
        <v>926.549108709476</v>
      </c>
      <c r="N371" s="0" t="n">
        <f aca="false">W_PH(N$2,$A371)</f>
        <v>926.549654385303</v>
      </c>
      <c r="O371" s="0" t="n">
        <f aca="false">W_PH(O$2,$A371)</f>
        <v>926.550200062556</v>
      </c>
      <c r="P371" s="0" t="n">
        <f aca="false">W_PH(P$2,$A371)</f>
        <v>926.555660691859</v>
      </c>
      <c r="Q371" s="0" t="n">
        <f aca="false">W_PH(Q$2,$A371)</f>
        <v>926.561121465069</v>
      </c>
      <c r="R371" s="0" t="n">
        <f aca="false">W_PH(R$2,$A371)</f>
        <v>926.566581123823</v>
      </c>
      <c r="S371" s="0" t="n">
        <f aca="false">W_PH(S$2,$A371)</f>
        <v>926.572040928593</v>
      </c>
      <c r="T371" s="0" t="n">
        <f aca="false">W_PH(T$2,$A371)</f>
        <v>926.577503399492</v>
      </c>
      <c r="U371" s="0" t="n">
        <f aca="false">W_PH(U$2,$A371)</f>
        <v>926.582963499615</v>
      </c>
      <c r="V371" s="0" t="n">
        <f aca="false">W_PH(V$2,$A371)</f>
        <v>926.588423749012</v>
      </c>
      <c r="W371" s="0" t="n">
        <f aca="false">W_PH(W$2,$A371)</f>
        <v>926.593884148769</v>
      </c>
      <c r="X371" s="0" t="n">
        <f aca="false">W_PH(X$2,$A371)</f>
        <v>926.599347219258</v>
      </c>
      <c r="Y371" s="0" t="n">
        <f aca="false">W_PH(Y$2,$A371)</f>
        <v>926.653963820339</v>
      </c>
      <c r="Z371" s="0" t="n">
        <f aca="false">W_PH(Z$2,$A371)</f>
        <v>926.70859298104</v>
      </c>
      <c r="AA371" s="0" t="n">
        <f aca="false">W_PH(AA$2,$A371)</f>
        <v>926.763235784214</v>
      </c>
      <c r="AB371" s="0" t="n">
        <f aca="false">W_PH(AB$2,$A371)</f>
        <v>926.817893312477</v>
      </c>
      <c r="AC371" s="0" t="n">
        <f aca="false">W_PH(AC$2,$A371)</f>
        <v>926.872566648219</v>
      </c>
      <c r="AD371" s="0" t="n">
        <f aca="false">W_PH(AD$2,$A371)</f>
        <v>926.927255612014</v>
      </c>
      <c r="AE371" s="0" t="n">
        <f aca="false">W_PH(AE$2,$A371)</f>
        <v>926.981961284822</v>
      </c>
      <c r="AF371" s="0" t="n">
        <f aca="false">W_PH(AF$2,$A371)</f>
        <v>927.036687271815</v>
      </c>
      <c r="AG371" s="0" t="n">
        <f aca="false">W_PH(AG$2,$A371)</f>
        <v>927.091430867794</v>
      </c>
      <c r="AH371" s="0" t="n">
        <f aca="false">W_PH(AH$2,$A371)</f>
        <v>927.64017771493</v>
      </c>
      <c r="AI371" s="0" t="n">
        <f aca="false">W_PH(AI$2,$A371)</f>
        <v>928.192012664952</v>
      </c>
      <c r="AJ371" s="0" t="n">
        <f aca="false">W_PH(AJ$2,$A371)</f>
        <v>928.747969410511</v>
      </c>
      <c r="AK371" s="0" t="n">
        <f aca="false">W_PH(AK$2,$A371)</f>
        <v>929.309071462514</v>
      </c>
      <c r="AL371" s="0" t="n">
        <f aca="false">W_PH(AL$2,$A371)</f>
        <v>929.876348797919</v>
      </c>
      <c r="AM371" s="0" t="n">
        <f aca="false">W_PH(AM$2,$A371)</f>
        <v>930.450821455828</v>
      </c>
      <c r="AN371" s="0" t="n">
        <f aca="false">W_PH(AN$2,$A371)</f>
        <v>931.03351630634</v>
      </c>
      <c r="AO371" s="0" t="n">
        <f aca="false">W_PH(AO$2,$A371)</f>
        <v>931.625451895198</v>
      </c>
      <c r="AP371" s="0" t="n">
        <f aca="false">W_PH(AP$2,$A371)</f>
        <v>2015</v>
      </c>
      <c r="AQ371" s="0" t="n">
        <f aca="false">W_PH(AQ$2,$A371)</f>
        <v>2015</v>
      </c>
      <c r="AR371" s="0" t="n">
        <f aca="false">W_PH(AR$2,$A371)</f>
        <v>2015</v>
      </c>
      <c r="AS371" s="0" t="n">
        <f aca="false">W_PH(AS$2,$A371)</f>
        <v>2015</v>
      </c>
    </row>
    <row r="372" customFormat="false" ht="13.8" hidden="false" customHeight="false" outlineLevel="0" collapsed="false">
      <c r="A372" s="0" t="n">
        <v>5320</v>
      </c>
      <c r="B372" s="0" t="n">
        <f aca="false">W_PH(B$2,$A372)</f>
        <v>927.613961677434</v>
      </c>
      <c r="C372" s="0" t="n">
        <f aca="false">W_PH(C$2,$A372)</f>
        <v>927.614016013668</v>
      </c>
      <c r="D372" s="0" t="n">
        <f aca="false">W_PH(D$2,$A372)</f>
        <v>927.614070349916</v>
      </c>
      <c r="E372" s="0" t="n">
        <f aca="false">W_PH(E$2,$A372)</f>
        <v>927.614124686178</v>
      </c>
      <c r="F372" s="0" t="n">
        <f aca="false">W_PH(F$2,$A372)</f>
        <v>927.614179022453</v>
      </c>
      <c r="G372" s="0" t="n">
        <f aca="false">W_PH(G$2,$A372)</f>
        <v>927.614727417502</v>
      </c>
      <c r="H372" s="0" t="n">
        <f aca="false">W_PH(H$2,$A372)</f>
        <v>927.615273298181</v>
      </c>
      <c r="I372" s="0" t="n">
        <f aca="false">W_PH(I$2,$A372)</f>
        <v>927.615821696035</v>
      </c>
      <c r="J372" s="0" t="n">
        <f aca="false">W_PH(J$2,$A372)</f>
        <v>927.616367579507</v>
      </c>
      <c r="K372" s="0" t="n">
        <f aca="false">W_PH(K$2,$A372)</f>
        <v>927.616915980168</v>
      </c>
      <c r="L372" s="0" t="n">
        <f aca="false">W_PH(L$2,$A372)</f>
        <v>927.617461866438</v>
      </c>
      <c r="M372" s="0" t="n">
        <f aca="false">W_PH(M$2,$A372)</f>
        <v>927.618010269912</v>
      </c>
      <c r="N372" s="0" t="n">
        <f aca="false">W_PH(N$2,$A372)</f>
        <v>927.618556158984</v>
      </c>
      <c r="O372" s="0" t="n">
        <f aca="false">W_PH(O$2,$A372)</f>
        <v>927.619104565275</v>
      </c>
      <c r="P372" s="0" t="n">
        <f aca="false">W_PH(P$2,$A372)</f>
        <v>927.624576126674</v>
      </c>
      <c r="Q372" s="0" t="n">
        <f aca="false">W_PH(Q$2,$A372)</f>
        <v>927.630047829841</v>
      </c>
      <c r="R372" s="0" t="n">
        <f aca="false">W_PH(R$2,$A372)</f>
        <v>927.635519675854</v>
      </c>
      <c r="S372" s="0" t="n">
        <f aca="false">W_PH(S$2,$A372)</f>
        <v>927.640991665794</v>
      </c>
      <c r="T372" s="0" t="n">
        <f aca="false">W_PH(T$2,$A372)</f>
        <v>927.646463800739</v>
      </c>
      <c r="U372" s="0" t="n">
        <f aca="false">W_PH(U$2,$A372)</f>
        <v>927.65193608177</v>
      </c>
      <c r="V372" s="0" t="n">
        <f aca="false">W_PH(V$2,$A372)</f>
        <v>927.657408509967</v>
      </c>
      <c r="W372" s="0" t="n">
        <f aca="false">W_PH(W$2,$A372)</f>
        <v>927.662881086408</v>
      </c>
      <c r="X372" s="0" t="n">
        <f aca="false">W_PH(X$2,$A372)</f>
        <v>927.668353812173</v>
      </c>
      <c r="Y372" s="0" t="n">
        <f aca="false">W_PH(Y$2,$A372)</f>
        <v>927.723088261603</v>
      </c>
      <c r="Z372" s="0" t="n">
        <f aca="false">W_PH(Z$2,$A372)</f>
        <v>927.777833794728</v>
      </c>
      <c r="AA372" s="0" t="n">
        <f aca="false">W_PH(AA$2,$A372)</f>
        <v>927.832592745984</v>
      </c>
      <c r="AB372" s="0" t="n">
        <f aca="false">W_PH(AB$2,$A372)</f>
        <v>927.88736493191</v>
      </c>
      <c r="AC372" s="0" t="n">
        <f aca="false">W_PH(AC$2,$A372)</f>
        <v>927.942153946922</v>
      </c>
      <c r="AD372" s="0" t="n">
        <f aca="false">W_PH(AD$2,$A372)</f>
        <v>927.996958347313</v>
      </c>
      <c r="AE372" s="0" t="n">
        <f aca="false">W_PH(AE$2,$A372)</f>
        <v>928.051779207463</v>
      </c>
      <c r="AF372" s="0" t="n">
        <f aca="false">W_PH(AF$2,$A372)</f>
        <v>928.106620123024</v>
      </c>
      <c r="AG372" s="0" t="n">
        <f aca="false">W_PH(AG$2,$A372)</f>
        <v>928.161479647704</v>
      </c>
      <c r="AH372" s="0" t="n">
        <f aca="false">W_PH(AH$2,$A372)</f>
        <v>928.711359787663</v>
      </c>
      <c r="AI372" s="0" t="n">
        <f aca="false">W_PH(AI$2,$A372)</f>
        <v>929.26430600796</v>
      </c>
      <c r="AJ372" s="0" t="n">
        <f aca="false">W_PH(AJ$2,$A372)</f>
        <v>929.821335498205</v>
      </c>
      <c r="AK372" s="0" t="n">
        <f aca="false">W_PH(AK$2,$A372)</f>
        <v>930.383475610783</v>
      </c>
      <c r="AL372" s="0" t="n">
        <f aca="false">W_PH(AL$2,$A372)</f>
        <v>930.951743711079</v>
      </c>
      <c r="AM372" s="0" t="n">
        <f aca="false">W_PH(AM$2,$A372)</f>
        <v>931.527160023893</v>
      </c>
      <c r="AN372" s="0" t="n">
        <f aca="false">W_PH(AN$2,$A372)</f>
        <v>932.110738878594</v>
      </c>
      <c r="AO372" s="0" t="n">
        <f aca="false">W_PH(AO$2,$A372)</f>
        <v>932.703497844688</v>
      </c>
      <c r="AP372" s="0" t="n">
        <f aca="false">W_PH(AP$2,$A372)</f>
        <v>2015</v>
      </c>
      <c r="AQ372" s="0" t="n">
        <f aca="false">W_PH(AQ$2,$A372)</f>
        <v>2015</v>
      </c>
      <c r="AR372" s="0" t="n">
        <f aca="false">W_PH(AR$2,$A372)</f>
        <v>2015</v>
      </c>
      <c r="AS372" s="0" t="n">
        <f aca="false">W_PH(AS$2,$A372)</f>
        <v>2015</v>
      </c>
    </row>
    <row r="373" customFormat="false" ht="13.8" hidden="false" customHeight="false" outlineLevel="0" collapsed="false">
      <c r="A373" s="0" t="n">
        <v>5330</v>
      </c>
      <c r="B373" s="0" t="n">
        <f aca="false">W_PH(B$2,$A373)</f>
        <v>928.680801921535</v>
      </c>
      <c r="C373" s="0" t="n">
        <f aca="false">W_PH(C$2,$A373)</f>
        <v>928.680856527843</v>
      </c>
      <c r="D373" s="0" t="n">
        <f aca="false">W_PH(D$2,$A373)</f>
        <v>928.680911134165</v>
      </c>
      <c r="E373" s="0" t="n">
        <f aca="false">W_PH(E$2,$A373)</f>
        <v>928.680965740501</v>
      </c>
      <c r="F373" s="0" t="n">
        <f aca="false">W_PH(F$2,$A373)</f>
        <v>928.68102034685</v>
      </c>
      <c r="G373" s="0" t="n">
        <f aca="false">W_PH(G$2,$A373)</f>
        <v>928.681568923993</v>
      </c>
      <c r="H373" s="0" t="n">
        <f aca="false">W_PH(H$2,$A373)</f>
        <v>928.682117502516</v>
      </c>
      <c r="I373" s="0" t="n">
        <f aca="false">W_PH(I$2,$A373)</f>
        <v>928.682666082418</v>
      </c>
      <c r="J373" s="0" t="n">
        <f aca="false">W_PH(J$2,$A373)</f>
        <v>928.683214663702</v>
      </c>
      <c r="K373" s="0" t="n">
        <f aca="false">W_PH(K$2,$A373)</f>
        <v>928.683761989906</v>
      </c>
      <c r="L373" s="0" t="n">
        <f aca="false">W_PH(L$2,$A373)</f>
        <v>928.684309317487</v>
      </c>
      <c r="M373" s="0" t="n">
        <f aca="false">W_PH(M$2,$A373)</f>
        <v>928.684857902915</v>
      </c>
      <c r="N373" s="0" t="n">
        <f aca="false">W_PH(N$2,$A373)</f>
        <v>928.685406489728</v>
      </c>
      <c r="O373" s="0" t="n">
        <f aca="false">W_PH(O$2,$A373)</f>
        <v>928.685955077928</v>
      </c>
      <c r="P373" s="0" t="n">
        <f aca="false">W_PH(P$2,$A373)</f>
        <v>928.691438523419</v>
      </c>
      <c r="Q373" s="0" t="n">
        <f aca="false">W_PH(Q$2,$A373)</f>
        <v>928.696922108631</v>
      </c>
      <c r="R373" s="0" t="n">
        <f aca="false">W_PH(R$2,$A373)</f>
        <v>928.702405834635</v>
      </c>
      <c r="S373" s="0" t="n">
        <f aca="false">W_PH(S$2,$A373)</f>
        <v>928.707889702506</v>
      </c>
      <c r="T373" s="0" t="n">
        <f aca="false">W_PH(T$2,$A373)</f>
        <v>928.713373713317</v>
      </c>
      <c r="U373" s="0" t="n">
        <f aca="false">W_PH(U$2,$A373)</f>
        <v>928.71885786814</v>
      </c>
      <c r="V373" s="0" t="n">
        <f aca="false">W_PH(V$2,$A373)</f>
        <v>928.724340911351</v>
      </c>
      <c r="W373" s="0" t="n">
        <f aca="false">W_PH(W$2,$A373)</f>
        <v>928.729824100658</v>
      </c>
      <c r="X373" s="0" t="n">
        <f aca="false">W_PH(X$2,$A373)</f>
        <v>928.735308693892</v>
      </c>
      <c r="Y373" s="0" t="n">
        <f aca="false">W_PH(Y$2,$A373)</f>
        <v>928.790157931663</v>
      </c>
      <c r="Z373" s="0" t="n">
        <f aca="false">W_PH(Z$2,$A373)</f>
        <v>928.845016783082</v>
      </c>
      <c r="AA373" s="0" t="n">
        <f aca="false">W_PH(AA$2,$A373)</f>
        <v>928.899890089063</v>
      </c>
      <c r="AB373" s="0" t="n">
        <f aca="false">W_PH(AB$2,$A373)</f>
        <v>928.954777661998</v>
      </c>
      <c r="AC373" s="0" t="n">
        <f aca="false">W_PH(AC$2,$A373)</f>
        <v>929.009679312796</v>
      </c>
      <c r="AD373" s="0" t="n">
        <f aca="false">W_PH(AD$2,$A373)</f>
        <v>929.064596109539</v>
      </c>
      <c r="AE373" s="0" t="n">
        <f aca="false">W_PH(AE$2,$A373)</f>
        <v>929.119531638021</v>
      </c>
      <c r="AF373" s="0" t="n">
        <f aca="false">W_PH(AF$2,$A373)</f>
        <v>929.174484449214</v>
      </c>
      <c r="AG373" s="0" t="n">
        <f aca="false">W_PH(AG$2,$A373)</f>
        <v>929.229458129733</v>
      </c>
      <c r="AH373" s="0" t="n">
        <f aca="false">W_PH(AH$2,$A373)</f>
        <v>929.780459144375</v>
      </c>
      <c r="AI373" s="0" t="n">
        <f aca="false">W_PH(AI$2,$A373)</f>
        <v>930.334498355353</v>
      </c>
      <c r="AJ373" s="0" t="n">
        <f aca="false">W_PH(AJ$2,$A373)</f>
        <v>930.892589173255</v>
      </c>
      <c r="AK373" s="0" t="n">
        <f aca="false">W_PH(AK$2,$A373)</f>
        <v>931.455752693125</v>
      </c>
      <c r="AL373" s="0" t="n">
        <f aca="false">W_PH(AL$2,$A373)</f>
        <v>932.024997536609</v>
      </c>
      <c r="AM373" s="0" t="n">
        <f aca="false">W_PH(AM$2,$A373)</f>
        <v>932.601341595712</v>
      </c>
      <c r="AN373" s="0" t="n">
        <f aca="false">W_PH(AN$2,$A373)</f>
        <v>933.185793114061</v>
      </c>
      <c r="AO373" s="0" t="n">
        <f aca="false">W_PH(AO$2,$A373)</f>
        <v>933.779361047866</v>
      </c>
      <c r="AP373" s="0" t="n">
        <f aca="false">W_PH(AP$2,$A373)</f>
        <v>2015</v>
      </c>
      <c r="AQ373" s="0" t="n">
        <f aca="false">W_PH(AQ$2,$A373)</f>
        <v>2015</v>
      </c>
      <c r="AR373" s="0" t="n">
        <f aca="false">W_PH(AR$2,$A373)</f>
        <v>2015</v>
      </c>
      <c r="AS373" s="0" t="n">
        <f aca="false">W_PH(AS$2,$A373)</f>
        <v>2015</v>
      </c>
    </row>
    <row r="374" customFormat="false" ht="13.8" hidden="false" customHeight="false" outlineLevel="0" collapsed="false">
      <c r="A374" s="0" t="n">
        <v>5340</v>
      </c>
      <c r="B374" s="0" t="n">
        <f aca="false">W_PH(B$2,$A374)</f>
        <v>929.745601648375</v>
      </c>
      <c r="C374" s="0" t="n">
        <f aca="false">W_PH(C$2,$A374)</f>
        <v>929.745656521382</v>
      </c>
      <c r="D374" s="0" t="n">
        <f aca="false">W_PH(D$2,$A374)</f>
        <v>929.745711394402</v>
      </c>
      <c r="E374" s="0" t="n">
        <f aca="false">W_PH(E$2,$A374)</f>
        <v>929.745766267437</v>
      </c>
      <c r="F374" s="0" t="n">
        <f aca="false">W_PH(F$2,$A374)</f>
        <v>929.745821140484</v>
      </c>
      <c r="G374" s="0" t="n">
        <f aca="false">W_PH(G$2,$A374)</f>
        <v>929.746369871705</v>
      </c>
      <c r="H374" s="0" t="n">
        <f aca="false">W_PH(H$2,$A374)</f>
        <v>929.746919859306</v>
      </c>
      <c r="I374" s="0" t="n">
        <f aca="false">W_PH(I$2,$A374)</f>
        <v>929.747469848267</v>
      </c>
      <c r="J374" s="0" t="n">
        <f aca="false">W_PH(J$2,$A374)</f>
        <v>929.74801858356</v>
      </c>
      <c r="K374" s="0" t="n">
        <f aca="false">W_PH(K$2,$A374)</f>
        <v>929.74856732021</v>
      </c>
      <c r="L374" s="0" t="n">
        <f aca="false">W_PH(L$2,$A374)</f>
        <v>929.749118568294</v>
      </c>
      <c r="M374" s="0" t="n">
        <f aca="false">W_PH(M$2,$A374)</f>
        <v>929.749667307668</v>
      </c>
      <c r="N374" s="0" t="n">
        <f aca="false">W_PH(N$2,$A374)</f>
        <v>929.750216048402</v>
      </c>
      <c r="O374" s="0" t="n">
        <f aca="false">W_PH(O$2,$A374)</f>
        <v>929.750766045545</v>
      </c>
      <c r="P374" s="0" t="n">
        <f aca="false">W_PH(P$2,$A374)</f>
        <v>929.756259817047</v>
      </c>
      <c r="Q374" s="0" t="n">
        <f aca="false">W_PH(Q$2,$A374)</f>
        <v>929.761754981298</v>
      </c>
      <c r="R374" s="0" t="n">
        <f aca="false">W_PH(R$2,$A374)</f>
        <v>929.767250284317</v>
      </c>
      <c r="S374" s="0" t="n">
        <f aca="false">W_PH(S$2,$A374)</f>
        <v>929.77274572717</v>
      </c>
      <c r="T374" s="0" t="n">
        <f aca="false">W_PH(T$2,$A374)</f>
        <v>929.778241310925</v>
      </c>
      <c r="U374" s="0" t="n">
        <f aca="false">W_PH(U$2,$A374)</f>
        <v>929.783735781412</v>
      </c>
      <c r="V374" s="0" t="n">
        <f aca="false">W_PH(V$2,$A374)</f>
        <v>929.789230394871</v>
      </c>
      <c r="W374" s="0" t="n">
        <f aca="false">W_PH(W$2,$A374)</f>
        <v>929.794726407665</v>
      </c>
      <c r="X374" s="0" t="n">
        <f aca="false">W_PH(X$2,$A374)</f>
        <v>929.800222565626</v>
      </c>
      <c r="Y374" s="0" t="n">
        <f aca="false">W_PH(Y$2,$A374)</f>
        <v>929.855182318858</v>
      </c>
      <c r="Z374" s="0" t="n">
        <f aca="false">W_PH(Z$2,$A374)</f>
        <v>929.910155244696</v>
      </c>
      <c r="AA374" s="0" t="n">
        <f aca="false">W_PH(AA$2,$A374)</f>
        <v>929.96514115101</v>
      </c>
      <c r="AB374" s="0" t="n">
        <f aca="false">W_PH(AB$2,$A374)</f>
        <v>930.020139844204</v>
      </c>
      <c r="AC374" s="0" t="n">
        <f aca="false">W_PH(AC$2,$A374)</f>
        <v>930.075154899887</v>
      </c>
      <c r="AD374" s="0" t="n">
        <f aca="false">W_PH(AD$2,$A374)</f>
        <v>930.130184867146</v>
      </c>
      <c r="AE374" s="0" t="n">
        <f aca="false">W_PH(AE$2,$A374)</f>
        <v>930.185232064897</v>
      </c>
      <c r="AF374" s="0" t="n">
        <f aca="false">W_PH(AF$2,$A374)</f>
        <v>930.240296297441</v>
      </c>
      <c r="AG374" s="0" t="n">
        <f aca="false">W_PH(AG$2,$A374)</f>
        <v>930.295381142023</v>
      </c>
      <c r="AH374" s="0" t="n">
        <f aca="false">W_PH(AH$2,$A374)</f>
        <v>930.847487196646</v>
      </c>
      <c r="AI374" s="0" t="n">
        <f aca="false">W_PH(AI$2,$A374)</f>
        <v>931.402604020081</v>
      </c>
      <c r="AJ374" s="0" t="n">
        <f aca="false">W_PH(AJ$2,$A374)</f>
        <v>931.961742561445</v>
      </c>
      <c r="AK374" s="0" t="n">
        <f aca="false">W_PH(AK$2,$A374)</f>
        <v>932.525911370868</v>
      </c>
      <c r="AL374" s="0" t="n">
        <f aca="false">W_PH(AL$2,$A374)</f>
        <v>933.096123083727</v>
      </c>
      <c r="AM374" s="0" t="n">
        <f aca="false">W_PH(AM$2,$A374)</f>
        <v>933.673380593579</v>
      </c>
      <c r="AN374" s="0" t="n">
        <f aca="false">W_PH(AN$2,$A374)</f>
        <v>934.258692470272</v>
      </c>
      <c r="AO374" s="0" t="n">
        <f aca="false">W_PH(AO$2,$A374)</f>
        <v>934.853057841078</v>
      </c>
      <c r="AP374" s="0" t="n">
        <f aca="false">W_PH(AP$2,$A374)</f>
        <v>2015</v>
      </c>
      <c r="AQ374" s="0" t="n">
        <f aca="false">W_PH(AQ$2,$A374)</f>
        <v>2015</v>
      </c>
      <c r="AR374" s="0" t="n">
        <f aca="false">W_PH(AR$2,$A374)</f>
        <v>2015</v>
      </c>
      <c r="AS374" s="0" t="n">
        <f aca="false">W_PH(AS$2,$A374)</f>
        <v>2015</v>
      </c>
    </row>
    <row r="375" customFormat="false" ht="13.8" hidden="false" customHeight="false" outlineLevel="0" collapsed="false">
      <c r="A375" s="0" t="n">
        <v>5350</v>
      </c>
      <c r="B375" s="0" t="n">
        <f aca="false">W_PH(B$2,$A375)</f>
        <v>930.808373940348</v>
      </c>
      <c r="C375" s="0" t="n">
        <f aca="false">W_PH(C$2,$A375)</f>
        <v>930.808429076724</v>
      </c>
      <c r="D375" s="0" t="n">
        <f aca="false">W_PH(D$2,$A375)</f>
        <v>930.808484213114</v>
      </c>
      <c r="E375" s="0" t="n">
        <f aca="false">W_PH(E$2,$A375)</f>
        <v>930.808539349516</v>
      </c>
      <c r="F375" s="0" t="n">
        <f aca="false">W_PH(F$2,$A375)</f>
        <v>930.808594485932</v>
      </c>
      <c r="G375" s="0" t="n">
        <f aca="false">W_PH(G$2,$A375)</f>
        <v>930.80914585083</v>
      </c>
      <c r="H375" s="0" t="n">
        <f aca="false">W_PH(H$2,$A375)</f>
        <v>930.809694709859</v>
      </c>
      <c r="I375" s="0" t="n">
        <f aca="false">W_PH(I$2,$A375)</f>
        <v>930.810246077435</v>
      </c>
      <c r="J375" s="0" t="n">
        <f aca="false">W_PH(J$2,$A375)</f>
        <v>930.810797446356</v>
      </c>
      <c r="K375" s="0" t="n">
        <f aca="false">W_PH(K$2,$A375)</f>
        <v>930.811346309391</v>
      </c>
      <c r="L375" s="0" t="n">
        <f aca="false">W_PH(L$2,$A375)</f>
        <v>930.811897680996</v>
      </c>
      <c r="M375" s="0" t="n">
        <f aca="false">W_PH(M$2,$A375)</f>
        <v>930.812449053948</v>
      </c>
      <c r="N375" s="0" t="n">
        <f aca="false">W_PH(N$2,$A375)</f>
        <v>930.812997921</v>
      </c>
      <c r="O375" s="0" t="n">
        <f aca="false">W_PH(O$2,$A375)</f>
        <v>930.813549296644</v>
      </c>
      <c r="P375" s="0" t="n">
        <f aca="false">W_PH(P$2,$A375)</f>
        <v>930.819055605563</v>
      </c>
      <c r="Q375" s="0" t="n">
        <f aca="false">W_PH(Q$2,$A375)</f>
        <v>930.824562050193</v>
      </c>
      <c r="R375" s="0" t="n">
        <f aca="false">W_PH(R$2,$A375)</f>
        <v>930.830067377875</v>
      </c>
      <c r="S375" s="0" t="n">
        <f aca="false">W_PH(S$2,$A375)</f>
        <v>930.835572843325</v>
      </c>
      <c r="T375" s="0" t="n">
        <f aca="false">W_PH(T$2,$A375)</f>
        <v>930.841079701386</v>
      </c>
      <c r="U375" s="0" t="n">
        <f aca="false">W_PH(U$2,$A375)</f>
        <v>930.846586699398</v>
      </c>
      <c r="V375" s="0" t="n">
        <f aca="false">W_PH(V$2,$A375)</f>
        <v>930.852091330733</v>
      </c>
      <c r="W375" s="0" t="n">
        <f aca="false">W_PH(W$2,$A375)</f>
        <v>930.857598611765</v>
      </c>
      <c r="X375" s="0" t="n">
        <f aca="false">W_PH(X$2,$A375)</f>
        <v>930.863106035927</v>
      </c>
      <c r="Y375" s="0" t="n">
        <f aca="false">W_PH(Y$2,$A375)</f>
        <v>930.918178349174</v>
      </c>
      <c r="Z375" s="0" t="n">
        <f aca="false">W_PH(Z$2,$A375)</f>
        <v>930.973261118167</v>
      </c>
      <c r="AA375" s="0" t="n">
        <f aca="false">W_PH(AA$2,$A375)</f>
        <v>931.028357908411</v>
      </c>
      <c r="AB375" s="0" t="n">
        <f aca="false">W_PH(AB$2,$A375)</f>
        <v>931.083469777387</v>
      </c>
      <c r="AC375" s="0" t="n">
        <f aca="false">W_PH(AC$2,$A375)</f>
        <v>931.138594016022</v>
      </c>
      <c r="AD375" s="0" t="n">
        <f aca="false">W_PH(AD$2,$A375)</f>
        <v>931.193735445874</v>
      </c>
      <c r="AE375" s="0" t="n">
        <f aca="false">W_PH(AE$2,$A375)</f>
        <v>931.248892611667</v>
      </c>
      <c r="AF375" s="0" t="n">
        <f aca="false">W_PH(AF$2,$A375)</f>
        <v>931.304067824568</v>
      </c>
      <c r="AG375" s="0" t="n">
        <f aca="false">W_PH(AG$2,$A375)</f>
        <v>931.359262140092</v>
      </c>
      <c r="AH375" s="0" t="n">
        <f aca="false">W_PH(AH$2,$A375)</f>
        <v>931.912456511208</v>
      </c>
      <c r="AI375" s="0" t="n">
        <f aca="false">W_PH(AI$2,$A375)</f>
        <v>932.468635929349</v>
      </c>
      <c r="AJ375" s="0" t="n">
        <f aca="false">W_PH(AJ$2,$A375)</f>
        <v>933.028805140422</v>
      </c>
      <c r="AK375" s="0" t="n">
        <f aca="false">W_PH(AK$2,$A375)</f>
        <v>933.593971620472</v>
      </c>
      <c r="AL375" s="0" t="n">
        <f aca="false">W_PH(AL$2,$A375)</f>
        <v>934.165133033561</v>
      </c>
      <c r="AM375" s="0" t="n">
        <f aca="false">W_PH(AM$2,$A375)</f>
        <v>934.743293848384</v>
      </c>
      <c r="AN375" s="0" t="n">
        <f aca="false">W_PH(AN$2,$A375)</f>
        <v>935.329450265769</v>
      </c>
      <c r="AO375" s="0" t="n">
        <f aca="false">W_PH(AO$2,$A375)</f>
        <v>935.924601842805</v>
      </c>
      <c r="AP375" s="0" t="n">
        <f aca="false">W_PH(AP$2,$A375)</f>
        <v>2015</v>
      </c>
      <c r="AQ375" s="0" t="n">
        <f aca="false">W_PH(AQ$2,$A375)</f>
        <v>2015</v>
      </c>
      <c r="AR375" s="0" t="n">
        <f aca="false">W_PH(AR$2,$A375)</f>
        <v>2015</v>
      </c>
      <c r="AS375" s="0" t="n">
        <f aca="false">W_PH(AS$2,$A375)</f>
        <v>2015</v>
      </c>
    </row>
    <row r="376" customFormat="false" ht="13.8" hidden="false" customHeight="false" outlineLevel="0" collapsed="false">
      <c r="A376" s="0" t="n">
        <v>5360</v>
      </c>
      <c r="B376" s="0" t="n">
        <f aca="false">W_PH(B$2,$A376)</f>
        <v>931.869131777764</v>
      </c>
      <c r="C376" s="0" t="n">
        <f aca="false">W_PH(C$2,$A376)</f>
        <v>931.869187174224</v>
      </c>
      <c r="D376" s="0" t="n">
        <f aca="false">W_PH(D$2,$A376)</f>
        <v>931.869242570696</v>
      </c>
      <c r="E376" s="0" t="n">
        <f aca="false">W_PH(E$2,$A376)</f>
        <v>931.869297967183</v>
      </c>
      <c r="F376" s="0" t="n">
        <f aca="false">W_PH(F$2,$A376)</f>
        <v>931.869353363681</v>
      </c>
      <c r="G376" s="0" t="n">
        <f aca="false">W_PH(G$2,$A376)</f>
        <v>931.869904825025</v>
      </c>
      <c r="H376" s="0" t="n">
        <f aca="false">W_PH(H$2,$A376)</f>
        <v>931.870456287686</v>
      </c>
      <c r="I376" s="0" t="n">
        <f aca="false">W_PH(I$2,$A376)</f>
        <v>931.871007751665</v>
      </c>
      <c r="J376" s="0" t="n">
        <f aca="false">W_PH(J$2,$A376)</f>
        <v>931.871559216964</v>
      </c>
      <c r="K376" s="0" t="n">
        <f aca="false">W_PH(K$2,$A376)</f>
        <v>931.872110683583</v>
      </c>
      <c r="L376" s="0" t="n">
        <f aca="false">W_PH(L$2,$A376)</f>
        <v>931.872662151524</v>
      </c>
      <c r="M376" s="0" t="n">
        <f aca="false">W_PH(M$2,$A376)</f>
        <v>931.873213620787</v>
      </c>
      <c r="N376" s="0" t="n">
        <f aca="false">W_PH(N$2,$A376)</f>
        <v>931.873765091373</v>
      </c>
      <c r="O376" s="0" t="n">
        <f aca="false">W_PH(O$2,$A376)</f>
        <v>931.874317815499</v>
      </c>
      <c r="P376" s="0" t="n">
        <f aca="false">W_PH(P$2,$A376)</f>
        <v>931.879833859976</v>
      </c>
      <c r="Q376" s="0" t="n">
        <f aca="false">W_PH(Q$2,$A376)</f>
        <v>931.885351290415</v>
      </c>
      <c r="R376" s="0" t="n">
        <f aca="false">W_PH(R$2,$A376)</f>
        <v>931.890868855654</v>
      </c>
      <c r="S376" s="0" t="n">
        <f aca="false">W_PH(S$2,$A376)</f>
        <v>931.896385304413</v>
      </c>
      <c r="T376" s="0" t="n">
        <f aca="false">W_PH(T$2,$A376)</f>
        <v>931.901901890018</v>
      </c>
      <c r="U376" s="0" t="n">
        <f aca="false">W_PH(U$2,$A376)</f>
        <v>931.907419865921</v>
      </c>
      <c r="V376" s="0" t="n">
        <f aca="false">W_PH(V$2,$A376)</f>
        <v>931.912937980839</v>
      </c>
      <c r="W376" s="0" t="n">
        <f aca="false">W_PH(W$2,$A376)</f>
        <v>931.918454983368</v>
      </c>
      <c r="X376" s="0" t="n">
        <f aca="false">W_PH(X$2,$A376)</f>
        <v>931.923972126957</v>
      </c>
      <c r="Y376" s="0" t="n">
        <f aca="false">W_PH(Y$2,$A376)</f>
        <v>931.979154058558</v>
      </c>
      <c r="Z376" s="0" t="n">
        <f aca="false">W_PH(Z$2,$A376)</f>
        <v>932.034348749972</v>
      </c>
      <c r="AA376" s="0" t="n">
        <f aca="false">W_PH(AA$2,$A376)</f>
        <v>932.089554745701</v>
      </c>
      <c r="AB376" s="0" t="n">
        <f aca="false">W_PH(AB$2,$A376)</f>
        <v>932.144775602438</v>
      </c>
      <c r="AC376" s="0" t="n">
        <f aca="false">W_PH(AC$2,$A376)</f>
        <v>932.200009863054</v>
      </c>
      <c r="AD376" s="0" t="n">
        <f aca="false">W_PH(AD$2,$A376)</f>
        <v>932.255258576416</v>
      </c>
      <c r="AE376" s="0" t="n">
        <f aca="false">W_PH(AE$2,$A376)</f>
        <v>932.310525300434</v>
      </c>
      <c r="AF376" s="0" t="n">
        <f aca="false">W_PH(AF$2,$A376)</f>
        <v>932.36580857554</v>
      </c>
      <c r="AG376" s="0" t="n">
        <f aca="false">W_PH(AG$2,$A376)</f>
        <v>932.421111960458</v>
      </c>
      <c r="AH376" s="0" t="n">
        <f aca="false">W_PH(AH$2,$A376)</f>
        <v>932.975380804067</v>
      </c>
      <c r="AI376" s="0" t="n">
        <f aca="false">W_PH(AI$2,$A376)</f>
        <v>933.532609417771</v>
      </c>
      <c r="AJ376" s="0" t="n">
        <f aca="false">W_PH(AJ$2,$A376)</f>
        <v>934.093796399124</v>
      </c>
      <c r="AK376" s="0" t="n">
        <f aca="false">W_PH(AK$2,$A376)</f>
        <v>934.659940588337</v>
      </c>
      <c r="AL376" s="0" t="n">
        <f aca="false">W_PH(AL$2,$A376)</f>
        <v>935.232041211123</v>
      </c>
      <c r="AM376" s="0" t="n">
        <f aca="false">W_PH(AM$2,$A376)</f>
        <v>935.8110904028</v>
      </c>
      <c r="AN376" s="0" t="n">
        <f aca="false">W_PH(AN$2,$A376)</f>
        <v>936.398080957848</v>
      </c>
      <c r="AO376" s="0" t="n">
        <f aca="false">W_PH(AO$2,$A376)</f>
        <v>936.994007807895</v>
      </c>
      <c r="AP376" s="0" t="n">
        <f aca="false">W_PH(AP$2,$A376)</f>
        <v>2015</v>
      </c>
      <c r="AQ376" s="0" t="n">
        <f aca="false">W_PH(AQ$2,$A376)</f>
        <v>2015</v>
      </c>
      <c r="AR376" s="0" t="n">
        <f aca="false">W_PH(AR$2,$A376)</f>
        <v>2015</v>
      </c>
      <c r="AS376" s="0" t="n">
        <f aca="false">W_PH(AS$2,$A376)</f>
        <v>2015</v>
      </c>
    </row>
    <row r="377" customFormat="false" ht="13.8" hidden="false" customHeight="false" outlineLevel="0" collapsed="false">
      <c r="A377" s="0" t="n">
        <v>5370</v>
      </c>
      <c r="B377" s="0" t="n">
        <f aca="false">W_PH(B$2,$A377)</f>
        <v>932.927888040243</v>
      </c>
      <c r="C377" s="0" t="n">
        <f aca="false">W_PH(C$2,$A377)</f>
        <v>932.927942442764</v>
      </c>
      <c r="D377" s="0" t="n">
        <f aca="false">W_PH(D$2,$A377)</f>
        <v>932.927996845299</v>
      </c>
      <c r="E377" s="0" t="n">
        <f aca="false">W_PH(E$2,$A377)</f>
        <v>932.928052498626</v>
      </c>
      <c r="F377" s="0" t="n">
        <f aca="false">W_PH(F$2,$A377)</f>
        <v>932.928108151966</v>
      </c>
      <c r="G377" s="0" t="n">
        <f aca="false">W_PH(G$2,$A377)</f>
        <v>932.928660933744</v>
      </c>
      <c r="H377" s="0" t="n">
        <f aca="false">W_PH(H$2,$A377)</f>
        <v>932.92921371682</v>
      </c>
      <c r="I377" s="0" t="n">
        <f aca="false">W_PH(I$2,$A377)</f>
        <v>932.929766501198</v>
      </c>
      <c r="J377" s="0" t="n">
        <f aca="false">W_PH(J$2,$A377)</f>
        <v>932.930319286876</v>
      </c>
      <c r="K377" s="0" t="n">
        <f aca="false">W_PH(K$2,$A377)</f>
        <v>932.930872073857</v>
      </c>
      <c r="L377" s="0" t="n">
        <f aca="false">W_PH(L$2,$A377)</f>
        <v>932.931424862141</v>
      </c>
      <c r="M377" s="0" t="n">
        <f aca="false">W_PH(M$2,$A377)</f>
        <v>932.931976400928</v>
      </c>
      <c r="N377" s="0" t="n">
        <f aca="false">W_PH(N$2,$A377)</f>
        <v>932.932530442624</v>
      </c>
      <c r="O377" s="0" t="n">
        <f aca="false">W_PH(O$2,$A377)</f>
        <v>932.933081984017</v>
      </c>
      <c r="P377" s="0" t="n">
        <f aca="false">W_PH(P$2,$A377)</f>
        <v>932.938609978089</v>
      </c>
      <c r="Q377" s="0" t="n">
        <f aca="false">W_PH(Q$2,$A377)</f>
        <v>932.944138103971</v>
      </c>
      <c r="R377" s="0" t="n">
        <f aca="false">W_PH(R$2,$A377)</f>
        <v>932.949666362712</v>
      </c>
      <c r="S377" s="0" t="n">
        <f aca="false">W_PH(S$2,$A377)</f>
        <v>932.955194755359</v>
      </c>
      <c r="T377" s="0" t="n">
        <f aca="false">W_PH(T$2,$A377)</f>
        <v>932.960723282958</v>
      </c>
      <c r="U377" s="0" t="n">
        <f aca="false">W_PH(U$2,$A377)</f>
        <v>932.966249444578</v>
      </c>
      <c r="V377" s="0" t="n">
        <f aca="false">W_PH(V$2,$A377)</f>
        <v>932.971778245164</v>
      </c>
      <c r="W377" s="0" t="n">
        <f aca="false">W_PH(W$2,$A377)</f>
        <v>932.977307183844</v>
      </c>
      <c r="X377" s="0" t="n">
        <f aca="false">W_PH(X$2,$A377)</f>
        <v>932.982836261666</v>
      </c>
      <c r="Y377" s="0" t="n">
        <f aca="false">W_PH(Y$2,$A377)</f>
        <v>933.03812616334</v>
      </c>
      <c r="Z377" s="0" t="n">
        <f aca="false">W_PH(Z$2,$A377)</f>
        <v>933.093428623252</v>
      </c>
      <c r="AA377" s="0" t="n">
        <f aca="false">W_PH(AA$2,$A377)</f>
        <v>933.148742182417</v>
      </c>
      <c r="AB377" s="0" t="n">
        <f aca="false">W_PH(AB$2,$A377)</f>
        <v>933.204070388386</v>
      </c>
      <c r="AC377" s="0" t="n">
        <f aca="false">W_PH(AC$2,$A377)</f>
        <v>933.259413033155</v>
      </c>
      <c r="AD377" s="0" t="n">
        <f aca="false">W_PH(AD$2,$A377)</f>
        <v>933.314769907317</v>
      </c>
      <c r="AE377" s="0" t="n">
        <f aca="false">W_PH(AE$2,$A377)</f>
        <v>933.370144559634</v>
      </c>
      <c r="AF377" s="0" t="n">
        <f aca="false">W_PH(AF$2,$A377)</f>
        <v>933.42553552711</v>
      </c>
      <c r="AG377" s="0" t="n">
        <f aca="false">W_PH(AG$2,$A377)</f>
        <v>933.480943851732</v>
      </c>
      <c r="AH377" s="0" t="n">
        <f aca="false">W_PH(AH$2,$A377)</f>
        <v>934.036271164337</v>
      </c>
      <c r="AI377" s="0" t="n">
        <f aca="false">W_PH(AI$2,$A377)</f>
        <v>934.594534655469</v>
      </c>
      <c r="AJ377" s="0" t="n">
        <f aca="false">W_PH(AJ$2,$A377)</f>
        <v>935.15672557485</v>
      </c>
      <c r="AK377" s="0" t="n">
        <f aca="false">W_PH(AK$2,$A377)</f>
        <v>935.723836717543</v>
      </c>
      <c r="AL377" s="0" t="n">
        <f aca="false">W_PH(AL$2,$A377)</f>
        <v>936.296861310817</v>
      </c>
      <c r="AM377" s="0" t="n">
        <f aca="false">W_PH(AM$2,$A377)</f>
        <v>936.876785545657</v>
      </c>
      <c r="AN377" s="0" t="n">
        <f aca="false">W_PH(AN$2,$A377)</f>
        <v>937.464598862466</v>
      </c>
      <c r="AO377" s="0" t="n">
        <f aca="false">W_PH(AO$2,$A377)</f>
        <v>938.061287791708</v>
      </c>
      <c r="AP377" s="0" t="n">
        <f aca="false">W_PH(AP$2,$A377)</f>
        <v>2015</v>
      </c>
      <c r="AQ377" s="0" t="n">
        <f aca="false">W_PH(AQ$2,$A377)</f>
        <v>2015</v>
      </c>
      <c r="AR377" s="0" t="n">
        <f aca="false">W_PH(AR$2,$A377)</f>
        <v>2015</v>
      </c>
      <c r="AS377" s="0" t="n">
        <f aca="false">W_PH(AS$2,$A377)</f>
        <v>2015</v>
      </c>
    </row>
    <row r="378" customFormat="false" ht="13.8" hidden="false" customHeight="false" outlineLevel="0" collapsed="false">
      <c r="A378" s="0" t="n">
        <v>5380</v>
      </c>
      <c r="B378" s="0" t="n">
        <f aca="false">W_PH(B$2,$A378)</f>
        <v>933.98465175994</v>
      </c>
      <c r="C378" s="0" t="n">
        <f aca="false">W_PH(C$2,$A378)</f>
        <v>933.984706417504</v>
      </c>
      <c r="D378" s="0" t="n">
        <f aca="false">W_PH(D$2,$A378)</f>
        <v>933.984762324462</v>
      </c>
      <c r="E378" s="0" t="n">
        <f aca="false">W_PH(E$2,$A378)</f>
        <v>933.984818231433</v>
      </c>
      <c r="F378" s="0" t="n">
        <f aca="false">W_PH(F$2,$A378)</f>
        <v>933.984874138416</v>
      </c>
      <c r="G378" s="0" t="n">
        <f aca="false">W_PH(G$2,$A378)</f>
        <v>933.985426962047</v>
      </c>
      <c r="H378" s="0" t="n">
        <f aca="false">W_PH(H$2,$A378)</f>
        <v>933.985981036341</v>
      </c>
      <c r="I378" s="0" t="n">
        <f aca="false">W_PH(I$2,$A378)</f>
        <v>933.986533862526</v>
      </c>
      <c r="J378" s="0" t="n">
        <f aca="false">W_PH(J$2,$A378)</f>
        <v>933.987087939383</v>
      </c>
      <c r="K378" s="0" t="n">
        <f aca="false">W_PH(K$2,$A378)</f>
        <v>933.987642017525</v>
      </c>
      <c r="L378" s="0" t="n">
        <f aca="false">W_PH(L$2,$A378)</f>
        <v>933.988196096952</v>
      </c>
      <c r="M378" s="0" t="n">
        <f aca="false">W_PH(M$2,$A378)</f>
        <v>933.988750177666</v>
      </c>
      <c r="N378" s="0" t="n">
        <f aca="false">W_PH(N$2,$A378)</f>
        <v>933.989304259668</v>
      </c>
      <c r="O378" s="0" t="n">
        <f aca="false">W_PH(O$2,$A378)</f>
        <v>933.989858342958</v>
      </c>
      <c r="P378" s="0" t="n">
        <f aca="false">W_PH(P$2,$A378)</f>
        <v>933.995396748095</v>
      </c>
      <c r="Q378" s="0" t="n">
        <f aca="false">W_PH(Q$2,$A378)</f>
        <v>934.000935283134</v>
      </c>
      <c r="R378" s="0" t="n">
        <f aca="false">W_PH(R$2,$A378)</f>
        <v>934.006473949115</v>
      </c>
      <c r="S378" s="0" t="n">
        <f aca="false">W_PH(S$2,$A378)</f>
        <v>934.012012747079</v>
      </c>
      <c r="T378" s="0" t="n">
        <f aca="false">W_PH(T$2,$A378)</f>
        <v>934.017550428509</v>
      </c>
      <c r="U378" s="0" t="n">
        <f aca="false">W_PH(U$2,$A378)</f>
        <v>934.023089493534</v>
      </c>
      <c r="V378" s="0" t="n">
        <f aca="false">W_PH(V$2,$A378)</f>
        <v>934.028627444045</v>
      </c>
      <c r="W378" s="0" t="n">
        <f aca="false">W_PH(W$2,$A378)</f>
        <v>934.034166780292</v>
      </c>
      <c r="X378" s="0" t="n">
        <f aca="false">W_PH(X$2,$A378)</f>
        <v>934.039706253727</v>
      </c>
      <c r="Y378" s="0" t="n">
        <f aca="false">W_PH(Y$2,$A378)</f>
        <v>934.095103762461</v>
      </c>
      <c r="Z378" s="0" t="n">
        <f aca="false">W_PH(Z$2,$A378)</f>
        <v>934.150512381524</v>
      </c>
      <c r="AA378" s="0" t="n">
        <f aca="false">W_PH(AA$2,$A378)</f>
        <v>934.205934399315</v>
      </c>
      <c r="AB378" s="0" t="n">
        <f aca="false">W_PH(AB$2,$A378)</f>
        <v>934.26136710174</v>
      </c>
      <c r="AC378" s="0" t="n">
        <f aca="false">W_PH(AC$2,$A378)</f>
        <v>934.316815277956</v>
      </c>
      <c r="AD378" s="0" t="n">
        <f aca="false">W_PH(AD$2,$A378)</f>
        <v>934.372279966099</v>
      </c>
      <c r="AE378" s="0" t="n">
        <f aca="false">W_PH(AE$2,$A378)</f>
        <v>934.427759700577</v>
      </c>
      <c r="AF378" s="0" t="n">
        <f aca="false">W_PH(AF$2,$A378)</f>
        <v>934.483255517351</v>
      </c>
      <c r="AG378" s="0" t="n">
        <f aca="false">W_PH(AG$2,$A378)</f>
        <v>934.538770956913</v>
      </c>
      <c r="AH378" s="0" t="n">
        <f aca="false">W_PH(AH$2,$A378)</f>
        <v>935.095142347115</v>
      </c>
      <c r="AI378" s="0" t="n">
        <f aca="false">W_PH(AI$2,$A378)</f>
        <v>935.654424229381</v>
      </c>
      <c r="AJ378" s="0" t="n">
        <f aca="false">W_PH(AJ$2,$A378)</f>
        <v>936.217604328182</v>
      </c>
      <c r="AK378" s="0" t="n">
        <f aca="false">W_PH(AK$2,$A378)</f>
        <v>936.785670718867</v>
      </c>
      <c r="AL378" s="0" t="n">
        <f aca="false">W_PH(AL$2,$A378)</f>
        <v>937.359604364789</v>
      </c>
      <c r="AM378" s="0" t="n">
        <f aca="false">W_PH(AM$2,$A378)</f>
        <v>937.940394425227</v>
      </c>
      <c r="AN378" s="0" t="n">
        <f aca="false">W_PH(AN$2,$A378)</f>
        <v>938.529018156428</v>
      </c>
      <c r="AO378" s="0" t="n">
        <f aca="false">W_PH(AO$2,$A378)</f>
        <v>939.126458818369</v>
      </c>
      <c r="AP378" s="0" t="n">
        <f aca="false">W_PH(AP$2,$A378)</f>
        <v>2015</v>
      </c>
      <c r="AQ378" s="0" t="n">
        <f aca="false">W_PH(AQ$2,$A378)</f>
        <v>2015</v>
      </c>
      <c r="AR378" s="0" t="n">
        <f aca="false">W_PH(AR$2,$A378)</f>
        <v>2015</v>
      </c>
      <c r="AS378" s="0" t="n">
        <f aca="false">W_PH(AS$2,$A378)</f>
        <v>2015</v>
      </c>
    </row>
    <row r="379" customFormat="false" ht="13.8" hidden="false" customHeight="false" outlineLevel="0" collapsed="false">
      <c r="A379" s="0" t="n">
        <v>5390</v>
      </c>
      <c r="B379" s="0" t="n">
        <f aca="false">W_PH(B$2,$A379)</f>
        <v>935.039438127689</v>
      </c>
      <c r="C379" s="0" t="n">
        <f aca="false">W_PH(C$2,$A379)</f>
        <v>935.039493037132</v>
      </c>
      <c r="D379" s="0" t="n">
        <f aca="false">W_PH(D$2,$A379)</f>
        <v>935.039549194577</v>
      </c>
      <c r="E379" s="0" t="n">
        <f aca="false">W_PH(E$2,$A379)</f>
        <v>935.039605352036</v>
      </c>
      <c r="F379" s="0" t="n">
        <f aca="false">W_PH(F$2,$A379)</f>
        <v>935.039659013526</v>
      </c>
      <c r="G379" s="0" t="n">
        <f aca="false">W_PH(G$2,$A379)</f>
        <v>935.04021559697</v>
      </c>
      <c r="H379" s="0" t="n">
        <f aca="false">W_PH(H$2,$A379)</f>
        <v>935.040769685692</v>
      </c>
      <c r="I379" s="0" t="n">
        <f aca="false">W_PH(I$2,$A379)</f>
        <v>935.041323775673</v>
      </c>
      <c r="J379" s="0" t="n">
        <f aca="false">W_PH(J$2,$A379)</f>
        <v>935.041880362918</v>
      </c>
      <c r="K379" s="0" t="n">
        <f aca="false">W_PH(K$2,$A379)</f>
        <v>935.042434455426</v>
      </c>
      <c r="L379" s="0" t="n">
        <f aca="false">W_PH(L$2,$A379)</f>
        <v>935.042988549195</v>
      </c>
      <c r="M379" s="0" t="n">
        <f aca="false">W_PH(M$2,$A379)</f>
        <v>935.043545140251</v>
      </c>
      <c r="N379" s="0" t="n">
        <f aca="false">W_PH(N$2,$A379)</f>
        <v>935.044099236554</v>
      </c>
      <c r="O379" s="0" t="n">
        <f aca="false">W_PH(O$2,$A379)</f>
        <v>935.044653334122</v>
      </c>
      <c r="P379" s="0" t="n">
        <f aca="false">W_PH(P$2,$A379)</f>
        <v>935.050201867903</v>
      </c>
      <c r="Q379" s="0" t="n">
        <f aca="false">W_PH(Q$2,$A379)</f>
        <v>935.055751777778</v>
      </c>
      <c r="R379" s="0" t="n">
        <f aca="false">W_PH(R$2,$A379)</f>
        <v>935.061301816765</v>
      </c>
      <c r="S379" s="0" t="n">
        <f aca="false">W_PH(S$2,$A379)</f>
        <v>935.066850737763</v>
      </c>
      <c r="T379" s="0" t="n">
        <f aca="false">W_PH(T$2,$A379)</f>
        <v>935.072399789884</v>
      </c>
      <c r="U379" s="0" t="n">
        <f aca="false">W_PH(U$2,$A379)</f>
        <v>935.077948974161</v>
      </c>
      <c r="V379" s="0" t="n">
        <f aca="false">W_PH(V$2,$A379)</f>
        <v>935.08349829163</v>
      </c>
      <c r="W379" s="0" t="n">
        <f aca="false">W_PH(W$2,$A379)</f>
        <v>935.089047743325</v>
      </c>
      <c r="X379" s="0" t="n">
        <f aca="false">W_PH(X$2,$A379)</f>
        <v>935.094597330282</v>
      </c>
      <c r="Y379" s="0" t="n">
        <f aca="false">W_PH(Y$2,$A379)</f>
        <v>935.150100866783</v>
      </c>
      <c r="Z379" s="0" t="n">
        <f aca="false">W_PH(Z$2,$A379)</f>
        <v>935.205614071783</v>
      </c>
      <c r="AA379" s="0" t="n">
        <f aca="false">W_PH(AA$2,$A379)</f>
        <v>935.261140474357</v>
      </c>
      <c r="AB379" s="0" t="n">
        <f aca="false">W_PH(AB$2,$A379)</f>
        <v>935.316678607899</v>
      </c>
      <c r="AC379" s="0" t="n">
        <f aca="false">W_PH(AC$2,$A379)</f>
        <v>935.372232002284</v>
      </c>
      <c r="AD379" s="0" t="n">
        <f aca="false">W_PH(AD$2,$A379)</f>
        <v>935.4278004394</v>
      </c>
      <c r="AE379" s="0" t="n">
        <f aca="false">W_PH(AE$2,$A379)</f>
        <v>935.483384950114</v>
      </c>
      <c r="AF379" s="0" t="n">
        <f aca="false">W_PH(AF$2,$A379)</f>
        <v>935.538986565103</v>
      </c>
      <c r="AG379" s="0" t="n">
        <f aca="false">W_PH(AG$2,$A379)</f>
        <v>935.59460631486</v>
      </c>
      <c r="AH379" s="0" t="n">
        <f aca="false">W_PH(AH$2,$A379)</f>
        <v>936.152006483728</v>
      </c>
      <c r="AI379" s="0" t="n">
        <f aca="false">W_PH(AI$2,$A379)</f>
        <v>936.712294386581</v>
      </c>
      <c r="AJ379" s="0" t="n">
        <f aca="false">W_PH(AJ$2,$A379)</f>
        <v>937.276449248505</v>
      </c>
      <c r="AK379" s="0" t="n">
        <f aca="false">W_PH(AK$2,$A379)</f>
        <v>937.84545445675</v>
      </c>
      <c r="AL379" s="0" t="n">
        <f aca="false">W_PH(AL$2,$A379)</f>
        <v>938.420288882547</v>
      </c>
      <c r="AM379" s="0" t="n">
        <f aca="false">W_PH(AM$2,$A379)</f>
        <v>939.001926979584</v>
      </c>
      <c r="AN379" s="0" t="n">
        <f aca="false">W_PH(AN$2,$A379)</f>
        <v>939.591350338336</v>
      </c>
      <c r="AO379" s="0" t="n">
        <f aca="false">W_PH(AO$2,$A379)</f>
        <v>940.189530117515</v>
      </c>
      <c r="AP379" s="0" t="n">
        <f aca="false">W_PH(AP$2,$A379)</f>
        <v>2015</v>
      </c>
      <c r="AQ379" s="0" t="n">
        <f aca="false">W_PH(AQ$2,$A379)</f>
        <v>2015</v>
      </c>
      <c r="AR379" s="0" t="n">
        <f aca="false">W_PH(AR$2,$A379)</f>
        <v>2015</v>
      </c>
      <c r="AS379" s="0" t="n">
        <f aca="false">W_PH(AS$2,$A379)</f>
        <v>2015</v>
      </c>
    </row>
    <row r="380" customFormat="false" ht="13.8" hidden="false" customHeight="false" outlineLevel="0" collapsed="false">
      <c r="A380" s="0" t="n">
        <v>5400</v>
      </c>
      <c r="B380" s="0" t="n">
        <f aca="false">W_PH(B$2,$A380)</f>
        <v>936.092257240045</v>
      </c>
      <c r="C380" s="0" t="n">
        <f aca="false">W_PH(C$2,$A380)</f>
        <v>936.092313644851</v>
      </c>
      <c r="D380" s="0" t="n">
        <f aca="false">W_PH(D$2,$A380)</f>
        <v>936.09237004967</v>
      </c>
      <c r="E380" s="0" t="n">
        <f aca="false">W_PH(E$2,$A380)</f>
        <v>936.092423961291</v>
      </c>
      <c r="F380" s="0" t="n">
        <f aca="false">W_PH(F$2,$A380)</f>
        <v>936.092480366136</v>
      </c>
      <c r="G380" s="0" t="n">
        <f aca="false">W_PH(G$2,$A380)</f>
        <v>936.09303693563</v>
      </c>
      <c r="H380" s="0" t="n">
        <f aca="false">W_PH(H$2,$A380)</f>
        <v>936.093591013149</v>
      </c>
      <c r="I380" s="0" t="n">
        <f aca="false">W_PH(I$2,$A380)</f>
        <v>936.094147585133</v>
      </c>
      <c r="J380" s="0" t="n">
        <f aca="false">W_PH(J$2,$A380)</f>
        <v>936.094704158364</v>
      </c>
      <c r="K380" s="0" t="n">
        <f aca="false">W_PH(K$2,$A380)</f>
        <v>936.095260732846</v>
      </c>
      <c r="L380" s="0" t="n">
        <f aca="false">W_PH(L$2,$A380)</f>
        <v>936.095814815333</v>
      </c>
      <c r="M380" s="0" t="n">
        <f aca="false">W_PH(M$2,$A380)</f>
        <v>936.096371392311</v>
      </c>
      <c r="N380" s="0" t="n">
        <f aca="false">W_PH(N$2,$A380)</f>
        <v>936.096927970542</v>
      </c>
      <c r="O380" s="0" t="n">
        <f aca="false">W_PH(O$2,$A380)</f>
        <v>936.097484550027</v>
      </c>
      <c r="P380" s="0" t="n">
        <f aca="false">W_PH(P$2,$A380)</f>
        <v>936.103042934095</v>
      </c>
      <c r="Q380" s="0" t="n">
        <f aca="false">W_PH(Q$2,$A380)</f>
        <v>936.108601444324</v>
      </c>
      <c r="R380" s="0" t="n">
        <f aca="false">W_PH(R$2,$A380)</f>
        <v>936.114162575181</v>
      </c>
      <c r="S380" s="0" t="n">
        <f aca="false">W_PH(S$2,$A380)</f>
        <v>936.119721340876</v>
      </c>
      <c r="T380" s="0" t="n">
        <f aca="false">W_PH(T$2,$A380)</f>
        <v>936.125280235817</v>
      </c>
      <c r="U380" s="0" t="n">
        <f aca="false">W_PH(U$2,$A380)</f>
        <v>936.130841754647</v>
      </c>
      <c r="V380" s="0" t="n">
        <f aca="false">W_PH(V$2,$A380)</f>
        <v>936.136400911225</v>
      </c>
      <c r="W380" s="0" t="n">
        <f aca="false">W_PH(W$2,$A380)</f>
        <v>936.141960200135</v>
      </c>
      <c r="X380" s="0" t="n">
        <f aca="false">W_PH(X$2,$A380)</f>
        <v>936.1475208693</v>
      </c>
      <c r="Y380" s="0" t="n">
        <f aca="false">W_PH(Y$2,$A380)</f>
        <v>936.203127642091</v>
      </c>
      <c r="Z380" s="0" t="n">
        <f aca="false">W_PH(Z$2,$A380)</f>
        <v>936.258745141927</v>
      </c>
      <c r="AA380" s="0" t="n">
        <f aca="false">W_PH(AA$2,$A380)</f>
        <v>936.314374394287</v>
      </c>
      <c r="AB380" s="0" t="n">
        <f aca="false">W_PH(AB$2,$A380)</f>
        <v>936.37001767253</v>
      </c>
      <c r="AC380" s="0" t="n">
        <f aca="false">W_PH(AC$2,$A380)</f>
        <v>936.425673505932</v>
      </c>
      <c r="AD380" s="0" t="n">
        <f aca="false">W_PH(AD$2,$A380)</f>
        <v>936.481345415836</v>
      </c>
      <c r="AE380" s="0" t="n">
        <f aca="false">W_PH(AE$2,$A380)</f>
        <v>936.537031929985</v>
      </c>
      <c r="AF380" s="0" t="n">
        <f aca="false">W_PH(AF$2,$A380)</f>
        <v>936.59273657052</v>
      </c>
      <c r="AG380" s="0" t="n">
        <f aca="false">W_PH(AG$2,$A380)</f>
        <v>936.648457863651</v>
      </c>
      <c r="AH380" s="0" t="n">
        <f aca="false">W_PH(AH$2,$A380)</f>
        <v>937.206874350277</v>
      </c>
      <c r="AI380" s="0" t="n">
        <f aca="false">W_PH(AI$2,$A380)</f>
        <v>937.768153716088</v>
      </c>
      <c r="AJ380" s="0" t="n">
        <f aca="false">W_PH(AJ$2,$A380)</f>
        <v>938.333271760409</v>
      </c>
      <c r="AK380" s="0" t="n">
        <f aca="false">W_PH(AK$2,$A380)</f>
        <v>938.903202204111</v>
      </c>
      <c r="AL380" s="0" t="n">
        <f aca="false">W_PH(AL$2,$A380)</f>
        <v>939.478921850618</v>
      </c>
      <c r="AM380" s="0" t="n">
        <f aca="false">W_PH(AM$2,$A380)</f>
        <v>940.061400634214</v>
      </c>
      <c r="AN380" s="0" t="n">
        <f aca="false">W_PH(AN$2,$A380)</f>
        <v>940.651609322893</v>
      </c>
      <c r="AO380" s="0" t="n">
        <f aca="false">W_PH(AO$2,$A380)</f>
        <v>941.250519706338</v>
      </c>
      <c r="AP380" s="0" t="n">
        <f aca="false">W_PH(AP$2,$A380)</f>
        <v>2015</v>
      </c>
      <c r="AQ380" s="0" t="n">
        <f aca="false">W_PH(AQ$2,$A380)</f>
        <v>2015</v>
      </c>
      <c r="AR380" s="0" t="n">
        <f aca="false">W_PH(AR$2,$A380)</f>
        <v>2015</v>
      </c>
      <c r="AS380" s="0" t="n">
        <f aca="false">W_PH(AS$2,$A380)</f>
        <v>2015</v>
      </c>
    </row>
    <row r="381" customFormat="false" ht="13.8" hidden="false" customHeight="false" outlineLevel="0" collapsed="false">
      <c r="A381" s="0" t="n">
        <v>5410</v>
      </c>
      <c r="B381" s="0" t="n">
        <f aca="false">W_PH(B$2,$A381)</f>
        <v>937.143124090098</v>
      </c>
      <c r="C381" s="0" t="n">
        <f aca="false">W_PH(C$2,$A381)</f>
        <v>937.143178248752</v>
      </c>
      <c r="D381" s="0" t="n">
        <f aca="false">W_PH(D$2,$A381)</f>
        <v>937.143234897871</v>
      </c>
      <c r="E381" s="0" t="n">
        <f aca="false">W_PH(E$2,$A381)</f>
        <v>937.143290301776</v>
      </c>
      <c r="F381" s="0" t="n">
        <f aca="false">W_PH(F$2,$A381)</f>
        <v>937.143345705693</v>
      </c>
      <c r="G381" s="0" t="n">
        <f aca="false">W_PH(G$2,$A381)</f>
        <v>937.143902235991</v>
      </c>
      <c r="H381" s="0" t="n">
        <f aca="false">W_PH(H$2,$A381)</f>
        <v>937.144458767512</v>
      </c>
      <c r="I381" s="0" t="n">
        <f aca="false">W_PH(I$2,$A381)</f>
        <v>937.14501779073</v>
      </c>
      <c r="J381" s="0" t="n">
        <f aca="false">W_PH(J$2,$A381)</f>
        <v>937.145574324708</v>
      </c>
      <c r="K381" s="0" t="n">
        <f aca="false">W_PH(K$2,$A381)</f>
        <v>937.146130859913</v>
      </c>
      <c r="L381" s="0" t="n">
        <f aca="false">W_PH(L$2,$A381)</f>
        <v>937.146687396345</v>
      </c>
      <c r="M381" s="0" t="n">
        <f aca="false">W_PH(M$2,$A381)</f>
        <v>937.147243934006</v>
      </c>
      <c r="N381" s="0" t="n">
        <f aca="false">W_PH(N$2,$A381)</f>
        <v>937.147800472897</v>
      </c>
      <c r="O381" s="0" t="n">
        <f aca="false">W_PH(O$2,$A381)</f>
        <v>937.148358258272</v>
      </c>
      <c r="P381" s="0" t="n">
        <f aca="false">W_PH(P$2,$A381)</f>
        <v>937.153927463291</v>
      </c>
      <c r="Q381" s="0" t="n">
        <f aca="false">W_PH(Q$2,$A381)</f>
        <v>937.159498038008</v>
      </c>
      <c r="R381" s="0" t="n">
        <f aca="false">W_PH(R$2,$A381)</f>
        <v>937.165067492852</v>
      </c>
      <c r="S381" s="0" t="n">
        <f aca="false">W_PH(S$2,$A381)</f>
        <v>937.170637074128</v>
      </c>
      <c r="T381" s="0" t="n">
        <f aca="false">W_PH(T$2,$A381)</f>
        <v>937.176208028257</v>
      </c>
      <c r="U381" s="0" t="n">
        <f aca="false">W_PH(U$2,$A381)</f>
        <v>937.181776620066</v>
      </c>
      <c r="V381" s="0" t="n">
        <f aca="false">W_PH(V$2,$A381)</f>
        <v>937.187347832227</v>
      </c>
      <c r="W381" s="0" t="n">
        <f aca="false">W_PH(W$2,$A381)</f>
        <v>937.192917929484</v>
      </c>
      <c r="X381" s="0" t="n">
        <f aca="false">W_PH(X$2,$A381)</f>
        <v>937.198488158283</v>
      </c>
      <c r="Y381" s="0" t="n">
        <f aca="false">W_PH(Y$2,$A381)</f>
        <v>937.254197906065</v>
      </c>
      <c r="Z381" s="0" t="n">
        <f aca="false">W_PH(Z$2,$A381)</f>
        <v>937.309916948221</v>
      </c>
      <c r="AA381" s="0" t="n">
        <f aca="false">W_PH(AA$2,$A381)</f>
        <v>937.365648796036</v>
      </c>
      <c r="AB381" s="0" t="n">
        <f aca="false">W_PH(AB$2,$A381)</f>
        <v>937.421393222919</v>
      </c>
      <c r="AC381" s="0" t="n">
        <f aca="false">W_PH(AC$2,$A381)</f>
        <v>937.477152494859</v>
      </c>
      <c r="AD381" s="0" t="n">
        <f aca="false">W_PH(AD$2,$A381)</f>
        <v>937.532923889836</v>
      </c>
      <c r="AE381" s="0" t="n">
        <f aca="false">W_PH(AE$2,$A381)</f>
        <v>937.588713414928</v>
      </c>
      <c r="AF381" s="0" t="n">
        <f aca="false">W_PH(AF$2,$A381)</f>
        <v>937.644518346892</v>
      </c>
      <c r="AG381" s="0" t="n">
        <f aca="false">W_PH(AG$2,$A381)</f>
        <v>937.700342199398</v>
      </c>
      <c r="AH381" s="0" t="n">
        <f aca="false">W_PH(AH$2,$A381)</f>
        <v>938.259760380185</v>
      </c>
      <c r="AI381" s="0" t="n">
        <f aca="false">W_PH(AI$2,$A381)</f>
        <v>938.822015732976</v>
      </c>
      <c r="AJ381" s="0" t="n">
        <f aca="false">W_PH(AJ$2,$A381)</f>
        <v>939.388083182153</v>
      </c>
      <c r="AK381" s="0" t="n">
        <f aca="false">W_PH(AK$2,$A381)</f>
        <v>939.958926850546</v>
      </c>
      <c r="AL381" s="0" t="n">
        <f aca="false">W_PH(AL$2,$A381)</f>
        <v>940.535517736569</v>
      </c>
      <c r="AM381" s="0" t="n">
        <f aca="false">W_PH(AM$2,$A381)</f>
        <v>941.118825078883</v>
      </c>
      <c r="AN381" s="0" t="n">
        <f aca="false">W_PH(AN$2,$A381)</f>
        <v>941.709808891839</v>
      </c>
      <c r="AO381" s="0" t="n">
        <f aca="false">W_PH(AO$2,$A381)</f>
        <v>942.309436555353</v>
      </c>
      <c r="AP381" s="0" t="n">
        <f aca="false">W_PH(AP$2,$A381)</f>
        <v>2015</v>
      </c>
      <c r="AQ381" s="0" t="n">
        <f aca="false">W_PH(AQ$2,$A381)</f>
        <v>2015</v>
      </c>
      <c r="AR381" s="0" t="n">
        <f aca="false">W_PH(AR$2,$A381)</f>
        <v>2015</v>
      </c>
      <c r="AS381" s="0" t="n">
        <f aca="false">W_PH(AS$2,$A381)</f>
        <v>2015</v>
      </c>
    </row>
    <row r="382" customFormat="false" ht="13.8" hidden="false" customHeight="false" outlineLevel="0" collapsed="false">
      <c r="A382" s="0" t="n">
        <v>5420</v>
      </c>
      <c r="B382" s="0" t="n">
        <f aca="false">W_PH(B$2,$A382)</f>
        <v>938.192044858776</v>
      </c>
      <c r="C382" s="0" t="n">
        <f aca="false">W_PH(C$2,$A382)</f>
        <v>938.192101749151</v>
      </c>
      <c r="D382" s="0" t="n">
        <f aca="false">W_PH(D$2,$A382)</f>
        <v>938.192156151827</v>
      </c>
      <c r="E382" s="0" t="n">
        <f aca="false">W_PH(E$2,$A382)</f>
        <v>938.192213042227</v>
      </c>
      <c r="F382" s="0" t="n">
        <f aca="false">W_PH(F$2,$A382)</f>
        <v>938.192268688783</v>
      </c>
      <c r="G382" s="0" t="n">
        <f aca="false">W_PH(G$2,$A382)</f>
        <v>938.192826398863</v>
      </c>
      <c r="H382" s="0" t="n">
        <f aca="false">W_PH(H$2,$A382)</f>
        <v>938.193385354012</v>
      </c>
      <c r="I382" s="0" t="n">
        <f aca="false">W_PH(I$2,$A382)</f>
        <v>938.193941822646</v>
      </c>
      <c r="J382" s="0" t="n">
        <f aca="false">W_PH(J$2,$A382)</f>
        <v>938.194500780217</v>
      </c>
      <c r="K382" s="0" t="n">
        <f aca="false">W_PH(K$2,$A382)</f>
        <v>938.195058495134</v>
      </c>
      <c r="L382" s="0" t="n">
        <f aca="false">W_PH(L$2,$A382)</f>
        <v>938.195616211262</v>
      </c>
      <c r="M382" s="0" t="n">
        <f aca="false">W_PH(M$2,$A382)</f>
        <v>938.196175172478</v>
      </c>
      <c r="N382" s="0" t="n">
        <f aca="false">W_PH(N$2,$A382)</f>
        <v>938.196731647155</v>
      </c>
      <c r="O382" s="0" t="n">
        <f aca="false">W_PH(O$2,$A382)</f>
        <v>938.197290610804</v>
      </c>
      <c r="P382" s="0" t="n">
        <f aca="false">W_PH(P$2,$A382)</f>
        <v>938.202870363319</v>
      </c>
      <c r="Q382" s="0" t="n">
        <f aca="false">W_PH(Q$2,$A382)</f>
        <v>938.208450238473</v>
      </c>
      <c r="R382" s="0" t="n">
        <f aca="false">W_PH(R$2,$A382)</f>
        <v>938.21403023728</v>
      </c>
      <c r="S382" s="0" t="n">
        <f aca="false">W_PH(S$2,$A382)</f>
        <v>938.219610360757</v>
      </c>
      <c r="T382" s="0" t="n">
        <f aca="false">W_PH(T$2,$A382)</f>
        <v>938.22519060992</v>
      </c>
      <c r="U382" s="0" t="n">
        <f aca="false">W_PH(U$2,$A382)</f>
        <v>938.230770985786</v>
      </c>
      <c r="V382" s="0" t="n">
        <f aca="false">W_PH(V$2,$A382)</f>
        <v>938.236350245288</v>
      </c>
      <c r="W382" s="0" t="n">
        <f aca="false">W_PH(W$2,$A382)</f>
        <v>938.241929633469</v>
      </c>
      <c r="X382" s="0" t="n">
        <f aca="false">W_PH(X$2,$A382)</f>
        <v>938.247510395482</v>
      </c>
      <c r="Y382" s="0" t="n">
        <f aca="false">W_PH(Y$2,$A382)</f>
        <v>938.303320397796</v>
      </c>
      <c r="Z382" s="0" t="n">
        <f aca="false">W_PH(Z$2,$A382)</f>
        <v>938.359142001239</v>
      </c>
      <c r="AA382" s="0" t="n">
        <f aca="false">W_PH(AA$2,$A382)</f>
        <v>938.414973730037</v>
      </c>
      <c r="AB382" s="0" t="n">
        <f aca="false">W_PH(AB$2,$A382)</f>
        <v>938.470819087076</v>
      </c>
      <c r="AC382" s="0" t="n">
        <f aca="false">W_PH(AC$2,$A382)</f>
        <v>938.526679086219</v>
      </c>
      <c r="AD382" s="0" t="n">
        <f aca="false">W_PH(AD$2,$A382)</f>
        <v>938.582552249451</v>
      </c>
      <c r="AE382" s="0" t="n">
        <f aca="false">W_PH(AE$2,$A382)</f>
        <v>938.638439588571</v>
      </c>
      <c r="AF382" s="0" t="n">
        <f aca="false">W_PH(AF$2,$A382)</f>
        <v>938.694345854474</v>
      </c>
      <c r="AG382" s="0" t="n">
        <f aca="false">W_PH(AG$2,$A382)</f>
        <v>938.750268321059</v>
      </c>
      <c r="AH382" s="0" t="n">
        <f aca="false">W_PH(AH$2,$A382)</f>
        <v>939.310673897257</v>
      </c>
      <c r="AI382" s="0" t="n">
        <f aca="false">W_PH(AI$2,$A382)</f>
        <v>939.873893840969</v>
      </c>
      <c r="AJ382" s="0" t="n">
        <f aca="false">W_PH(AJ$2,$A382)</f>
        <v>940.440894727211</v>
      </c>
      <c r="AK382" s="0" t="n">
        <f aca="false">W_PH(AK$2,$A382)</f>
        <v>941.012641169627</v>
      </c>
      <c r="AL382" s="0" t="n">
        <f aca="false">W_PH(AL$2,$A382)</f>
        <v>941.590093401553</v>
      </c>
      <c r="AM382" s="0" t="n">
        <f aca="false">W_PH(AM$2,$A382)</f>
        <v>942.174212422709</v>
      </c>
      <c r="AN382" s="0" t="n">
        <f aca="false">W_PH(AN$2,$A382)</f>
        <v>942.765960164526</v>
      </c>
      <c r="AO382" s="0" t="n">
        <f aca="false">W_PH(AO$2,$A382)</f>
        <v>943.366295866997</v>
      </c>
      <c r="AP382" s="0" t="n">
        <f aca="false">W_PH(AP$2,$A382)</f>
        <v>2015</v>
      </c>
      <c r="AQ382" s="0" t="n">
        <f aca="false">W_PH(AQ$2,$A382)</f>
        <v>2015</v>
      </c>
      <c r="AR382" s="0" t="n">
        <f aca="false">W_PH(AR$2,$A382)</f>
        <v>2015</v>
      </c>
      <c r="AS382" s="0" t="n">
        <f aca="false">W_PH(AS$2,$A382)</f>
        <v>2015</v>
      </c>
    </row>
    <row r="383" customFormat="false" ht="13.8" hidden="false" customHeight="false" outlineLevel="0" collapsed="false">
      <c r="A383" s="0" t="n">
        <v>5430</v>
      </c>
      <c r="B383" s="0" t="n">
        <f aca="false">W_PH(B$2,$A383)</f>
        <v>939.239036843837</v>
      </c>
      <c r="C383" s="0" t="n">
        <f aca="false">W_PH(C$2,$A383)</f>
        <v>939.239092729997</v>
      </c>
      <c r="D383" s="0" t="n">
        <f aca="false">W_PH(D$2,$A383)</f>
        <v>939.239148616169</v>
      </c>
      <c r="E383" s="0" t="n">
        <f aca="false">W_PH(E$2,$A383)</f>
        <v>939.239204502353</v>
      </c>
      <c r="F383" s="0" t="n">
        <f aca="false">W_PH(F$2,$A383)</f>
        <v>939.239260388549</v>
      </c>
      <c r="G383" s="0" t="n">
        <f aca="false">W_PH(G$2,$A383)</f>
        <v>939.23981925116</v>
      </c>
      <c r="H383" s="0" t="n">
        <f aca="false">W_PH(H$2,$A383)</f>
        <v>939.240378114962</v>
      </c>
      <c r="I383" s="0" t="n">
        <f aca="false">W_PH(I$2,$A383)</f>
        <v>939.240936979956</v>
      </c>
      <c r="J383" s="0" t="n">
        <f aca="false">W_PH(J$2,$A383)</f>
        <v>939.241495846141</v>
      </c>
      <c r="K383" s="0" t="n">
        <f aca="false">W_PH(K$2,$A383)</f>
        <v>939.24205471352</v>
      </c>
      <c r="L383" s="0" t="n">
        <f aca="false">W_PH(L$2,$A383)</f>
        <v>939.242613582094</v>
      </c>
      <c r="M383" s="0" t="n">
        <f aca="false">W_PH(M$2,$A383)</f>
        <v>939.243172451863</v>
      </c>
      <c r="N383" s="0" t="n">
        <f aca="false">W_PH(N$2,$A383)</f>
        <v>939.243731322828</v>
      </c>
      <c r="O383" s="0" t="n">
        <f aca="false">W_PH(O$2,$A383)</f>
        <v>939.244290194991</v>
      </c>
      <c r="P383" s="0" t="n">
        <f aca="false">W_PH(P$2,$A383)</f>
        <v>939.24988146779</v>
      </c>
      <c r="Q383" s="0" t="n">
        <f aca="false">W_PH(Q$2,$A383)</f>
        <v>939.255470376411</v>
      </c>
      <c r="R383" s="0" t="n">
        <f aca="false">W_PH(R$2,$A383)</f>
        <v>939.261059406896</v>
      </c>
      <c r="S383" s="0" t="n">
        <f aca="false">W_PH(S$2,$A383)</f>
        <v>939.266651045516</v>
      </c>
      <c r="T383" s="0" t="n">
        <f aca="false">W_PH(T$2,$A383)</f>
        <v>939.272240322819</v>
      </c>
      <c r="U383" s="0" t="n">
        <f aca="false">W_PH(U$2,$A383)</f>
        <v>939.277829725018</v>
      </c>
      <c r="V383" s="0" t="n">
        <f aca="false">W_PH(V$2,$A383)</f>
        <v>939.283420495838</v>
      </c>
      <c r="W383" s="0" t="n">
        <f aca="false">W_PH(W$2,$A383)</f>
        <v>939.28901139363</v>
      </c>
      <c r="X383" s="0" t="n">
        <f aca="false">W_PH(X$2,$A383)</f>
        <v>939.294601176635</v>
      </c>
      <c r="Y383" s="0" t="n">
        <f aca="false">W_PH(Y$2,$A383)</f>
        <v>939.350511237088</v>
      </c>
      <c r="Z383" s="0" t="n">
        <f aca="false">W_PH(Z$2,$A383)</f>
        <v>939.40643023021</v>
      </c>
      <c r="AA383" s="0" t="n">
        <f aca="false">W_PH(AA$2,$A383)</f>
        <v>939.462362893388</v>
      </c>
      <c r="AB383" s="0" t="n">
        <f aca="false">W_PH(AB$2,$A383)</f>
        <v>939.518306503821</v>
      </c>
      <c r="AC383" s="0" t="n">
        <f aca="false">W_PH(AC$2,$A383)</f>
        <v>939.574265800246</v>
      </c>
      <c r="AD383" s="0" t="n">
        <f aca="false">W_PH(AD$2,$A383)</f>
        <v>939.630238057825</v>
      </c>
      <c r="AE383" s="0" t="n">
        <f aca="false">W_PH(AE$2,$A383)</f>
        <v>939.686224282407</v>
      </c>
      <c r="AF383" s="0" t="n">
        <f aca="false">W_PH(AF$2,$A383)</f>
        <v>939.742229214759</v>
      </c>
      <c r="AG383" s="0" t="n">
        <f aca="false">W_PH(AG$2,$A383)</f>
        <v>939.798250126997</v>
      </c>
      <c r="AH383" s="0" t="n">
        <f aca="false">W_PH(AH$2,$A383)</f>
        <v>940.35962913066</v>
      </c>
      <c r="AI383" s="0" t="n">
        <f aca="false">W_PH(AI$2,$A383)</f>
        <v>940.923800083132</v>
      </c>
      <c r="AJ383" s="0" t="n">
        <f aca="false">W_PH(AJ$2,$A383)</f>
        <v>941.491722520307</v>
      </c>
      <c r="AK383" s="0" t="n">
        <f aca="false">W_PH(AK$2,$A383)</f>
        <v>942.064355307944</v>
      </c>
      <c r="AL383" s="0" t="n">
        <f aca="false">W_PH(AL$2,$A383)</f>
        <v>942.642655496882</v>
      </c>
      <c r="AM383" s="0" t="n">
        <f aca="false">W_PH(AM$2,$A383)</f>
        <v>943.227578441581</v>
      </c>
      <c r="AN383" s="0" t="n">
        <f aca="false">W_PH(AN$2,$A383)</f>
        <v>943.820077936551</v>
      </c>
      <c r="AO383" s="0" t="n">
        <f aca="false">W_PH(AO$2,$A383)</f>
        <v>944.421110170338</v>
      </c>
      <c r="AP383" s="0" t="n">
        <f aca="false">W_PH(AP$2,$A383)</f>
        <v>2015</v>
      </c>
      <c r="AQ383" s="0" t="n">
        <f aca="false">W_PH(AQ$2,$A383)</f>
        <v>2015</v>
      </c>
      <c r="AR383" s="0" t="n">
        <f aca="false">W_PH(AR$2,$A383)</f>
        <v>2015</v>
      </c>
      <c r="AS383" s="0" t="n">
        <f aca="false">W_PH(AS$2,$A383)</f>
        <v>2015</v>
      </c>
    </row>
    <row r="384" customFormat="false" ht="13.8" hidden="false" customHeight="false" outlineLevel="0" collapsed="false">
      <c r="A384" s="0" t="n">
        <v>5440</v>
      </c>
      <c r="B384" s="0" t="n">
        <f aca="false">W_PH(B$2,$A384)</f>
        <v>940.284107300408</v>
      </c>
      <c r="C384" s="0" t="n">
        <f aca="false">W_PH(C$2,$A384)</f>
        <v>940.28416466438</v>
      </c>
      <c r="D384" s="0" t="n">
        <f aca="false">W_PH(D$2,$A384)</f>
        <v>940.284219546099</v>
      </c>
      <c r="E384" s="0" t="n">
        <f aca="false">W_PH(E$2,$A384)</f>
        <v>940.284276910095</v>
      </c>
      <c r="F384" s="0" t="n">
        <f aca="false">W_PH(F$2,$A384)</f>
        <v>940.284331791838</v>
      </c>
      <c r="G384" s="0" t="n">
        <f aca="false">W_PH(G$2,$A384)</f>
        <v>940.284891780101</v>
      </c>
      <c r="H384" s="0" t="n">
        <f aca="false">W_PH(H$2,$A384)</f>
        <v>940.285451769538</v>
      </c>
      <c r="I384" s="0" t="n">
        <f aca="false">W_PH(I$2,$A384)</f>
        <v>940.28601176015</v>
      </c>
      <c r="J384" s="0" t="n">
        <f aca="false">W_PH(J$2,$A384)</f>
        <v>940.286571751938</v>
      </c>
      <c r="K384" s="0" t="n">
        <f aca="false">W_PH(K$2,$A384)</f>
        <v>940.287131744903</v>
      </c>
      <c r="L384" s="0" t="n">
        <f aca="false">W_PH(L$2,$A384)</f>
        <v>940.287691739046</v>
      </c>
      <c r="M384" s="0" t="n">
        <f aca="false">W_PH(M$2,$A384)</f>
        <v>940.288251734368</v>
      </c>
      <c r="N384" s="0" t="n">
        <f aca="false">W_PH(N$2,$A384)</f>
        <v>940.28881173087</v>
      </c>
      <c r="O384" s="0" t="n">
        <f aca="false">W_PH(O$2,$A384)</f>
        <v>940.289370487396</v>
      </c>
      <c r="P384" s="0" t="n">
        <f aca="false">W_PH(P$2,$A384)</f>
        <v>940.294970529378</v>
      </c>
      <c r="Q384" s="0" t="n">
        <f aca="false">W_PH(Q$2,$A384)</f>
        <v>940.300570690569</v>
      </c>
      <c r="R384" s="0" t="n">
        <f aca="false">W_PH(R$2,$A384)</f>
        <v>940.306170971973</v>
      </c>
      <c r="S384" s="0" t="n">
        <f aca="false">W_PH(S$2,$A384)</f>
        <v>940.311770133325</v>
      </c>
      <c r="T384" s="0" t="n">
        <f aca="false">W_PH(T$2,$A384)</f>
        <v>940.317369416842</v>
      </c>
      <c r="U384" s="0" t="n">
        <f aca="false">W_PH(U$2,$A384)</f>
        <v>940.322970064855</v>
      </c>
      <c r="V384" s="0" t="n">
        <f aca="false">W_PH(V$2,$A384)</f>
        <v>940.328570837098</v>
      </c>
      <c r="W384" s="0" t="n">
        <f aca="false">W_PH(W$2,$A384)</f>
        <v>940.334169251812</v>
      </c>
      <c r="X384" s="0" t="n">
        <f aca="false">W_PH(X$2,$A384)</f>
        <v>940.339770275473</v>
      </c>
      <c r="Y384" s="0" t="n">
        <f aca="false">W_PH(Y$2,$A384)</f>
        <v>940.395777742613</v>
      </c>
      <c r="Z384" s="0" t="n">
        <f aca="false">W_PH(Z$2,$A384)</f>
        <v>940.451796449755</v>
      </c>
      <c r="AA384" s="0" t="n">
        <f aca="false">W_PH(AA$2,$A384)</f>
        <v>940.50782615694</v>
      </c>
      <c r="AB384" s="0" t="n">
        <f aca="false">W_PH(AB$2,$A384)</f>
        <v>940.563869107981</v>
      </c>
      <c r="AC384" s="0" t="n">
        <f aca="false">W_PH(AC$2,$A384)</f>
        <v>940.61992381922</v>
      </c>
      <c r="AD384" s="0" t="n">
        <f aca="false">W_PH(AD$2,$A384)</f>
        <v>940.675993776942</v>
      </c>
      <c r="AE384" s="0" t="n">
        <f aca="false">W_PH(AE$2,$A384)</f>
        <v>940.732078739405</v>
      </c>
      <c r="AF384" s="0" t="n">
        <f aca="false">W_PH(AF$2,$A384)</f>
        <v>940.788179707231</v>
      </c>
      <c r="AG384" s="0" t="n">
        <f aca="false">W_PH(AG$2,$A384)</f>
        <v>940.844298924795</v>
      </c>
      <c r="AH384" s="0" t="n">
        <f aca="false">W_PH(AH$2,$A384)</f>
        <v>941.406637707594</v>
      </c>
      <c r="AI384" s="0" t="n">
        <f aca="false">W_PH(AI$2,$A384)</f>
        <v>941.97174390123</v>
      </c>
      <c r="AJ384" s="0" t="n">
        <f aca="false">W_PH(AJ$2,$A384)</f>
        <v>942.540575047809</v>
      </c>
      <c r="AK384" s="0" t="n">
        <f aca="false">W_PH(AK$2,$A384)</f>
        <v>943.114084330786</v>
      </c>
      <c r="AL384" s="0" t="n">
        <f aca="false">W_PH(AL$2,$A384)</f>
        <v>943.693219389283</v>
      </c>
      <c r="AM384" s="0" t="n">
        <f aca="false">W_PH(AM$2,$A384)</f>
        <v>944.278933736308</v>
      </c>
      <c r="AN384" s="0" t="n">
        <f aca="false">W_PH(AN$2,$A384)</f>
        <v>944.872174344949</v>
      </c>
      <c r="AO384" s="0" t="n">
        <f aca="false">W_PH(AO$2,$A384)</f>
        <v>945.473891869379</v>
      </c>
      <c r="AP384" s="0" t="n">
        <f aca="false">W_PH(AP$2,$A384)</f>
        <v>2015</v>
      </c>
      <c r="AQ384" s="0" t="n">
        <f aca="false">W_PH(AQ$2,$A384)</f>
        <v>2015</v>
      </c>
      <c r="AR384" s="0" t="n">
        <f aca="false">W_PH(AR$2,$A384)</f>
        <v>2015</v>
      </c>
      <c r="AS384" s="0" t="n">
        <f aca="false">W_PH(AS$2,$A384)</f>
        <v>2015</v>
      </c>
    </row>
    <row r="385" customFormat="false" ht="13.8" hidden="false" customHeight="false" outlineLevel="0" collapsed="false">
      <c r="A385" s="0" t="n">
        <v>5450</v>
      </c>
      <c r="B385" s="0" t="n">
        <f aca="false">W_PH(B$2,$A385)</f>
        <v>941.32727085344</v>
      </c>
      <c r="C385" s="0" t="n">
        <f aca="false">W_PH(C$2,$A385)</f>
        <v>941.327327210037</v>
      </c>
      <c r="D385" s="0" t="n">
        <f aca="false">W_PH(D$2,$A385)</f>
        <v>941.327383566647</v>
      </c>
      <c r="E385" s="0" t="n">
        <f aca="false">W_PH(E$2,$A385)</f>
        <v>941.327438683488</v>
      </c>
      <c r="F385" s="0" t="n">
        <f aca="false">W_PH(F$2,$A385)</f>
        <v>941.327496279902</v>
      </c>
      <c r="G385" s="0" t="n">
        <f aca="false">W_PH(G$2,$A385)</f>
        <v>941.328056127523</v>
      </c>
      <c r="H385" s="0" t="n">
        <f aca="false">W_PH(H$2,$A385)</f>
        <v>941.328617216084</v>
      </c>
      <c r="I385" s="0" t="n">
        <f aca="false">W_PH(I$2,$A385)</f>
        <v>941.329177066014</v>
      </c>
      <c r="J385" s="0" t="n">
        <f aca="false">W_PH(J$2,$A385)</f>
        <v>941.32973815689</v>
      </c>
      <c r="K385" s="0" t="n">
        <f aca="false">W_PH(K$2,$A385)</f>
        <v>941.330299248928</v>
      </c>
      <c r="L385" s="0" t="n">
        <f aca="false">W_PH(L$2,$A385)</f>
        <v>941.330860342127</v>
      </c>
      <c r="M385" s="0" t="n">
        <f aca="false">W_PH(M$2,$A385)</f>
        <v>941.331421436489</v>
      </c>
      <c r="N385" s="0" t="n">
        <f aca="false">W_PH(N$2,$A385)</f>
        <v>941.331982532015</v>
      </c>
      <c r="O385" s="0" t="n">
        <f aca="false">W_PH(O$2,$A385)</f>
        <v>941.332543628706</v>
      </c>
      <c r="P385" s="0" t="n">
        <f aca="false">W_PH(P$2,$A385)</f>
        <v>941.338152180235</v>
      </c>
      <c r="Q385" s="0" t="n">
        <f aca="false">W_PH(Q$2,$A385)</f>
        <v>941.343762089098</v>
      </c>
      <c r="R385" s="0" t="n">
        <f aca="false">W_PH(R$2,$A385)</f>
        <v>941.349372116489</v>
      </c>
      <c r="S385" s="0" t="n">
        <f aca="false">W_PH(S$2,$A385)</f>
        <v>941.354981023489</v>
      </c>
      <c r="T385" s="0" t="n">
        <f aca="false">W_PH(T$2,$A385)</f>
        <v>941.360590050959</v>
      </c>
      <c r="U385" s="0" t="n">
        <f aca="false">W_PH(U$2,$A385)</f>
        <v>941.366199199895</v>
      </c>
      <c r="V385" s="0" t="n">
        <f aca="false">W_PH(V$2,$A385)</f>
        <v>941.371810951297</v>
      </c>
      <c r="W385" s="0" t="n">
        <f aca="false">W_PH(W$2,$A385)</f>
        <v>941.377420346219</v>
      </c>
      <c r="X385" s="0" t="n">
        <f aca="false">W_PH(X$2,$A385)</f>
        <v>941.383029865604</v>
      </c>
      <c r="Y385" s="0" t="n">
        <f aca="false">W_PH(Y$2,$A385)</f>
        <v>941.439134605169</v>
      </c>
      <c r="Z385" s="0" t="n">
        <f aca="false">W_PH(Z$2,$A385)</f>
        <v>941.49524916831</v>
      </c>
      <c r="AA385" s="0" t="n">
        <f aca="false">W_PH(AA$2,$A385)</f>
        <v>941.55137579149</v>
      </c>
      <c r="AB385" s="0" t="n">
        <f aca="false">W_PH(AB$2,$A385)</f>
        <v>941.607514229792</v>
      </c>
      <c r="AC385" s="0" t="n">
        <f aca="false">W_PH(AC$2,$A385)</f>
        <v>941.663666719903</v>
      </c>
      <c r="AD385" s="0" t="n">
        <f aca="false">W_PH(AD$2,$A385)</f>
        <v>941.719831774319</v>
      </c>
      <c r="AE385" s="0" t="n">
        <f aca="false">W_PH(AE$2,$A385)</f>
        <v>941.776012871117</v>
      </c>
      <c r="AF385" s="0" t="n">
        <f aca="false">W_PH(AF$2,$A385)</f>
        <v>941.83220976363</v>
      </c>
      <c r="AG385" s="0" t="n">
        <f aca="false">W_PH(AG$2,$A385)</f>
        <v>941.888424689003</v>
      </c>
      <c r="AH385" s="0" t="n">
        <f aca="false">W_PH(AH$2,$A385)</f>
        <v>942.45170991419</v>
      </c>
      <c r="AI385" s="0" t="n">
        <f aca="false">W_PH(AI$2,$A385)</f>
        <v>943.017740887558</v>
      </c>
      <c r="AJ385" s="0" t="n">
        <f aca="false">W_PH(AJ$2,$A385)</f>
        <v>943.587468211797</v>
      </c>
      <c r="AK385" s="0" t="n">
        <f aca="false">W_PH(AK$2,$A385)</f>
        <v>944.161838167032</v>
      </c>
      <c r="AL385" s="0" t="n">
        <f aca="false">W_PH(AL$2,$A385)</f>
        <v>944.741797805395</v>
      </c>
      <c r="AM385" s="0" t="n">
        <f aca="false">W_PH(AM$2,$A385)</f>
        <v>945.328291316521</v>
      </c>
      <c r="AN385" s="0" t="n">
        <f aca="false">W_PH(AN$2,$A385)</f>
        <v>945.922263929813</v>
      </c>
      <c r="AO385" s="0" t="n">
        <f aca="false">W_PH(AO$2,$A385)</f>
        <v>946.524655771648</v>
      </c>
      <c r="AP385" s="0" t="n">
        <f aca="false">W_PH(AP$2,$A385)</f>
        <v>2015</v>
      </c>
      <c r="AQ385" s="0" t="n">
        <f aca="false">W_PH(AQ$2,$A385)</f>
        <v>2015</v>
      </c>
      <c r="AR385" s="0" t="n">
        <f aca="false">W_PH(AR$2,$A385)</f>
        <v>2015</v>
      </c>
      <c r="AS385" s="0" t="n">
        <f aca="false">W_PH(AS$2,$A385)</f>
        <v>2015</v>
      </c>
    </row>
    <row r="386" customFormat="false" ht="13.8" hidden="false" customHeight="false" outlineLevel="0" collapsed="false">
      <c r="A386" s="0" t="n">
        <v>5460</v>
      </c>
      <c r="B386" s="0" t="n">
        <f aca="false">W_PH(B$2,$A386)</f>
        <v>942.368537073927</v>
      </c>
      <c r="C386" s="0" t="n">
        <f aca="false">W_PH(C$2,$A386)</f>
        <v>942.368592422965</v>
      </c>
      <c r="D386" s="0" t="n">
        <f aca="false">W_PH(D$2,$A386)</f>
        <v>942.368650248884</v>
      </c>
      <c r="E386" s="0" t="n">
        <f aca="false">W_PH(E$2,$A386)</f>
        <v>942.368705597944</v>
      </c>
      <c r="F386" s="0" t="n">
        <f aca="false">W_PH(F$2,$A386)</f>
        <v>942.368760947016</v>
      </c>
      <c r="G386" s="0" t="n">
        <f aca="false">W_PH(G$2,$A386)</f>
        <v>942.369324345844</v>
      </c>
      <c r="H386" s="0" t="n">
        <f aca="false">W_PH(H$2,$A386)</f>
        <v>942.369885268938</v>
      </c>
      <c r="I386" s="0" t="n">
        <f aca="false">W_PH(I$2,$A386)</f>
        <v>942.370446193169</v>
      </c>
      <c r="J386" s="0" t="n">
        <f aca="false">W_PH(J$2,$A386)</f>
        <v>942.371009595432</v>
      </c>
      <c r="K386" s="0" t="n">
        <f aca="false">W_PH(K$2,$A386)</f>
        <v>942.371570521946</v>
      </c>
      <c r="L386" s="0" t="n">
        <f aca="false">W_PH(L$2,$A386)</f>
        <v>942.372132688054</v>
      </c>
      <c r="M386" s="0" t="n">
        <f aca="false">W_PH(M$2,$A386)</f>
        <v>942.372694855308</v>
      </c>
      <c r="N386" s="0" t="n">
        <f aca="false">W_PH(N$2,$A386)</f>
        <v>942.373255785252</v>
      </c>
      <c r="O386" s="0" t="n">
        <f aca="false">W_PH(O$2,$A386)</f>
        <v>942.373819193261</v>
      </c>
      <c r="P386" s="0" t="n">
        <f aca="false">W_PH(P$2,$A386)</f>
        <v>942.379437236713</v>
      </c>
      <c r="Q386" s="0" t="n">
        <f aca="false">W_PH(Q$2,$A386)</f>
        <v>942.385055395984</v>
      </c>
      <c r="R386" s="0" t="n">
        <f aca="false">W_PH(R$2,$A386)</f>
        <v>942.390674910607</v>
      </c>
      <c r="S386" s="0" t="n">
        <f aca="false">W_PH(S$2,$A386)</f>
        <v>942.396294543088</v>
      </c>
      <c r="T386" s="0" t="n">
        <f aca="false">W_PH(T$2,$A386)</f>
        <v>942.401913055821</v>
      </c>
      <c r="U386" s="0" t="n">
        <f aca="false">W_PH(U$2,$A386)</f>
        <v>942.407531688342</v>
      </c>
      <c r="V386" s="0" t="n">
        <f aca="false">W_PH(V$2,$A386)</f>
        <v>942.413151680296</v>
      </c>
      <c r="W386" s="0" t="n">
        <f aca="false">W_PH(W$2,$A386)</f>
        <v>942.418771794077</v>
      </c>
      <c r="X386" s="0" t="n">
        <f aca="false">W_PH(X$2,$A386)</f>
        <v>942.424389553265</v>
      </c>
      <c r="Y386" s="0" t="n">
        <f aca="false">W_PH(Y$2,$A386)</f>
        <v>942.480591458283</v>
      </c>
      <c r="Z386" s="0" t="n">
        <f aca="false">W_PH(Z$2,$A386)</f>
        <v>942.536801776615</v>
      </c>
      <c r="AA386" s="0" t="n">
        <f aca="false">W_PH(AA$2,$A386)</f>
        <v>942.593021497196</v>
      </c>
      <c r="AB386" s="0" t="n">
        <f aca="false">W_PH(AB$2,$A386)</f>
        <v>942.649256568003</v>
      </c>
      <c r="AC386" s="0" t="n">
        <f aca="false">W_PH(AC$2,$A386)</f>
        <v>942.705503020642</v>
      </c>
      <c r="AD386" s="0" t="n">
        <f aca="false">W_PH(AD$2,$A386)</f>
        <v>942.761764324266</v>
      </c>
      <c r="AE386" s="0" t="n">
        <f aca="false">W_PH(AE$2,$A386)</f>
        <v>942.818038987583</v>
      </c>
      <c r="AF386" s="0" t="n">
        <f aca="false">W_PH(AF$2,$A386)</f>
        <v>942.874330480523</v>
      </c>
      <c r="AG386" s="0" t="n">
        <f aca="false">W_PH(AG$2,$A386)</f>
        <v>942.930639792715</v>
      </c>
      <c r="AH386" s="0" t="n">
        <f aca="false">W_PH(AH$2,$A386)</f>
        <v>943.494857191602</v>
      </c>
      <c r="AI386" s="0" t="n">
        <f aca="false">W_PH(AI$2,$A386)</f>
        <v>944.061799038179</v>
      </c>
      <c r="AJ386" s="0" t="n">
        <f aca="false">W_PH(AJ$2,$A386)</f>
        <v>944.632410296859</v>
      </c>
      <c r="AK386" s="0" t="n">
        <f aca="false">W_PH(AK$2,$A386)</f>
        <v>945.207630403561</v>
      </c>
      <c r="AL386" s="0" t="n">
        <f aca="false">W_PH(AL$2,$A386)</f>
        <v>945.788400848861</v>
      </c>
      <c r="AM386" s="0" t="n">
        <f aca="false">W_PH(AM$2,$A386)</f>
        <v>946.375664072976</v>
      </c>
      <c r="AN386" s="0" t="n">
        <f aca="false">W_PH(AN$2,$A386)</f>
        <v>946.970353545414</v>
      </c>
      <c r="AO386" s="0" t="n">
        <f aca="false">W_PH(AO$2,$A386)</f>
        <v>947.573412765283</v>
      </c>
      <c r="AP386" s="0" t="n">
        <f aca="false">W_PH(AP$2,$A386)</f>
        <v>2015</v>
      </c>
      <c r="AQ386" s="0" t="n">
        <f aca="false">W_PH(AQ$2,$A386)</f>
        <v>2015</v>
      </c>
      <c r="AR386" s="0" t="n">
        <f aca="false">W_PH(AR$2,$A386)</f>
        <v>2015</v>
      </c>
      <c r="AS386" s="0" t="n">
        <f aca="false">W_PH(AS$2,$A386)</f>
        <v>2015</v>
      </c>
    </row>
    <row r="387" customFormat="false" ht="13.8" hidden="false" customHeight="false" outlineLevel="0" collapsed="false">
      <c r="A387" s="0" t="n">
        <v>5470</v>
      </c>
      <c r="B387" s="0" t="n">
        <f aca="false">W_PH(B$2,$A387)</f>
        <v>943.407916692459</v>
      </c>
      <c r="C387" s="0" t="n">
        <f aca="false">W_PH(C$2,$A387)</f>
        <v>943.40797350796</v>
      </c>
      <c r="D387" s="0" t="n">
        <f aca="false">W_PH(D$2,$A387)</f>
        <v>943.408029086376</v>
      </c>
      <c r="E387" s="0" t="n">
        <f aca="false">W_PH(E$2,$A387)</f>
        <v>943.408084664803</v>
      </c>
      <c r="F387" s="0" t="n">
        <f aca="false">W_PH(F$2,$A387)</f>
        <v>943.408142717435</v>
      </c>
      <c r="G387" s="0" t="n">
        <f aca="false">W_PH(G$2,$A387)</f>
        <v>943.40870468792</v>
      </c>
      <c r="H387" s="0" t="n">
        <f aca="false">W_PH(H$2,$A387)</f>
        <v>943.409266659526</v>
      </c>
      <c r="I387" s="0" t="n">
        <f aca="false">W_PH(I$2,$A387)</f>
        <v>943.409829869359</v>
      </c>
      <c r="J387" s="0" t="n">
        <f aca="false">W_PH(J$2,$A387)</f>
        <v>943.41039308032</v>
      </c>
      <c r="K387" s="0" t="n">
        <f aca="false">W_PH(K$2,$A387)</f>
        <v>943.410956292411</v>
      </c>
      <c r="L387" s="0" t="n">
        <f aca="false">W_PH(L$2,$A387)</f>
        <v>943.411519505631</v>
      </c>
      <c r="M387" s="0" t="n">
        <f aca="false">W_PH(M$2,$A387)</f>
        <v>943.412081482867</v>
      </c>
      <c r="N387" s="0" t="n">
        <f aca="false">W_PH(N$2,$A387)</f>
        <v>943.41264346123</v>
      </c>
      <c r="O387" s="0" t="n">
        <f aca="false">W_PH(O$2,$A387)</f>
        <v>943.413206677841</v>
      </c>
      <c r="P387" s="0" t="n">
        <f aca="false">W_PH(P$2,$A387)</f>
        <v>943.418835195052</v>
      </c>
      <c r="Q387" s="0" t="n">
        <f aca="false">W_PH(Q$2,$A387)</f>
        <v>943.424463826502</v>
      </c>
      <c r="R387" s="0" t="n">
        <f aca="false">W_PH(R$2,$A387)</f>
        <v>943.430091335974</v>
      </c>
      <c r="S387" s="0" t="n">
        <f aca="false">W_PH(S$2,$A387)</f>
        <v>943.435721436062</v>
      </c>
      <c r="T387" s="0" t="n">
        <f aca="false">W_PH(T$2,$A387)</f>
        <v>943.441349178889</v>
      </c>
      <c r="U387" s="0" t="n">
        <f aca="false">W_PH(U$2,$A387)</f>
        <v>943.446977039848</v>
      </c>
      <c r="V387" s="0" t="n">
        <f aca="false">W_PH(V$2,$A387)</f>
        <v>943.452606257234</v>
      </c>
      <c r="W387" s="0" t="n">
        <f aca="false">W_PH(W$2,$A387)</f>
        <v>943.458235594779</v>
      </c>
      <c r="X387" s="0" t="n">
        <f aca="false">W_PH(X$2,$A387)</f>
        <v>943.463863816105</v>
      </c>
      <c r="Y387" s="0" t="n">
        <f aca="false">W_PH(Y$2,$A387)</f>
        <v>943.520157856963</v>
      </c>
      <c r="Z387" s="0" t="n">
        <f aca="false">W_PH(Z$2,$A387)</f>
        <v>943.576462618503</v>
      </c>
      <c r="AA387" s="0" t="n">
        <f aca="false">W_PH(AA$2,$A387)</f>
        <v>943.632777847342</v>
      </c>
      <c r="AB387" s="0" t="n">
        <f aca="false">W_PH(AB$2,$A387)</f>
        <v>943.689105765759</v>
      </c>
      <c r="AC387" s="0" t="n">
        <f aca="false">W_PH(AC$2,$A387)</f>
        <v>943.745446119525</v>
      </c>
      <c r="AD387" s="0" t="n">
        <f aca="false">W_PH(AD$2,$A387)</f>
        <v>943.801798653178</v>
      </c>
      <c r="AE387" s="0" t="n">
        <f aca="false">W_PH(AE$2,$A387)</f>
        <v>943.858169306299</v>
      </c>
      <c r="AF387" s="0" t="n">
        <f aca="false">W_PH(AF$2,$A387)</f>
        <v>943.914554106436</v>
      </c>
      <c r="AG387" s="0" t="n">
        <f aca="false">W_PH(AG$2,$A387)</f>
        <v>943.970954035844</v>
      </c>
      <c r="AH387" s="0" t="n">
        <f aca="false">W_PH(AH$2,$A387)</f>
        <v>944.536093372708</v>
      </c>
      <c r="AI387" s="0" t="n">
        <f aca="false">W_PH(AI$2,$A387)</f>
        <v>945.103932493807</v>
      </c>
      <c r="AJ387" s="0" t="n">
        <f aca="false">W_PH(AJ$2,$A387)</f>
        <v>945.675414493054</v>
      </c>
      <c r="AK387" s="0" t="n">
        <f aca="false">W_PH(AK$2,$A387)</f>
        <v>946.251473263024</v>
      </c>
      <c r="AL387" s="0" t="n">
        <f aca="false">W_PH(AL$2,$A387)</f>
        <v>946.833043534388</v>
      </c>
      <c r="AM387" s="0" t="n">
        <f aca="false">W_PH(AM$2,$A387)</f>
        <v>947.421063523931</v>
      </c>
      <c r="AN387" s="0" t="n">
        <f aca="false">W_PH(AN$2,$A387)</f>
        <v>948.016462533837</v>
      </c>
      <c r="AO387" s="0" t="n">
        <f aca="false">W_PH(AO$2,$A387)</f>
        <v>948.62017362542</v>
      </c>
      <c r="AP387" s="0" t="n">
        <f aca="false">W_PH(AP$2,$A387)</f>
        <v>2015</v>
      </c>
      <c r="AQ387" s="0" t="n">
        <f aca="false">W_PH(AQ$2,$A387)</f>
        <v>2015</v>
      </c>
      <c r="AR387" s="0" t="n">
        <f aca="false">W_PH(AR$2,$A387)</f>
        <v>2015</v>
      </c>
      <c r="AS387" s="0" t="n">
        <f aca="false">W_PH(AS$2,$A387)</f>
        <v>2015</v>
      </c>
    </row>
    <row r="388" customFormat="false" ht="13.8" hidden="false" customHeight="false" outlineLevel="0" collapsed="false">
      <c r="A388" s="0" t="n">
        <v>5480</v>
      </c>
      <c r="B388" s="0" t="n">
        <f aca="false">W_PH(B$2,$A388)</f>
        <v>944.44542159357</v>
      </c>
      <c r="C388" s="0" t="n">
        <f aca="false">W_PH(C$2,$A388)</f>
        <v>944.44547863429</v>
      </c>
      <c r="D388" s="0" t="n">
        <f aca="false">W_PH(D$2,$A388)</f>
        <v>944.445534439258</v>
      </c>
      <c r="E388" s="0" t="n">
        <f aca="false">W_PH(E$2,$A388)</f>
        <v>944.445590244236</v>
      </c>
      <c r="F388" s="0" t="n">
        <f aca="false">W_PH(F$2,$A388)</f>
        <v>944.44564728499</v>
      </c>
      <c r="G388" s="0" t="n">
        <f aca="false">W_PH(G$2,$A388)</f>
        <v>944.446211514317</v>
      </c>
      <c r="H388" s="0" t="n">
        <f aca="false">W_PH(H$2,$A388)</f>
        <v>944.446774508985</v>
      </c>
      <c r="I388" s="0" t="n">
        <f aca="false">W_PH(I$2,$A388)</f>
        <v>944.447337504759</v>
      </c>
      <c r="J388" s="0" t="n">
        <f aca="false">W_PH(J$2,$A388)</f>
        <v>944.447902973191</v>
      </c>
      <c r="K388" s="0" t="n">
        <f aca="false">W_PH(K$2,$A388)</f>
        <v>944.448465971186</v>
      </c>
      <c r="L388" s="0" t="n">
        <f aca="false">W_PH(L$2,$A388)</f>
        <v>944.449028970291</v>
      </c>
      <c r="M388" s="0" t="n">
        <f aca="false">W_PH(M$2,$A388)</f>
        <v>944.449593206289</v>
      </c>
      <c r="N388" s="0" t="n">
        <f aca="false">W_PH(N$2,$A388)</f>
        <v>944.450157443404</v>
      </c>
      <c r="O388" s="0" t="n">
        <f aca="false">W_PH(O$2,$A388)</f>
        <v>944.450720445848</v>
      </c>
      <c r="P388" s="0" t="n">
        <f aca="false">W_PH(P$2,$A388)</f>
        <v>944.456357946567</v>
      </c>
      <c r="Q388" s="0" t="n">
        <f aca="false">W_PH(Q$2,$A388)</f>
        <v>944.461995559913</v>
      </c>
      <c r="R388" s="0" t="n">
        <f aca="false">W_PH(R$2,$A388)</f>
        <v>944.467633286866</v>
      </c>
      <c r="S388" s="0" t="n">
        <f aca="false">W_PH(S$2,$A388)</f>
        <v>944.473271128406</v>
      </c>
      <c r="T388" s="0" t="n">
        <f aca="false">W_PH(T$2,$A388)</f>
        <v>944.478909085516</v>
      </c>
      <c r="U388" s="0" t="n">
        <f aca="false">W_PH(U$2,$A388)</f>
        <v>944.484547159175</v>
      </c>
      <c r="V388" s="0" t="n">
        <f aca="false">W_PH(V$2,$A388)</f>
        <v>944.490185350366</v>
      </c>
      <c r="W388" s="0" t="n">
        <f aca="false">W_PH(W$2,$A388)</f>
        <v>944.495823660068</v>
      </c>
      <c r="X388" s="0" t="n">
        <f aca="false">W_PH(X$2,$A388)</f>
        <v>944.501462089263</v>
      </c>
      <c r="Y388" s="0" t="n">
        <f aca="false">W_PH(Y$2,$A388)</f>
        <v>944.55784822392</v>
      </c>
      <c r="Z388" s="0" t="n">
        <f aca="false">W_PH(Z$2,$A388)</f>
        <v>944.614244911485</v>
      </c>
      <c r="AA388" s="0" t="n">
        <f aca="false">W_PH(AA$2,$A388)</f>
        <v>944.670653131026</v>
      </c>
      <c r="AB388" s="0" t="n">
        <f aca="false">W_PH(AB$2,$A388)</f>
        <v>944.727073861461</v>
      </c>
      <c r="AC388" s="0" t="n">
        <f aca="false">W_PH(AC$2,$A388)</f>
        <v>944.783505606824</v>
      </c>
      <c r="AD388" s="0" t="n">
        <f aca="false">W_PH(AD$2,$A388)</f>
        <v>944.839951819397</v>
      </c>
      <c r="AE388" s="0" t="n">
        <f aca="false">W_PH(AE$2,$A388)</f>
        <v>944.896413477646</v>
      </c>
      <c r="AF388" s="0" t="n">
        <f aca="false">W_PH(AF$2,$A388)</f>
        <v>944.952889083559</v>
      </c>
      <c r="AG388" s="0" t="n">
        <f aca="false">W_PH(AG$2,$A388)</f>
        <v>945.009382090572</v>
      </c>
      <c r="AH388" s="0" t="n">
        <f aca="false">W_PH(AH$2,$A388)</f>
        <v>945.575427222972</v>
      </c>
      <c r="AI388" s="0" t="n">
        <f aca="false">W_PH(AI$2,$A388)</f>
        <v>946.144152799464</v>
      </c>
      <c r="AJ388" s="0" t="n">
        <f aca="false">W_PH(AJ$2,$A388)</f>
        <v>946.716491390326</v>
      </c>
      <c r="AK388" s="0" t="n">
        <f aca="false">W_PH(AK$2,$A388)</f>
        <v>947.293376363995</v>
      </c>
      <c r="AL388" s="0" t="n">
        <f aca="false">W_PH(AL$2,$A388)</f>
        <v>947.875736999499</v>
      </c>
      <c r="AM388" s="0" t="n">
        <f aca="false">W_PH(AM$2,$A388)</f>
        <v>948.464501078357</v>
      </c>
      <c r="AN388" s="0" t="n">
        <f aca="false">W_PH(AN$2,$A388)</f>
        <v>949.060597523725</v>
      </c>
      <c r="AO388" s="0" t="n">
        <f aca="false">W_PH(AO$2,$A388)</f>
        <v>949.664954050146</v>
      </c>
      <c r="AP388" s="0" t="n">
        <f aca="false">W_PH(AP$2,$A388)</f>
        <v>2015</v>
      </c>
      <c r="AQ388" s="0" t="n">
        <f aca="false">W_PH(AQ$2,$A388)</f>
        <v>2015</v>
      </c>
      <c r="AR388" s="0" t="n">
        <f aca="false">W_PH(AR$2,$A388)</f>
        <v>2015</v>
      </c>
      <c r="AS388" s="0" t="n">
        <f aca="false">W_PH(AS$2,$A388)</f>
        <v>2015</v>
      </c>
    </row>
    <row r="389" customFormat="false" ht="13.8" hidden="false" customHeight="false" outlineLevel="0" collapsed="false">
      <c r="A389" s="0" t="n">
        <v>5490</v>
      </c>
      <c r="B389" s="0" t="n">
        <f aca="false">W_PH(B$2,$A389)</f>
        <v>945.481062341296</v>
      </c>
      <c r="C389" s="0" t="n">
        <f aca="false">W_PH(C$2,$A389)</f>
        <v>945.481119604462</v>
      </c>
      <c r="D389" s="0" t="n">
        <f aca="false">W_PH(D$2,$A389)</f>
        <v>945.481175633202</v>
      </c>
      <c r="E389" s="0" t="n">
        <f aca="false">W_PH(E$2,$A389)</f>
        <v>945.481231661952</v>
      </c>
      <c r="F389" s="0" t="n">
        <f aca="false">W_PH(F$2,$A389)</f>
        <v>945.481287690714</v>
      </c>
      <c r="G389" s="0" t="n">
        <f aca="false">W_PH(G$2,$A389)</f>
        <v>945.481852916678</v>
      </c>
      <c r="H389" s="0" t="n">
        <f aca="false">W_PH(H$2,$A389)</f>
        <v>945.482418143738</v>
      </c>
      <c r="I389" s="0" t="n">
        <f aca="false">W_PH(I$2,$A389)</f>
        <v>945.482982137449</v>
      </c>
      <c r="J389" s="0" t="n">
        <f aca="false">W_PH(J$2,$A389)</f>
        <v>945.483546132252</v>
      </c>
      <c r="K389" s="0" t="n">
        <f aca="false">W_PH(K$2,$A389)</f>
        <v>945.484111362599</v>
      </c>
      <c r="L389" s="0" t="n">
        <f aca="false">W_PH(L$2,$A389)</f>
        <v>945.484676594045</v>
      </c>
      <c r="M389" s="0" t="n">
        <f aca="false">W_PH(M$2,$A389)</f>
        <v>945.485241826591</v>
      </c>
      <c r="N389" s="0" t="n">
        <f aca="false">W_PH(N$2,$A389)</f>
        <v>945.485804591321</v>
      </c>
      <c r="O389" s="0" t="n">
        <f aca="false">W_PH(O$2,$A389)</f>
        <v>945.486369826066</v>
      </c>
      <c r="P389" s="0" t="n">
        <f aca="false">W_PH(P$2,$A389)</f>
        <v>945.492017296403</v>
      </c>
      <c r="Q389" s="0" t="n">
        <f aca="false">W_PH(Q$2,$A389)</f>
        <v>945.497663643314</v>
      </c>
      <c r="R389" s="0" t="n">
        <f aca="false">W_PH(R$2,$A389)</f>
        <v>945.503310102236</v>
      </c>
      <c r="S389" s="0" t="n">
        <f aca="false">W_PH(S$2,$A389)</f>
        <v>945.508957908711</v>
      </c>
      <c r="T389" s="0" t="n">
        <f aca="false">W_PH(T$2,$A389)</f>
        <v>945.514603360014</v>
      </c>
      <c r="U389" s="0" t="n">
        <f aca="false">W_PH(U$2,$A389)</f>
        <v>945.520251395441</v>
      </c>
      <c r="V389" s="0" t="n">
        <f aca="false">W_PH(V$2,$A389)</f>
        <v>945.525899546833</v>
      </c>
      <c r="W389" s="0" t="n">
        <f aca="false">W_PH(W$2,$A389)</f>
        <v>945.531545345819</v>
      </c>
      <c r="X389" s="0" t="n">
        <f aca="false">W_PH(X$2,$A389)</f>
        <v>945.537193732015</v>
      </c>
      <c r="Y389" s="0" t="n">
        <f aca="false">W_PH(Y$2,$A389)</f>
        <v>945.593671944219</v>
      </c>
      <c r="Z389" s="0" t="n">
        <f aca="false">W_PH(Z$2,$A389)</f>
        <v>945.650160544863</v>
      </c>
      <c r="AA389" s="0" t="n">
        <f aca="false">W_PH(AA$2,$A389)</f>
        <v>945.706659271842</v>
      </c>
      <c r="AB389" s="0" t="n">
        <f aca="false">W_PH(AB$2,$A389)</f>
        <v>945.763170333364</v>
      </c>
      <c r="AC389" s="0" t="n">
        <f aca="false">W_PH(AC$2,$A389)</f>
        <v>945.819693466505</v>
      </c>
      <c r="AD389" s="0" t="n">
        <f aca="false">W_PH(AD$2,$A389)</f>
        <v>945.876230879708</v>
      </c>
      <c r="AE389" s="0" t="n">
        <f aca="false">W_PH(AE$2,$A389)</f>
        <v>945.932781072681</v>
      </c>
      <c r="AF389" s="0" t="n">
        <f aca="false">W_PH(AF$2,$A389)</f>
        <v>945.989349963753</v>
      </c>
      <c r="AG389" s="0" t="n">
        <f aca="false">W_PH(AG$2,$A389)</f>
        <v>946.045932341639</v>
      </c>
      <c r="AH389" s="0" t="n">
        <f aca="false">W_PH(AH$2,$A389)</f>
        <v>946.612872387104</v>
      </c>
      <c r="AI389" s="0" t="n">
        <f aca="false">W_PH(AI$2,$A389)</f>
        <v>947.182470162398</v>
      </c>
      <c r="AJ389" s="0" t="n">
        <f aca="false">W_PH(AJ$2,$A389)</f>
        <v>947.755655218736</v>
      </c>
      <c r="AK389" s="0" t="n">
        <f aca="false">W_PH(AK$2,$A389)</f>
        <v>948.333354221527</v>
      </c>
      <c r="AL389" s="0" t="n">
        <f aca="false">W_PH(AL$2,$A389)</f>
        <v>948.916489778631</v>
      </c>
      <c r="AM389" s="0" t="n">
        <f aca="false">W_PH(AM$2,$A389)</f>
        <v>949.50598803754</v>
      </c>
      <c r="AN389" s="0" t="n">
        <f aca="false">W_PH(AN$2,$A389)</f>
        <v>950.102772584913</v>
      </c>
      <c r="AO389" s="0" t="n">
        <f aca="false">W_PH(AO$2,$A389)</f>
        <v>950.707763317728</v>
      </c>
      <c r="AP389" s="0" t="n">
        <f aca="false">W_PH(AP$2,$A389)</f>
        <v>2015</v>
      </c>
      <c r="AQ389" s="0" t="n">
        <f aca="false">W_PH(AQ$2,$A389)</f>
        <v>2015</v>
      </c>
      <c r="AR389" s="0" t="n">
        <f aca="false">W_PH(AR$2,$A389)</f>
        <v>2015</v>
      </c>
      <c r="AS389" s="0" t="n">
        <f aca="false">W_PH(AS$2,$A389)</f>
        <v>2015</v>
      </c>
    </row>
    <row r="390" customFormat="false" ht="13.8" hidden="false" customHeight="false" outlineLevel="0" collapsed="false">
      <c r="A390" s="0" t="n">
        <v>5500</v>
      </c>
      <c r="B390" s="0" t="n">
        <f aca="false">W_PH(B$2,$A390)</f>
        <v>946.514849419994</v>
      </c>
      <c r="C390" s="0" t="n">
        <f aca="false">W_PH(C$2,$A390)</f>
        <v>946.514906902868</v>
      </c>
      <c r="D390" s="0" t="n">
        <f aca="false">W_PH(D$2,$A390)</f>
        <v>946.514963152636</v>
      </c>
      <c r="E390" s="0" t="n">
        <f aca="false">W_PH(E$2,$A390)</f>
        <v>946.515020635532</v>
      </c>
      <c r="F390" s="0" t="n">
        <f aca="false">W_PH(F$2,$A390)</f>
        <v>946.515076885321</v>
      </c>
      <c r="G390" s="0" t="n">
        <f aca="false">W_PH(G$2,$A390)</f>
        <v>946.515641850042</v>
      </c>
      <c r="H390" s="0" t="n">
        <f aca="false">W_PH(H$2,$A390)</f>
        <v>946.516206815838</v>
      </c>
      <c r="I390" s="0" t="n">
        <f aca="false">W_PH(I$2,$A390)</f>
        <v>946.516773015835</v>
      </c>
      <c r="J390" s="0" t="n">
        <f aca="false">W_PH(J$2,$A390)</f>
        <v>946.517339216915</v>
      </c>
      <c r="K390" s="0" t="n">
        <f aca="false">W_PH(K$2,$A390)</f>
        <v>946.517904185947</v>
      </c>
      <c r="L390" s="0" t="n">
        <f aca="false">W_PH(L$2,$A390)</f>
        <v>946.518469156058</v>
      </c>
      <c r="M390" s="0" t="n">
        <f aca="false">W_PH(M$2,$A390)</f>
        <v>946.519035360385</v>
      </c>
      <c r="N390" s="0" t="n">
        <f aca="false">W_PH(N$2,$A390)</f>
        <v>946.519601565798</v>
      </c>
      <c r="O390" s="0" t="n">
        <f aca="false">W_PH(O$2,$A390)</f>
        <v>946.520166539158</v>
      </c>
      <c r="P390" s="0" t="n">
        <f aca="false">W_PH(P$2,$A390)</f>
        <v>946.525821265138</v>
      </c>
      <c r="Q390" s="0" t="n">
        <f aca="false">W_PH(Q$2,$A390)</f>
        <v>946.531478566973</v>
      </c>
      <c r="R390" s="0" t="n">
        <f aca="false">W_PH(R$2,$A390)</f>
        <v>946.53713351291</v>
      </c>
      <c r="S390" s="0" t="n">
        <f aca="false">W_PH(S$2,$A390)</f>
        <v>946.542789803499</v>
      </c>
      <c r="T390" s="0" t="n">
        <f aca="false">W_PH(T$2,$A390)</f>
        <v>946.548446206517</v>
      </c>
      <c r="U390" s="0" t="n">
        <f aca="false">W_PH(U$2,$A390)</f>
        <v>946.554101489635</v>
      </c>
      <c r="V390" s="0" t="n">
        <f aca="false">W_PH(V$2,$A390)</f>
        <v>946.559758120393</v>
      </c>
      <c r="W390" s="0" t="n">
        <f aca="false">W_PH(W$2,$A390)</f>
        <v>946.565414866487</v>
      </c>
      <c r="X390" s="0" t="n">
        <f aca="false">W_PH(X$2,$A390)</f>
        <v>946.571070495512</v>
      </c>
      <c r="Y390" s="0" t="n">
        <f aca="false">W_PH(Y$2,$A390)</f>
        <v>946.627638327609</v>
      </c>
      <c r="Z390" s="0" t="n">
        <f aca="false">W_PH(Z$2,$A390)</f>
        <v>946.684217619767</v>
      </c>
      <c r="AA390" s="0" t="n">
        <f aca="false">W_PH(AA$2,$A390)</f>
        <v>946.740806872211</v>
      </c>
      <c r="AB390" s="0" t="n">
        <f aca="false">W_PH(AB$2,$A390)</f>
        <v>946.797407051774</v>
      </c>
      <c r="AC390" s="0" t="n">
        <f aca="false">W_PH(AC$2,$A390)</f>
        <v>946.854020359833</v>
      </c>
      <c r="AD390" s="0" t="n">
        <f aca="false">W_PH(AD$2,$A390)</f>
        <v>946.910647763722</v>
      </c>
      <c r="AE390" s="0" t="n">
        <f aca="false">W_PH(AE$2,$A390)</f>
        <v>946.967288995428</v>
      </c>
      <c r="AF390" s="0" t="n">
        <f aca="false">W_PH(AF$2,$A390)</f>
        <v>947.023943785752</v>
      </c>
      <c r="AG390" s="0" t="n">
        <f aca="false">W_PH(AG$2,$A390)</f>
        <v>947.080616807222</v>
      </c>
      <c r="AH390" s="0" t="n">
        <f aca="false">W_PH(AH$2,$A390)</f>
        <v>947.64843621771</v>
      </c>
      <c r="AI390" s="0" t="n">
        <f aca="false">W_PH(AI$2,$A390)</f>
        <v>948.218894701314</v>
      </c>
      <c r="AJ390" s="0" t="n">
        <f aca="false">W_PH(AJ$2,$A390)</f>
        <v>948.792915124271</v>
      </c>
      <c r="AK390" s="0" t="n">
        <f aca="false">W_PH(AK$2,$A390)</f>
        <v>949.371415005883</v>
      </c>
      <c r="AL390" s="0" t="n">
        <f aca="false">W_PH(AL$2,$A390)</f>
        <v>949.955317806598</v>
      </c>
      <c r="AM390" s="0" t="n">
        <f aca="false">W_PH(AM$2,$A390)</f>
        <v>950.545540599802</v>
      </c>
      <c r="AN390" s="0" t="n">
        <f aca="false">W_PH(AN$2,$A390)</f>
        <v>951.143000411488</v>
      </c>
      <c r="AO390" s="0" t="n">
        <f aca="false">W_PH(AO$2,$A390)</f>
        <v>951.748615626578</v>
      </c>
      <c r="AP390" s="0" t="n">
        <f aca="false">W_PH(AP$2,$A390)</f>
        <v>2015</v>
      </c>
      <c r="AQ390" s="0" t="n">
        <f aca="false">W_PH(AQ$2,$A390)</f>
        <v>2015</v>
      </c>
      <c r="AR390" s="0" t="n">
        <f aca="false">W_PH(AR$2,$A390)</f>
        <v>2015</v>
      </c>
      <c r="AS390" s="0" t="n">
        <f aca="false">W_PH(AS$2,$A390)</f>
        <v>2015</v>
      </c>
    </row>
    <row r="391" customFormat="false" ht="13.8" hidden="false" customHeight="false" outlineLevel="0" collapsed="false">
      <c r="A391" s="0" t="n">
        <v>5510</v>
      </c>
      <c r="B391" s="0" t="n">
        <f aca="false">W_PH(B$2,$A391)</f>
        <v>947.546794467167</v>
      </c>
      <c r="C391" s="0" t="n">
        <f aca="false">W_PH(C$2,$A391)</f>
        <v>947.546852167047</v>
      </c>
      <c r="D391" s="0" t="n">
        <f aca="false">W_PH(D$2,$A391)</f>
        <v>947.546908635135</v>
      </c>
      <c r="E391" s="0" t="n">
        <f aca="false">W_PH(E$2,$A391)</f>
        <v>947.546966335036</v>
      </c>
      <c r="F391" s="0" t="n">
        <f aca="false">W_PH(F$2,$A391)</f>
        <v>947.547022803145</v>
      </c>
      <c r="G391" s="0" t="n">
        <f aca="false">W_PH(G$2,$A391)</f>
        <v>947.547587484816</v>
      </c>
      <c r="H391" s="0" t="n">
        <f aca="false">W_PH(H$2,$A391)</f>
        <v>947.548154631159</v>
      </c>
      <c r="I391" s="0" t="n">
        <f aca="false">W_PH(I$2,$A391)</f>
        <v>947.548721778568</v>
      </c>
      <c r="J391" s="0" t="n">
        <f aca="false">W_PH(J$2,$A391)</f>
        <v>947.549287695231</v>
      </c>
      <c r="K391" s="0" t="n">
        <f aca="false">W_PH(K$2,$A391)</f>
        <v>947.549853612957</v>
      </c>
      <c r="L391" s="0" t="n">
        <f aca="false">W_PH(L$2,$A391)</f>
        <v>947.550420763566</v>
      </c>
      <c r="M391" s="0" t="n">
        <f aca="false">W_PH(M$2,$A391)</f>
        <v>947.550987915245</v>
      </c>
      <c r="N391" s="0" t="n">
        <f aca="false">W_PH(N$2,$A391)</f>
        <v>947.551553836172</v>
      </c>
      <c r="O391" s="0" t="n">
        <f aca="false">W_PH(O$2,$A391)</f>
        <v>947.552119758166</v>
      </c>
      <c r="P391" s="0" t="n">
        <f aca="false">W_PH(P$2,$A391)</f>
        <v>947.557783964412</v>
      </c>
      <c r="Q391" s="0" t="n">
        <f aca="false">W_PH(Q$2,$A391)</f>
        <v>947.563449510509</v>
      </c>
      <c r="R391" s="0" t="n">
        <f aca="false">W_PH(R$2,$A391)</f>
        <v>947.569113933688</v>
      </c>
      <c r="S391" s="0" t="n">
        <f aca="false">W_PH(S$2,$A391)</f>
        <v>947.574779698698</v>
      </c>
      <c r="T391" s="0" t="n">
        <f aca="false">W_PH(T$2,$A391)</f>
        <v>947.580444342668</v>
      </c>
      <c r="U391" s="0" t="n">
        <f aca="false">W_PH(U$2,$A391)</f>
        <v>947.586109098465</v>
      </c>
      <c r="V391" s="0" t="n">
        <f aca="false">W_PH(V$2,$A391)</f>
        <v>947.591773967054</v>
      </c>
      <c r="W391" s="0" t="n">
        <f aca="false">W_PH(W$2,$A391)</f>
        <v>947.5974389494</v>
      </c>
      <c r="X391" s="0" t="n">
        <f aca="false">W_PH(X$2,$A391)</f>
        <v>947.603104046465</v>
      </c>
      <c r="Y391" s="0" t="n">
        <f aca="false">W_PH(Y$2,$A391)</f>
        <v>947.659761538765</v>
      </c>
      <c r="Z391" s="0" t="n">
        <f aca="false">W_PH(Z$2,$A391)</f>
        <v>947.71642909815</v>
      </c>
      <c r="AA391" s="0" t="n">
        <f aca="false">W_PH(AA$2,$A391)</f>
        <v>947.773107686801</v>
      </c>
      <c r="AB391" s="0" t="n">
        <f aca="false">W_PH(AB$2,$A391)</f>
        <v>947.829795800573</v>
      </c>
      <c r="AC391" s="0" t="n">
        <f aca="false">W_PH(AC$2,$A391)</f>
        <v>947.886496866524</v>
      </c>
      <c r="AD391" s="0" t="n">
        <f aca="false">W_PH(AD$2,$A391)</f>
        <v>947.943211846422</v>
      </c>
      <c r="AE391" s="0" t="n">
        <f aca="false">W_PH(AE$2,$A391)</f>
        <v>947.999941701893</v>
      </c>
      <c r="AF391" s="0" t="n">
        <f aca="false">W_PH(AF$2,$A391)</f>
        <v>948.056684926178</v>
      </c>
      <c r="AG391" s="0" t="n">
        <f aca="false">W_PH(AG$2,$A391)</f>
        <v>948.11344494785</v>
      </c>
      <c r="AH391" s="0" t="n">
        <f aca="false">W_PH(AH$2,$A391)</f>
        <v>948.682135891245</v>
      </c>
      <c r="AI391" s="0" t="n">
        <f aca="false">W_PH(AI$2,$A391)</f>
        <v>949.253441405555</v>
      </c>
      <c r="AJ391" s="0" t="n">
        <f aca="false">W_PH(AJ$2,$A391)</f>
        <v>949.828282650918</v>
      </c>
      <c r="AK391" s="0" t="n">
        <f aca="false">W_PH(AK$2,$A391)</f>
        <v>950.407574269725</v>
      </c>
      <c r="AL391" s="0" t="n">
        <f aca="false">W_PH(AL$2,$A391)</f>
        <v>950.992229412604</v>
      </c>
      <c r="AM391" s="0" t="n">
        <f aca="false">W_PH(AM$2,$A391)</f>
        <v>951.583164840499</v>
      </c>
      <c r="AN391" s="0" t="n">
        <f aca="false">W_PH(AN$2,$A391)</f>
        <v>952.181291079638</v>
      </c>
      <c r="AO391" s="0" t="n">
        <f aca="false">W_PH(AO$2,$A391)</f>
        <v>952.787522542415</v>
      </c>
      <c r="AP391" s="0" t="n">
        <f aca="false">W_PH(AP$2,$A391)</f>
        <v>2015</v>
      </c>
      <c r="AQ391" s="0" t="n">
        <f aca="false">W_PH(AQ$2,$A391)</f>
        <v>2015</v>
      </c>
      <c r="AR391" s="0" t="n">
        <f aca="false">W_PH(AR$2,$A391)</f>
        <v>2015</v>
      </c>
      <c r="AS391" s="0" t="n">
        <f aca="false">W_PH(AS$2,$A391)</f>
        <v>2015</v>
      </c>
    </row>
    <row r="392" customFormat="false" ht="13.8" hidden="false" customHeight="false" outlineLevel="0" collapsed="false">
      <c r="A392" s="0" t="n">
        <v>5520</v>
      </c>
      <c r="B392" s="0" t="n">
        <f aca="false">W_PH(B$2,$A392)</f>
        <v>948.576909037435</v>
      </c>
      <c r="C392" s="0" t="n">
        <f aca="false">W_PH(C$2,$A392)</f>
        <v>948.576965721159</v>
      </c>
      <c r="D392" s="0" t="n">
        <f aca="false">W_PH(D$2,$A392)</f>
        <v>948.577022404892</v>
      </c>
      <c r="E392" s="0" t="n">
        <f aca="false">W_PH(E$2,$A392)</f>
        <v>948.577079088637</v>
      </c>
      <c r="F392" s="0" t="n">
        <f aca="false">W_PH(F$2,$A392)</f>
        <v>948.577135772391</v>
      </c>
      <c r="G392" s="0" t="n">
        <f aca="false">W_PH(G$2,$A392)</f>
        <v>948.577703841007</v>
      </c>
      <c r="H392" s="0" t="n">
        <f aca="false">W_PH(H$2,$A392)</f>
        <v>948.578270680175</v>
      </c>
      <c r="I392" s="0" t="n">
        <f aca="false">W_PH(I$2,$A392)</f>
        <v>948.578837520389</v>
      </c>
      <c r="J392" s="0" t="n">
        <f aca="false">W_PH(J$2,$A392)</f>
        <v>948.57940436165</v>
      </c>
      <c r="K392" s="0" t="n">
        <f aca="false">W_PH(K$2,$A392)</f>
        <v>948.579972434468</v>
      </c>
      <c r="L392" s="0" t="n">
        <f aca="false">W_PH(L$2,$A392)</f>
        <v>948.58054050834</v>
      </c>
      <c r="M392" s="0" t="n">
        <f aca="false">W_PH(M$2,$A392)</f>
        <v>948.581107352756</v>
      </c>
      <c r="N392" s="0" t="n">
        <f aca="false">W_PH(N$2,$A392)</f>
        <v>948.581674198222</v>
      </c>
      <c r="O392" s="0" t="n">
        <f aca="false">W_PH(O$2,$A392)</f>
        <v>948.582241044741</v>
      </c>
      <c r="P392" s="0" t="n">
        <f aca="false">W_PH(P$2,$A392)</f>
        <v>948.587914490196</v>
      </c>
      <c r="Q392" s="0" t="n">
        <f aca="false">W_PH(Q$2,$A392)</f>
        <v>948.593588042148</v>
      </c>
      <c r="R392" s="0" t="n">
        <f aca="false">W_PH(R$2,$A392)</f>
        <v>948.599261701553</v>
      </c>
      <c r="S392" s="0" t="n">
        <f aca="false">W_PH(S$2,$A392)</f>
        <v>948.604935469373</v>
      </c>
      <c r="T392" s="0" t="n">
        <f aca="false">W_PH(T$2,$A392)</f>
        <v>948.610609346563</v>
      </c>
      <c r="U392" s="0" t="n">
        <f aca="false">W_PH(U$2,$A392)</f>
        <v>948.616283334084</v>
      </c>
      <c r="V392" s="0" t="n">
        <f aca="false">W_PH(V$2,$A392)</f>
        <v>948.621957432894</v>
      </c>
      <c r="W392" s="0" t="n">
        <f aca="false">W_PH(W$2,$A392)</f>
        <v>948.62763164395</v>
      </c>
      <c r="X392" s="0" t="n">
        <f aca="false">W_PH(X$2,$A392)</f>
        <v>948.633305968212</v>
      </c>
      <c r="Y392" s="0" t="n">
        <f aca="false">W_PH(Y$2,$A392)</f>
        <v>948.690050723947</v>
      </c>
      <c r="Z392" s="0" t="n">
        <f aca="false">W_PH(Z$2,$A392)</f>
        <v>948.746805389801</v>
      </c>
      <c r="AA392" s="0" t="n">
        <f aca="false">W_PH(AA$2,$A392)</f>
        <v>948.803569690908</v>
      </c>
      <c r="AB392" s="0" t="n">
        <f aca="false">W_PH(AB$2,$A392)</f>
        <v>948.860345814789</v>
      </c>
      <c r="AC392" s="0" t="n">
        <f aca="false">W_PH(AC$2,$A392)</f>
        <v>948.917134717826</v>
      </c>
      <c r="AD392" s="0" t="n">
        <f aca="false">W_PH(AD$2,$A392)</f>
        <v>948.973937356265</v>
      </c>
      <c r="AE392" s="0" t="n">
        <f aca="false">W_PH(AE$2,$A392)</f>
        <v>949.030753453681</v>
      </c>
      <c r="AF392" s="0" t="n">
        <f aca="false">W_PH(AF$2,$A392)</f>
        <v>949.087582732496</v>
      </c>
      <c r="AG392" s="0" t="n">
        <f aca="false">W_PH(AG$2,$A392)</f>
        <v>949.144431079214</v>
      </c>
      <c r="AH392" s="0" t="n">
        <f aca="false">W_PH(AH$2,$A392)</f>
        <v>949.713976113885</v>
      </c>
      <c r="AI392" s="0" t="n">
        <f aca="false">W_PH(AI$2,$A392)</f>
        <v>950.286117727464</v>
      </c>
      <c r="AJ392" s="0" t="n">
        <f aca="false">W_PH(AJ$2,$A392)</f>
        <v>950.861769246503</v>
      </c>
      <c r="AK392" s="0" t="n">
        <f aca="false">W_PH(AK$2,$A392)</f>
        <v>951.441839989582</v>
      </c>
      <c r="AL392" s="0" t="n">
        <f aca="false">W_PH(AL$2,$A392)</f>
        <v>952.027240311358</v>
      </c>
      <c r="AM392" s="0" t="n">
        <f aca="false">W_PH(AM$2,$A392)</f>
        <v>952.618876738363</v>
      </c>
      <c r="AN392" s="0" t="n">
        <f aca="false">W_PH(AN$2,$A392)</f>
        <v>953.217659565042</v>
      </c>
      <c r="AO392" s="0" t="n">
        <f aca="false">W_PH(AO$2,$A392)</f>
        <v>953.824494267906</v>
      </c>
      <c r="AP392" s="0" t="n">
        <f aca="false">W_PH(AP$2,$A392)</f>
        <v>2015</v>
      </c>
      <c r="AQ392" s="0" t="n">
        <f aca="false">W_PH(AQ$2,$A392)</f>
        <v>2015</v>
      </c>
      <c r="AR392" s="0" t="n">
        <f aca="false">W_PH(AR$2,$A392)</f>
        <v>2015</v>
      </c>
      <c r="AS392" s="0" t="n">
        <f aca="false">W_PH(AS$2,$A392)</f>
        <v>2015</v>
      </c>
    </row>
    <row r="393" customFormat="false" ht="13.8" hidden="false" customHeight="false" outlineLevel="0" collapsed="false">
      <c r="A393" s="0" t="n">
        <v>5530</v>
      </c>
      <c r="B393" s="0" t="n">
        <f aca="false">W_PH(B$2,$A393)</f>
        <v>949.605200916005</v>
      </c>
      <c r="C393" s="0" t="n">
        <f aca="false">W_PH(C$2,$A393)</f>
        <v>949.605257812734</v>
      </c>
      <c r="D393" s="0" t="n">
        <f aca="false">W_PH(D$2,$A393)</f>
        <v>949.605314709473</v>
      </c>
      <c r="E393" s="0" t="n">
        <f aca="false">W_PH(E$2,$A393)</f>
        <v>949.605371606223</v>
      </c>
      <c r="F393" s="0" t="n">
        <f aca="false">W_PH(F$2,$A393)</f>
        <v>949.605428502983</v>
      </c>
      <c r="G393" s="0" t="n">
        <f aca="false">W_PH(G$2,$A393)</f>
        <v>949.605996241958</v>
      </c>
      <c r="H393" s="0" t="n">
        <f aca="false">W_PH(H$2,$A393)</f>
        <v>949.606563981965</v>
      </c>
      <c r="I393" s="0" t="n">
        <f aca="false">W_PH(I$2,$A393)</f>
        <v>949.607132952204</v>
      </c>
      <c r="J393" s="0" t="n">
        <f aca="false">W_PH(J$2,$A393)</f>
        <v>949.607701923481</v>
      </c>
      <c r="K393" s="0" t="n">
        <f aca="false">W_PH(K$2,$A393)</f>
        <v>949.608268437387</v>
      </c>
      <c r="L393" s="0" t="n">
        <f aca="false">W_PH(L$2,$A393)</f>
        <v>949.608837410739</v>
      </c>
      <c r="M393" s="0" t="n">
        <f aca="false">W_PH(M$2,$A393)</f>
        <v>949.609406385131</v>
      </c>
      <c r="N393" s="0" t="n">
        <f aca="false">W_PH(N$2,$A393)</f>
        <v>949.60997290214</v>
      </c>
      <c r="O393" s="0" t="n">
        <f aca="false">W_PH(O$2,$A393)</f>
        <v>949.610541878612</v>
      </c>
      <c r="P393" s="0" t="n">
        <f aca="false">W_PH(P$2,$A393)</f>
        <v>949.616224325465</v>
      </c>
      <c r="Q393" s="0" t="n">
        <f aca="false">W_PH(Q$2,$A393)</f>
        <v>949.621906877357</v>
      </c>
      <c r="R393" s="0" t="n">
        <f aca="false">W_PH(R$2,$A393)</f>
        <v>949.627588305951</v>
      </c>
      <c r="S393" s="0" t="n">
        <f aca="false">W_PH(S$2,$A393)</f>
        <v>949.633269841441</v>
      </c>
      <c r="T393" s="0" t="n">
        <f aca="false">W_PH(T$2,$A393)</f>
        <v>949.638952714122</v>
      </c>
      <c r="U393" s="0" t="n">
        <f aca="false">W_PH(U$2,$A393)</f>
        <v>949.644635695654</v>
      </c>
      <c r="V393" s="0" t="n">
        <f aca="false">W_PH(V$2,$A393)</f>
        <v>949.650317557599</v>
      </c>
      <c r="W393" s="0" t="n">
        <f aca="false">W_PH(W$2,$A393)</f>
        <v>949.655999530252</v>
      </c>
      <c r="X393" s="0" t="n">
        <f aca="false">W_PH(X$2,$A393)</f>
        <v>949.661682844008</v>
      </c>
      <c r="Y393" s="0" t="n">
        <f aca="false">W_PH(Y$2,$A393)</f>
        <v>949.718514957118</v>
      </c>
      <c r="Z393" s="0" t="n">
        <f aca="false">W_PH(Z$2,$A393)</f>
        <v>949.77535436658</v>
      </c>
      <c r="AA393" s="0" t="n">
        <f aca="false">W_PH(AA$2,$A393)</f>
        <v>949.832206942853</v>
      </c>
      <c r="AB393" s="0" t="n">
        <f aca="false">W_PH(AB$2,$A393)</f>
        <v>949.889068716671</v>
      </c>
      <c r="AC393" s="0" t="n">
        <f aca="false">W_PH(AC$2,$A393)</f>
        <v>949.945943098838</v>
      </c>
      <c r="AD393" s="0" t="n">
        <f aca="false">W_PH(AD$2,$A393)</f>
        <v>950.002831040131</v>
      </c>
      <c r="AE393" s="0" t="n">
        <f aca="false">W_PH(AE$2,$A393)</f>
        <v>950.059733491193</v>
      </c>
      <c r="AF393" s="0" t="n">
        <f aca="false">W_PH(AF$2,$A393)</f>
        <v>950.116648939608</v>
      </c>
      <c r="AG393" s="0" t="n">
        <f aca="false">W_PH(AG$2,$A393)</f>
        <v>950.173580797682</v>
      </c>
      <c r="AH393" s="0" t="n">
        <f aca="false">W_PH(AH$2,$A393)</f>
        <v>950.743971406998</v>
      </c>
      <c r="AI393" s="0" t="n">
        <f aca="false">W_PH(AI$2,$A393)</f>
        <v>951.316937229247</v>
      </c>
      <c r="AJ393" s="0" t="n">
        <f aca="false">W_PH(AJ$2,$A393)</f>
        <v>951.893387503187</v>
      </c>
      <c r="AK393" s="0" t="n">
        <f aca="false">W_PH(AK$2,$A393)</f>
        <v>952.474225026543</v>
      </c>
      <c r="AL393" s="0" t="n">
        <f aca="false">W_PH(AL$2,$A393)</f>
        <v>953.060356144851</v>
      </c>
      <c r="AM393" s="0" t="n">
        <f aca="false">W_PH(AM$2,$A393)</f>
        <v>953.652684668917</v>
      </c>
      <c r="AN393" s="0" t="n">
        <f aca="false">W_PH(AN$2,$A393)</f>
        <v>954.252113228383</v>
      </c>
      <c r="AO393" s="0" t="n">
        <f aca="false">W_PH(AO$2,$A393)</f>
        <v>954.859543404295</v>
      </c>
      <c r="AP393" s="0" t="n">
        <f aca="false">W_PH(AP$2,$A393)</f>
        <v>2015</v>
      </c>
      <c r="AQ393" s="0" t="n">
        <f aca="false">W_PH(AQ$2,$A393)</f>
        <v>2015</v>
      </c>
      <c r="AR393" s="0" t="n">
        <f aca="false">W_PH(AR$2,$A393)</f>
        <v>2015</v>
      </c>
      <c r="AS393" s="0" t="n">
        <f aca="false">W_PH(AS$2,$A393)</f>
        <v>2015</v>
      </c>
    </row>
    <row r="394" customFormat="false" ht="13.8" hidden="false" customHeight="false" outlineLevel="0" collapsed="false">
      <c r="A394" s="0" t="n">
        <v>5540</v>
      </c>
      <c r="B394" s="0" t="n">
        <f aca="false">W_PH(B$2,$A394)</f>
        <v>950.631682734408</v>
      </c>
      <c r="C394" s="0" t="n">
        <f aca="false">W_PH(C$2,$A394)</f>
        <v>950.631739841537</v>
      </c>
      <c r="D394" s="0" t="n">
        <f aca="false">W_PH(D$2,$A394)</f>
        <v>950.63179572078</v>
      </c>
      <c r="E394" s="0" t="n">
        <f aca="false">W_PH(E$2,$A394)</f>
        <v>950.631852827929</v>
      </c>
      <c r="F394" s="0" t="n">
        <f aca="false">W_PH(F$2,$A394)</f>
        <v>950.631908707193</v>
      </c>
      <c r="G394" s="0" t="n">
        <f aca="false">W_PH(G$2,$A394)</f>
        <v>950.632478551449</v>
      </c>
      <c r="H394" s="0" t="n">
        <f aca="false">W_PH(H$2,$A394)</f>
        <v>950.633048396727</v>
      </c>
      <c r="I394" s="0" t="n">
        <f aca="false">W_PH(I$2,$A394)</f>
        <v>950.633617015125</v>
      </c>
      <c r="J394" s="0" t="n">
        <f aca="false">W_PH(J$2,$A394)</f>
        <v>950.634185634541</v>
      </c>
      <c r="K394" s="0" t="n">
        <f aca="false">W_PH(K$2,$A394)</f>
        <v>950.634754254977</v>
      </c>
      <c r="L394" s="0" t="n">
        <f aca="false">W_PH(L$2,$A394)</f>
        <v>950.635324104345</v>
      </c>
      <c r="M394" s="0" t="n">
        <f aca="false">W_PH(M$2,$A394)</f>
        <v>950.63589395474</v>
      </c>
      <c r="N394" s="0" t="n">
        <f aca="false">W_PH(N$2,$A394)</f>
        <v>950.636462578247</v>
      </c>
      <c r="O394" s="0" t="n">
        <f aca="false">W_PH(O$2,$A394)</f>
        <v>950.637031202777</v>
      </c>
      <c r="P394" s="0" t="n">
        <f aca="false">W_PH(P$2,$A394)</f>
        <v>950.642722416359</v>
      </c>
      <c r="Q394" s="0" t="n">
        <f aca="false">W_PH(Q$2,$A394)</f>
        <v>950.648411277608</v>
      </c>
      <c r="R394" s="0" t="n">
        <f aca="false">W_PH(R$2,$A394)</f>
        <v>950.654102699296</v>
      </c>
      <c r="S394" s="0" t="n">
        <f aca="false">W_PH(S$2,$A394)</f>
        <v>950.659794226482</v>
      </c>
      <c r="T394" s="0" t="n">
        <f aca="false">W_PH(T$2,$A394)</f>
        <v>950.66548463207</v>
      </c>
      <c r="U394" s="0" t="n">
        <f aca="false">W_PH(U$2,$A394)</f>
        <v>950.671175145003</v>
      </c>
      <c r="V394" s="0" t="n">
        <f aca="false">W_PH(V$2,$A394)</f>
        <v>950.67686699432</v>
      </c>
      <c r="W394" s="0" t="n">
        <f aca="false">W_PH(W$2,$A394)</f>
        <v>950.682557724807</v>
      </c>
      <c r="X394" s="0" t="n">
        <f aca="false">W_PH(X$2,$A394)</f>
        <v>950.688248565481</v>
      </c>
      <c r="Y394" s="0" t="n">
        <f aca="false">W_PH(Y$2,$A394)</f>
        <v>950.745165697668</v>
      </c>
      <c r="Z394" s="0" t="n">
        <f aca="false">W_PH(Z$2,$A394)</f>
        <v>950.802091205627</v>
      </c>
      <c r="AA394" s="0" t="n">
        <f aca="false">W_PH(AA$2,$A394)</f>
        <v>950.859027263237</v>
      </c>
      <c r="AB394" s="0" t="n">
        <f aca="false">W_PH(AB$2,$A394)</f>
        <v>950.915974816103</v>
      </c>
      <c r="AC394" s="0" t="n">
        <f aca="false">W_PH(AC$2,$A394)</f>
        <v>950.972934809701</v>
      </c>
      <c r="AD394" s="0" t="n">
        <f aca="false">W_PH(AD$2,$A394)</f>
        <v>951.029906959738</v>
      </c>
      <c r="AE394" s="0" t="n">
        <f aca="false">W_PH(AE$2,$A394)</f>
        <v>951.086892210689</v>
      </c>
      <c r="AF394" s="0" t="n">
        <f aca="false">W_PH(AF$2,$A394)</f>
        <v>951.143892737044</v>
      </c>
      <c r="AG394" s="0" t="n">
        <f aca="false">W_PH(AG$2,$A394)</f>
        <v>951.200908253384</v>
      </c>
      <c r="AH394" s="0" t="n">
        <f aca="false">W_PH(AH$2,$A394)</f>
        <v>951.772131259393</v>
      </c>
      <c r="AI394" s="0" t="n">
        <f aca="false">W_PH(AI$2,$A394)</f>
        <v>952.345908431503</v>
      </c>
      <c r="AJ394" s="0" t="n">
        <f aca="false">W_PH(AJ$2,$A394)</f>
        <v>952.923144962916</v>
      </c>
      <c r="AK394" s="0" t="n">
        <f aca="false">W_PH(AK$2,$A394)</f>
        <v>953.504739657834</v>
      </c>
      <c r="AL394" s="0" t="n">
        <f aca="false">W_PH(AL$2,$A394)</f>
        <v>954.091592422465</v>
      </c>
      <c r="AM394" s="0" t="n">
        <f aca="false">W_PH(AM$2,$A394)</f>
        <v>954.68460189883</v>
      </c>
      <c r="AN394" s="0" t="n">
        <f aca="false">W_PH(AN$2,$A394)</f>
        <v>955.284668074063</v>
      </c>
      <c r="AO394" s="0" t="n">
        <f aca="false">W_PH(AO$2,$A394)</f>
        <v>955.892682439111</v>
      </c>
      <c r="AP394" s="0" t="n">
        <f aca="false">W_PH(AP$2,$A394)</f>
        <v>2015</v>
      </c>
      <c r="AQ394" s="0" t="n">
        <f aca="false">W_PH(AQ$2,$A394)</f>
        <v>2015</v>
      </c>
      <c r="AR394" s="0" t="n">
        <f aca="false">W_PH(AR$2,$A394)</f>
        <v>2015</v>
      </c>
      <c r="AS394" s="0" t="n">
        <f aca="false">W_PH(AS$2,$A394)</f>
        <v>2015</v>
      </c>
    </row>
    <row r="395" customFormat="false" ht="13.8" hidden="false" customHeight="false" outlineLevel="0" collapsed="false">
      <c r="A395" s="0" t="n">
        <v>5550</v>
      </c>
      <c r="B395" s="0" t="n">
        <f aca="false">W_PH(B$2,$A395)</f>
        <v>951.656362132693</v>
      </c>
      <c r="C395" s="0" t="n">
        <f aca="false">W_PH(C$2,$A395)</f>
        <v>951.656419447648</v>
      </c>
      <c r="D395" s="0" t="n">
        <f aca="false">W_PH(D$2,$A395)</f>
        <v>951.656476762613</v>
      </c>
      <c r="E395" s="0" t="n">
        <f aca="false">W_PH(E$2,$A395)</f>
        <v>951.656534077588</v>
      </c>
      <c r="F395" s="0" t="n">
        <f aca="false">W_PH(F$2,$A395)</f>
        <v>951.656591392573</v>
      </c>
      <c r="G395" s="0" t="n">
        <f aca="false">W_PH(G$2,$A395)</f>
        <v>951.657159636554</v>
      </c>
      <c r="H395" s="0" t="n">
        <f aca="false">W_PH(H$2,$A395)</f>
        <v>951.657730334753</v>
      </c>
      <c r="I395" s="0" t="n">
        <f aca="false">W_PH(I$2,$A395)</f>
        <v>951.65830103396</v>
      </c>
      <c r="J395" s="0" t="n">
        <f aca="false">W_PH(J$2,$A395)</f>
        <v>951.658869280947</v>
      </c>
      <c r="K395" s="0" t="n">
        <f aca="false">W_PH(K$2,$A395)</f>
        <v>951.65943998217</v>
      </c>
      <c r="L395" s="0" t="n">
        <f aca="false">W_PH(L$2,$A395)</f>
        <v>951.660010684405</v>
      </c>
      <c r="M395" s="0" t="n">
        <f aca="false">W_PH(M$2,$A395)</f>
        <v>951.660578934407</v>
      </c>
      <c r="N395" s="0" t="n">
        <f aca="false">W_PH(N$2,$A395)</f>
        <v>951.661149638663</v>
      </c>
      <c r="O395" s="0" t="n">
        <f aca="false">W_PH(O$2,$A395)</f>
        <v>951.661720343933</v>
      </c>
      <c r="P395" s="0" t="n">
        <f aca="false">W_PH(P$2,$A395)</f>
        <v>951.667417639421</v>
      </c>
      <c r="Q395" s="0" t="n">
        <f aca="false">W_PH(Q$2,$A395)</f>
        <v>951.67311749035</v>
      </c>
      <c r="R395" s="0" t="n">
        <f aca="false">W_PH(R$2,$A395)</f>
        <v>951.678817444409</v>
      </c>
      <c r="S395" s="0" t="n">
        <f aca="false">W_PH(S$2,$A395)</f>
        <v>951.684515049084</v>
      </c>
      <c r="T395" s="0" t="n">
        <f aca="false">W_PH(T$2,$A395)</f>
        <v>951.690215212176</v>
      </c>
      <c r="U395" s="0" t="n">
        <f aca="false">W_PH(U$2,$A395)</f>
        <v>951.695914254446</v>
      </c>
      <c r="V395" s="0" t="n">
        <f aca="false">W_PH(V$2,$A395)</f>
        <v>951.701613403564</v>
      </c>
      <c r="W395" s="0" t="n">
        <f aca="false">W_PH(W$2,$A395)</f>
        <v>951.707313887297</v>
      </c>
      <c r="X395" s="0" t="n">
        <f aca="false">W_PH(X$2,$A395)</f>
        <v>951.71301202611</v>
      </c>
      <c r="Y395" s="0" t="n">
        <f aca="false">W_PH(Y$2,$A395)</f>
        <v>951.770014324157</v>
      </c>
      <c r="Z395" s="0" t="n">
        <f aca="false">W_PH(Z$2,$A395)</f>
        <v>951.827023623098</v>
      </c>
      <c r="AA395" s="0" t="n">
        <f aca="false">W_PH(AA$2,$A395)</f>
        <v>951.884043316977</v>
      </c>
      <c r="AB395" s="0" t="n">
        <f aca="false">W_PH(AB$2,$A395)</f>
        <v>951.941074346016</v>
      </c>
      <c r="AC395" s="0" t="n">
        <f aca="false">W_PH(AC$2,$A395)</f>
        <v>951.998116422224</v>
      </c>
      <c r="AD395" s="0" t="n">
        <f aca="false">W_PH(AD$2,$A395)</f>
        <v>952.055171713165</v>
      </c>
      <c r="AE395" s="0" t="n">
        <f aca="false">W_PH(AE$2,$A395)</f>
        <v>952.11224115869</v>
      </c>
      <c r="AF395" s="0" t="n">
        <f aca="false">W_PH(AF$2,$A395)</f>
        <v>952.169325698524</v>
      </c>
      <c r="AG395" s="0" t="n">
        <f aca="false">W_PH(AG$2,$A395)</f>
        <v>952.226423814122</v>
      </c>
      <c r="AH395" s="0" t="n">
        <f aca="false">W_PH(AH$2,$A395)</f>
        <v>952.798465081646</v>
      </c>
      <c r="AI395" s="0" t="n">
        <f aca="false">W_PH(AI$2,$A395)</f>
        <v>953.373044713699</v>
      </c>
      <c r="AJ395" s="0" t="n">
        <f aca="false">W_PH(AJ$2,$A395)</f>
        <v>953.951056510395</v>
      </c>
      <c r="AK395" s="0" t="n">
        <f aca="false">W_PH(AK$2,$A395)</f>
        <v>954.533396547419</v>
      </c>
      <c r="AL395" s="0" t="n">
        <f aca="false">W_PH(AL$2,$A395)</f>
        <v>955.120959571333</v>
      </c>
      <c r="AM395" s="0" t="n">
        <f aca="false">W_PH(AM$2,$A395)</f>
        <v>955.714639097677</v>
      </c>
      <c r="AN395" s="0" t="n">
        <f aca="false">W_PH(AN$2,$A395)</f>
        <v>956.315330015647</v>
      </c>
      <c r="AO395" s="0" t="n">
        <f aca="false">W_PH(AO$2,$A395)</f>
        <v>956.923923747807</v>
      </c>
      <c r="AP395" s="0" t="n">
        <f aca="false">W_PH(AP$2,$A395)</f>
        <v>2015</v>
      </c>
      <c r="AQ395" s="0" t="n">
        <f aca="false">W_PH(AQ$2,$A395)</f>
        <v>2015</v>
      </c>
      <c r="AR395" s="0" t="n">
        <f aca="false">W_PH(AR$2,$A395)</f>
        <v>2015</v>
      </c>
      <c r="AS395" s="0" t="n">
        <f aca="false">W_PH(AS$2,$A395)</f>
        <v>2015</v>
      </c>
    </row>
    <row r="396" customFormat="false" ht="13.8" hidden="false" customHeight="false" outlineLevel="0" collapsed="false">
      <c r="A396" s="0" t="n">
        <v>5560</v>
      </c>
      <c r="B396" s="0" t="n">
        <f aca="false">W_PH(B$2,$A396)</f>
        <v>952.679252814047</v>
      </c>
      <c r="C396" s="0" t="n">
        <f aca="false">W_PH(C$2,$A396)</f>
        <v>952.679310334287</v>
      </c>
      <c r="D396" s="0" t="n">
        <f aca="false">W_PH(D$2,$A396)</f>
        <v>952.679366629218</v>
      </c>
      <c r="E396" s="0" t="n">
        <f aca="false">W_PH(E$2,$A396)</f>
        <v>952.679422924158</v>
      </c>
      <c r="F396" s="0" t="n">
        <f aca="false">W_PH(F$2,$A396)</f>
        <v>952.679480444427</v>
      </c>
      <c r="G396" s="0" t="n">
        <f aca="false">W_PH(G$2,$A396)</f>
        <v>952.680050746389</v>
      </c>
      <c r="H396" s="0" t="n">
        <f aca="false">W_PH(H$2,$A396)</f>
        <v>952.680622274665</v>
      </c>
      <c r="I396" s="0" t="n">
        <f aca="false">W_PH(I$2,$A396)</f>
        <v>952.681193803935</v>
      </c>
      <c r="J396" s="0" t="n">
        <f aca="false">W_PH(J$2,$A396)</f>
        <v>952.681764108872</v>
      </c>
      <c r="K396" s="0" t="n">
        <f aca="false">W_PH(K$2,$A396)</f>
        <v>952.6823344148</v>
      </c>
      <c r="L396" s="0" t="n">
        <f aca="false">W_PH(L$2,$A396)</f>
        <v>952.682904721721</v>
      </c>
      <c r="M396" s="0" t="n">
        <f aca="false">W_PH(M$2,$A396)</f>
        <v>952.683475029636</v>
      </c>
      <c r="N396" s="0" t="n">
        <f aca="false">W_PH(N$2,$A396)</f>
        <v>952.684046563885</v>
      </c>
      <c r="O396" s="0" t="n">
        <f aca="false">W_PH(O$2,$A396)</f>
        <v>952.684618099135</v>
      </c>
      <c r="P396" s="0" t="n">
        <f aca="false">W_PH(P$2,$A396)</f>
        <v>952.690323703934</v>
      </c>
      <c r="Q396" s="0" t="n">
        <f aca="false">W_PH(Q$2,$A396)</f>
        <v>952.696031860205</v>
      </c>
      <c r="R396" s="0" t="n">
        <f aca="false">W_PH(R$2,$A396)</f>
        <v>952.701740118201</v>
      </c>
      <c r="S396" s="0" t="n">
        <f aca="false">W_PH(S$2,$A396)</f>
        <v>952.707446027977</v>
      </c>
      <c r="T396" s="0" t="n">
        <f aca="false">W_PH(T$2,$A396)</f>
        <v>952.713154492184</v>
      </c>
      <c r="U396" s="0" t="n">
        <f aca="false">W_PH(U$2,$A396)</f>
        <v>952.718861835436</v>
      </c>
      <c r="V396" s="0" t="n">
        <f aca="false">W_PH(V$2,$A396)</f>
        <v>952.72456928411</v>
      </c>
      <c r="W396" s="0" t="n">
        <f aca="false">W_PH(W$2,$A396)</f>
        <v>952.730278064682</v>
      </c>
      <c r="X396" s="0" t="n">
        <f aca="false">W_PH(X$2,$A396)</f>
        <v>952.735984501473</v>
      </c>
      <c r="Y396" s="0" t="n">
        <f aca="false">W_PH(Y$2,$A396)</f>
        <v>952.793068457911</v>
      </c>
      <c r="Z396" s="0" t="n">
        <f aca="false">W_PH(Z$2,$A396)</f>
        <v>952.850161722573</v>
      </c>
      <c r="AA396" s="0" t="n">
        <f aca="false">W_PH(AA$2,$A396)</f>
        <v>952.907264004163</v>
      </c>
      <c r="AB396" s="0" t="n">
        <f aca="false">W_PH(AB$2,$A396)</f>
        <v>952.964376236829</v>
      </c>
      <c r="AC396" s="0" t="n">
        <f aca="false">W_PH(AC$2,$A396)</f>
        <v>953.021500581386</v>
      </c>
      <c r="AD396" s="0" t="n">
        <f aca="false">W_PH(AD$2,$A396)</f>
        <v>953.078639199505</v>
      </c>
      <c r="AE396" s="0" t="n">
        <f aca="false">W_PH(AE$2,$A396)</f>
        <v>953.135789344614</v>
      </c>
      <c r="AF396" s="0" t="n">
        <f aca="false">W_PH(AF$2,$A396)</f>
        <v>953.192955632208</v>
      </c>
      <c r="AG396" s="0" t="n">
        <f aca="false">W_PH(AG$2,$A396)</f>
        <v>953.250136541775</v>
      </c>
      <c r="AH396" s="0" t="n">
        <f aca="false">W_PH(AH$2,$A396)</f>
        <v>953.822987127908</v>
      </c>
      <c r="AI396" s="0" t="n">
        <f aca="false">W_PH(AI$2,$A396)</f>
        <v>954.398354427127</v>
      </c>
      <c r="AJ396" s="0" t="n">
        <f aca="false">W_PH(AJ$2,$A396)</f>
        <v>954.977129512693</v>
      </c>
      <c r="AK396" s="0" t="n">
        <f aca="false">W_PH(AK$2,$A396)</f>
        <v>955.560203309194</v>
      </c>
      <c r="AL396" s="0" t="n">
        <f aca="false">W_PH(AL$2,$A396)</f>
        <v>956.148467925275</v>
      </c>
      <c r="AM396" s="0" t="n">
        <f aca="false">W_PH(AM$2,$A396)</f>
        <v>956.742809321626</v>
      </c>
      <c r="AN396" s="0" t="n">
        <f aca="false">W_PH(AN$2,$A396)</f>
        <v>957.344114842305</v>
      </c>
      <c r="AO396" s="0" t="n">
        <f aca="false">W_PH(AO$2,$A396)</f>
        <v>957.953274610592</v>
      </c>
      <c r="AP396" s="0" t="n">
        <f aca="false">W_PH(AP$2,$A396)</f>
        <v>2015</v>
      </c>
      <c r="AQ396" s="0" t="n">
        <f aca="false">W_PH(AQ$2,$A396)</f>
        <v>2015</v>
      </c>
      <c r="AR396" s="0" t="n">
        <f aca="false">W_PH(AR$2,$A396)</f>
        <v>2015</v>
      </c>
      <c r="AS396" s="0" t="n">
        <f aca="false">W_PH(AS$2,$A396)</f>
        <v>2015</v>
      </c>
    </row>
    <row r="397" customFormat="false" ht="13.8" hidden="false" customHeight="false" outlineLevel="0" collapsed="false">
      <c r="A397" s="0" t="n">
        <v>5570</v>
      </c>
      <c r="B397" s="0" t="n">
        <f aca="false">W_PH(B$2,$A397)</f>
        <v>953.700363497257</v>
      </c>
      <c r="C397" s="0" t="n">
        <f aca="false">W_PH(C$2,$A397)</f>
        <v>953.700418772192</v>
      </c>
      <c r="D397" s="0" t="n">
        <f aca="false">W_PH(D$2,$A397)</f>
        <v>953.700476495219</v>
      </c>
      <c r="E397" s="0" t="n">
        <f aca="false">W_PH(E$2,$A397)</f>
        <v>953.700534218255</v>
      </c>
      <c r="F397" s="0" t="n">
        <f aca="false">W_PH(F$2,$A397)</f>
        <v>953.700591941301</v>
      </c>
      <c r="G397" s="0" t="n">
        <f aca="false">W_PH(G$2,$A397)</f>
        <v>953.70116182805</v>
      </c>
      <c r="H397" s="0" t="n">
        <f aca="false">W_PH(H$2,$A397)</f>
        <v>953.701734163862</v>
      </c>
      <c r="I397" s="0" t="n">
        <f aca="false">W_PH(I$2,$A397)</f>
        <v>953.702306500656</v>
      </c>
      <c r="J397" s="0" t="n">
        <f aca="false">W_PH(J$2,$A397)</f>
        <v>953.702876390329</v>
      </c>
      <c r="K397" s="0" t="n">
        <f aca="false">W_PH(K$2,$A397)</f>
        <v>953.703448729083</v>
      </c>
      <c r="L397" s="0" t="n">
        <f aca="false">W_PH(L$2,$A397)</f>
        <v>953.70402106882</v>
      </c>
      <c r="M397" s="0" t="n">
        <f aca="false">W_PH(M$2,$A397)</f>
        <v>953.704590961426</v>
      </c>
      <c r="N397" s="0" t="n">
        <f aca="false">W_PH(N$2,$A397)</f>
        <v>953.705163303129</v>
      </c>
      <c r="O397" s="0" t="n">
        <f aca="false">W_PH(O$2,$A397)</f>
        <v>953.705735645819</v>
      </c>
      <c r="P397" s="0" t="n">
        <f aca="false">W_PH(P$2,$A397)</f>
        <v>953.711449334498</v>
      </c>
      <c r="Q397" s="0" t="n">
        <f aca="false">W_PH(Q$2,$A397)</f>
        <v>953.71716557071</v>
      </c>
      <c r="R397" s="0" t="n">
        <f aca="false">W_PH(R$2,$A397)</f>
        <v>953.722881907262</v>
      </c>
      <c r="S397" s="0" t="n">
        <f aca="false">W_PH(S$2,$A397)</f>
        <v>953.728595896765</v>
      </c>
      <c r="T397" s="0" t="n">
        <f aca="false">W_PH(T$2,$A397)</f>
        <v>953.734312436741</v>
      </c>
      <c r="U397" s="0" t="n">
        <f aca="false">W_PH(U$2,$A397)</f>
        <v>953.740029079852</v>
      </c>
      <c r="V397" s="0" t="n">
        <f aca="false">W_PH(V$2,$A397)</f>
        <v>953.745743378562</v>
      </c>
      <c r="W397" s="0" t="n">
        <f aca="false">W_PH(W$2,$A397)</f>
        <v>953.751460230686</v>
      </c>
      <c r="X397" s="0" t="n">
        <f aca="false">W_PH(X$2,$A397)</f>
        <v>953.757177188737</v>
      </c>
      <c r="Y397" s="0" t="n">
        <f aca="false">W_PH(Y$2,$A397)</f>
        <v>953.814340554939</v>
      </c>
      <c r="Z397" s="0" t="n">
        <f aca="false">W_PH(Z$2,$A397)</f>
        <v>953.871515533482</v>
      </c>
      <c r="AA397" s="0" t="n">
        <f aca="false">W_PH(AA$2,$A397)</f>
        <v>953.928698155494</v>
      </c>
      <c r="AB397" s="0" t="n">
        <f aca="false">W_PH(AB$2,$A397)</f>
        <v>953.985891799611</v>
      </c>
      <c r="AC397" s="0" t="n">
        <f aca="false">W_PH(AC$2,$A397)</f>
        <v>954.043098620797</v>
      </c>
      <c r="AD397" s="0" t="n">
        <f aca="false">W_PH(AD$2,$A397)</f>
        <v>954.100317097664</v>
      </c>
      <c r="AE397" s="0" t="n">
        <f aca="false">W_PH(AE$2,$A397)</f>
        <v>954.157548158726</v>
      </c>
      <c r="AF397" s="0" t="n">
        <f aca="false">W_PH(AF$2,$A397)</f>
        <v>954.214795184813</v>
      </c>
      <c r="AG397" s="0" t="n">
        <f aca="false">W_PH(AG$2,$A397)</f>
        <v>954.27205665274</v>
      </c>
      <c r="AH397" s="0" t="n">
        <f aca="false">W_PH(AH$2,$A397)</f>
        <v>954.845704181672</v>
      </c>
      <c r="AI397" s="0" t="n">
        <f aca="false">W_PH(AI$2,$A397)</f>
        <v>955.421847079558</v>
      </c>
      <c r="AJ397" s="0" t="n">
        <f aca="false">W_PH(AJ$2,$A397)</f>
        <v>956.001376198118</v>
      </c>
      <c r="AK397" s="0" t="n">
        <f aca="false">W_PH(AK$2,$A397)</f>
        <v>956.585174895613</v>
      </c>
      <c r="AL397" s="0" t="n">
        <f aca="false">W_PH(AL$2,$A397)</f>
        <v>957.174127726102</v>
      </c>
      <c r="AM397" s="0" t="n">
        <f aca="false">W_PH(AM$2,$A397)</f>
        <v>957.769118076972</v>
      </c>
      <c r="AN397" s="0" t="n">
        <f aca="false">W_PH(AN$2,$A397)</f>
        <v>958.371033249647</v>
      </c>
      <c r="AO397" s="0" t="n">
        <f aca="false">W_PH(AO$2,$A397)</f>
        <v>958.980749691051</v>
      </c>
      <c r="AP397" s="0" t="n">
        <f aca="false">W_PH(AP$2,$A397)</f>
        <v>2015</v>
      </c>
      <c r="AQ397" s="0" t="n">
        <f aca="false">W_PH(AQ$2,$A397)</f>
        <v>2015</v>
      </c>
      <c r="AR397" s="0" t="n">
        <f aca="false">W_PH(AR$2,$A397)</f>
        <v>2015</v>
      </c>
      <c r="AS397" s="0" t="n">
        <f aca="false">W_PH(AS$2,$A397)</f>
        <v>2015</v>
      </c>
    </row>
    <row r="398" customFormat="false" ht="13.8" hidden="false" customHeight="false" outlineLevel="0" collapsed="false">
      <c r="A398" s="0" t="n">
        <v>5580</v>
      </c>
      <c r="B398" s="0" t="n">
        <f aca="false">W_PH(B$2,$A398)</f>
        <v>954.71970283432</v>
      </c>
      <c r="C398" s="0" t="n">
        <f aca="false">W_PH(C$2,$A398)</f>
        <v>954.719758312102</v>
      </c>
      <c r="D398" s="0" t="n">
        <f aca="false">W_PH(D$2,$A398)</f>
        <v>954.719816235427</v>
      </c>
      <c r="E398" s="0" t="n">
        <f aca="false">W_PH(E$2,$A398)</f>
        <v>954.719874158762</v>
      </c>
      <c r="F398" s="0" t="n">
        <f aca="false">W_PH(F$2,$A398)</f>
        <v>954.719930859339</v>
      </c>
      <c r="G398" s="0" t="n">
        <f aca="false">W_PH(G$2,$A398)</f>
        <v>954.72050397948</v>
      </c>
      <c r="H398" s="0" t="n">
        <f aca="false">W_PH(H$2,$A398)</f>
        <v>954.721075877816</v>
      </c>
      <c r="I398" s="0" t="n">
        <f aca="false">W_PH(I$2,$A398)</f>
        <v>954.721647777114</v>
      </c>
      <c r="J398" s="0" t="n">
        <f aca="false">W_PH(J$2,$A398)</f>
        <v>954.722219677377</v>
      </c>
      <c r="K398" s="0" t="n">
        <f aca="false">W_PH(K$2,$A398)</f>
        <v>954.722792801383</v>
      </c>
      <c r="L398" s="0" t="n">
        <f aca="false">W_PH(L$2,$A398)</f>
        <v>954.72336592636</v>
      </c>
      <c r="M398" s="0" t="n">
        <f aca="false">W_PH(M$2,$A398)</f>
        <v>954.723937829523</v>
      </c>
      <c r="N398" s="0" t="n">
        <f aca="false">W_PH(N$2,$A398)</f>
        <v>954.724509733654</v>
      </c>
      <c r="O398" s="0" t="n">
        <f aca="false">W_PH(O$2,$A398)</f>
        <v>954.725081638754</v>
      </c>
      <c r="P398" s="0" t="n">
        <f aca="false">W_PH(P$2,$A398)</f>
        <v>954.730805634464</v>
      </c>
      <c r="Q398" s="0" t="n">
        <f aca="false">W_PH(Q$2,$A398)</f>
        <v>954.736529728221</v>
      </c>
      <c r="R398" s="0" t="n">
        <f aca="false">W_PH(R$2,$A398)</f>
        <v>954.74225269809</v>
      </c>
      <c r="S398" s="0" t="n">
        <f aca="false">W_PH(S$2,$A398)</f>
        <v>954.74797576781</v>
      </c>
      <c r="T398" s="0" t="n">
        <f aca="false">W_PH(T$2,$A398)</f>
        <v>954.753700161216</v>
      </c>
      <c r="U398" s="0" t="n">
        <f aca="false">W_PH(U$2,$A398)</f>
        <v>954.759424656373</v>
      </c>
      <c r="V398" s="0" t="n">
        <f aca="false">W_PH(V$2,$A398)</f>
        <v>954.765146808294</v>
      </c>
      <c r="W398" s="0" t="n">
        <f aca="false">W_PH(W$2,$A398)</f>
        <v>954.770871509684</v>
      </c>
      <c r="X398" s="0" t="n">
        <f aca="false">W_PH(X$2,$A398)</f>
        <v>954.776596315604</v>
      </c>
      <c r="Y398" s="0" t="n">
        <f aca="false">W_PH(Y$2,$A398)</f>
        <v>954.833840541698</v>
      </c>
      <c r="Z398" s="0" t="n">
        <f aca="false">W_PH(Z$2,$A398)</f>
        <v>954.891093788547</v>
      </c>
      <c r="AA398" s="0" t="n">
        <f aca="false">W_PH(AA$2,$A398)</f>
        <v>954.948358204329</v>
      </c>
      <c r="AB398" s="0" t="n">
        <f aca="false">W_PH(AB$2,$A398)</f>
        <v>955.005633490141</v>
      </c>
      <c r="AC398" s="0" t="n">
        <f aca="false">W_PH(AC$2,$A398)</f>
        <v>955.062919346008</v>
      </c>
      <c r="AD398" s="0" t="n">
        <f aca="false">W_PH(AD$2,$A398)</f>
        <v>955.120216695325</v>
      </c>
      <c r="AE398" s="0" t="n">
        <f aca="false">W_PH(AE$2,$A398)</f>
        <v>955.177527686056</v>
      </c>
      <c r="AF398" s="0" t="n">
        <f aca="false">W_PH(AF$2,$A398)</f>
        <v>955.234854467008</v>
      </c>
      <c r="AG398" s="0" t="n">
        <f aca="false">W_PH(AG$2,$A398)</f>
        <v>955.292194287199</v>
      </c>
      <c r="AH398" s="0" t="n">
        <f aca="false">W_PH(AH$2,$A398)</f>
        <v>955.866626644604</v>
      </c>
      <c r="AI398" s="0" t="n">
        <f aca="false">W_PH(AI$2,$A398)</f>
        <v>956.443537019146</v>
      </c>
      <c r="AJ398" s="0" t="n">
        <f aca="false">W_PH(AJ$2,$A398)</f>
        <v>957.023806236388</v>
      </c>
      <c r="AK398" s="0" t="n">
        <f aca="false">W_PH(AK$2,$A398)</f>
        <v>957.608318742644</v>
      </c>
      <c r="AL398" s="0" t="n">
        <f aca="false">W_PH(AL$2,$A398)</f>
        <v>958.197950361644</v>
      </c>
      <c r="AM398" s="0" t="n">
        <f aca="false">W_PH(AM$2,$A398)</f>
        <v>958.793583188441</v>
      </c>
      <c r="AN398" s="0" t="n">
        <f aca="false">W_PH(AN$2,$A398)</f>
        <v>959.396093353174</v>
      </c>
      <c r="AO398" s="0" t="n">
        <f aca="false">W_PH(AO$2,$A398)</f>
        <v>960.006358560494</v>
      </c>
      <c r="AP398" s="0" t="n">
        <f aca="false">W_PH(AP$2,$A398)</f>
        <v>2015</v>
      </c>
      <c r="AQ398" s="0" t="n">
        <f aca="false">W_PH(AQ$2,$A398)</f>
        <v>2015</v>
      </c>
      <c r="AR398" s="0" t="n">
        <f aca="false">W_PH(AR$2,$A398)</f>
        <v>2015</v>
      </c>
      <c r="AS398" s="0" t="n">
        <f aca="false">W_PH(AS$2,$A398)</f>
        <v>2015</v>
      </c>
    </row>
    <row r="399" customFormat="false" ht="13.8" hidden="false" customHeight="false" outlineLevel="0" collapsed="false">
      <c r="A399" s="0" t="n">
        <v>5590</v>
      </c>
      <c r="B399" s="0" t="n">
        <f aca="false">W_PH(B$2,$A399)</f>
        <v>955.737281854277</v>
      </c>
      <c r="C399" s="0" t="n">
        <f aca="false">W_PH(C$2,$A399)</f>
        <v>955.737337532447</v>
      </c>
      <c r="D399" s="0" t="n">
        <f aca="false">W_PH(D$2,$A399)</f>
        <v>955.737395653625</v>
      </c>
      <c r="E399" s="0" t="n">
        <f aca="false">W_PH(E$2,$A399)</f>
        <v>955.737453774813</v>
      </c>
      <c r="F399" s="0" t="n">
        <f aca="false">W_PH(F$2,$A399)</f>
        <v>955.737509453011</v>
      </c>
      <c r="G399" s="0" t="n">
        <f aca="false">W_PH(G$2,$A399)</f>
        <v>955.738083336507</v>
      </c>
      <c r="H399" s="0" t="n">
        <f aca="false">W_PH(H$2,$A399)</f>
        <v>955.738657220957</v>
      </c>
      <c r="I399" s="0" t="n">
        <f aca="false">W_PH(I$2,$A399)</f>
        <v>955.739229884854</v>
      </c>
      <c r="J399" s="0" t="n">
        <f aca="false">W_PH(J$2,$A399)</f>
        <v>955.739802549702</v>
      </c>
      <c r="K399" s="0" t="n">
        <f aca="false">W_PH(K$2,$A399)</f>
        <v>955.740376437012</v>
      </c>
      <c r="L399" s="0" t="n">
        <f aca="false">W_PH(L$2,$A399)</f>
        <v>955.740949103766</v>
      </c>
      <c r="M399" s="0" t="n">
        <f aca="false">W_PH(M$2,$A399)</f>
        <v>955.741521771473</v>
      </c>
      <c r="N399" s="0" t="n">
        <f aca="false">W_PH(N$2,$A399)</f>
        <v>955.742095661652</v>
      </c>
      <c r="O399" s="0" t="n">
        <f aca="false">W_PH(O$2,$A399)</f>
        <v>955.742669552791</v>
      </c>
      <c r="P399" s="0" t="n">
        <f aca="false">W_PH(P$2,$A399)</f>
        <v>955.748399966359</v>
      </c>
      <c r="Q399" s="0" t="n">
        <f aca="false">W_PH(Q$2,$A399)</f>
        <v>955.754130476583</v>
      </c>
      <c r="R399" s="0" t="n">
        <f aca="false">W_PH(R$2,$A399)</f>
        <v>955.759862305976</v>
      </c>
      <c r="S399" s="0" t="n">
        <f aca="false">W_PH(S$2,$A399)</f>
        <v>955.765594233914</v>
      </c>
      <c r="T399" s="0" t="n">
        <f aca="false">W_PH(T$2,$A399)</f>
        <v>955.771326261318</v>
      </c>
      <c r="U399" s="0" t="n">
        <f aca="false">W_PH(U$2,$A399)</f>
        <v>955.77705838911</v>
      </c>
      <c r="V399" s="0" t="n">
        <f aca="false">W_PH(V$2,$A399)</f>
        <v>955.782790618209</v>
      </c>
      <c r="W399" s="0" t="n">
        <f aca="false">W_PH(W$2,$A399)</f>
        <v>955.788521727827</v>
      </c>
      <c r="X399" s="0" t="n">
        <f aca="false">W_PH(X$2,$A399)</f>
        <v>955.794252940547</v>
      </c>
      <c r="Y399" s="0" t="n">
        <f aca="false">W_PH(Y$2,$A399)</f>
        <v>955.85157827278</v>
      </c>
      <c r="Z399" s="0" t="n">
        <f aca="false">W_PH(Z$2,$A399)</f>
        <v>955.908910042109</v>
      </c>
      <c r="AA399" s="0" t="n">
        <f aca="false">W_PH(AA$2,$A399)</f>
        <v>955.966254056142</v>
      </c>
      <c r="AB399" s="0" t="n">
        <f aca="false">W_PH(AB$2,$A399)</f>
        <v>956.023606344711</v>
      </c>
      <c r="AC399" s="0" t="n">
        <f aca="false">W_PH(AC$2,$A399)</f>
        <v>956.080970271259</v>
      </c>
      <c r="AD399" s="0" t="n">
        <f aca="false">W_PH(AD$2,$A399)</f>
        <v>956.138347977859</v>
      </c>
      <c r="AE399" s="0" t="n">
        <f aca="false">W_PH(AE$2,$A399)</f>
        <v>956.195737937244</v>
      </c>
      <c r="AF399" s="0" t="n">
        <f aca="false">W_PH(AF$2,$A399)</f>
        <v>956.25314229103</v>
      </c>
      <c r="AG399" s="0" t="n">
        <f aca="false">W_PH(AG$2,$A399)</f>
        <v>956.310560733941</v>
      </c>
      <c r="AH399" s="0" t="n">
        <f aca="false">W_PH(AH$2,$A399)</f>
        <v>956.885767291385</v>
      </c>
      <c r="AI399" s="0" t="n">
        <f aca="false">W_PH(AI$2,$A399)</f>
        <v>957.463431123144</v>
      </c>
      <c r="AJ399" s="0" t="n">
        <f aca="false">W_PH(AJ$2,$A399)</f>
        <v>958.044431676967</v>
      </c>
      <c r="AK399" s="0" t="n">
        <f aca="false">W_PH(AK$2,$A399)</f>
        <v>958.629647144173</v>
      </c>
      <c r="AL399" s="0" t="n">
        <f aca="false">W_PH(AL$2,$A399)</f>
        <v>959.21994712457</v>
      </c>
      <c r="AM399" s="0" t="n">
        <f aca="false">W_PH(AM$2,$A399)</f>
        <v>959.816209977815</v>
      </c>
      <c r="AN399" s="0" t="n">
        <f aca="false">W_PH(AN$2,$A399)</f>
        <v>960.419308142133</v>
      </c>
      <c r="AO399" s="0" t="n">
        <f aca="false">W_PH(AO$2,$A399)</f>
        <v>961.03011317966</v>
      </c>
      <c r="AP399" s="0" t="n">
        <f aca="false">W_PH(AP$2,$A399)</f>
        <v>2015</v>
      </c>
      <c r="AQ399" s="0" t="n">
        <f aca="false">W_PH(AQ$2,$A399)</f>
        <v>2015</v>
      </c>
      <c r="AR399" s="0" t="n">
        <f aca="false">W_PH(AR$2,$A399)</f>
        <v>2015</v>
      </c>
      <c r="AS399" s="0" t="n">
        <f aca="false">W_PH(AS$2,$A399)</f>
        <v>2015</v>
      </c>
    </row>
    <row r="400" customFormat="false" ht="13.8" hidden="false" customHeight="false" outlineLevel="0" collapsed="false">
      <c r="A400" s="0" t="n">
        <v>5600</v>
      </c>
      <c r="B400" s="0" t="n">
        <f aca="false">W_PH(B$2,$A400)</f>
        <v>956.753109070453</v>
      </c>
      <c r="C400" s="0" t="n">
        <f aca="false">W_PH(C$2,$A400)</f>
        <v>956.753167387058</v>
      </c>
      <c r="D400" s="0" t="n">
        <f aca="false">W_PH(D$2,$A400)</f>
        <v>956.753224483436</v>
      </c>
      <c r="E400" s="0" t="n">
        <f aca="false">W_PH(E$2,$A400)</f>
        <v>956.753281579824</v>
      </c>
      <c r="F400" s="0" t="n">
        <f aca="false">W_PH(F$2,$A400)</f>
        <v>956.753339896457</v>
      </c>
      <c r="G400" s="0" t="n">
        <f aca="false">W_PH(G$2,$A400)</f>
        <v>956.753913301414</v>
      </c>
      <c r="H400" s="0" t="n">
        <f aca="false">W_PH(H$2,$A400)</f>
        <v>956.754486707306</v>
      </c>
      <c r="I400" s="0" t="n">
        <f aca="false">W_PH(I$2,$A400)</f>
        <v>956.755060114134</v>
      </c>
      <c r="J400" s="0" t="n">
        <f aca="false">W_PH(J$2,$A400)</f>
        <v>956.755634742146</v>
      </c>
      <c r="K400" s="0" t="n">
        <f aca="false">W_PH(K$2,$A400)</f>
        <v>956.756209371101</v>
      </c>
      <c r="L400" s="0" t="n">
        <f aca="false">W_PH(L$2,$A400)</f>
        <v>956.756782780748</v>
      </c>
      <c r="M400" s="0" t="n">
        <f aca="false">W_PH(M$2,$A400)</f>
        <v>956.757356191336</v>
      </c>
      <c r="N400" s="0" t="n">
        <f aca="false">W_PH(N$2,$A400)</f>
        <v>956.757929602864</v>
      </c>
      <c r="O400" s="0" t="n">
        <f aca="false">W_PH(O$2,$A400)</f>
        <v>956.758505455851</v>
      </c>
      <c r="P400" s="0" t="n">
        <f aca="false">W_PH(P$2,$A400)</f>
        <v>956.764244513729</v>
      </c>
      <c r="Q400" s="0" t="n">
        <f aca="false">W_PH(Q$2,$A400)</f>
        <v>956.769983666985</v>
      </c>
      <c r="R400" s="0" t="n">
        <f aca="false">W_PH(R$2,$A400)</f>
        <v>956.775722916535</v>
      </c>
      <c r="S400" s="0" t="n">
        <f aca="false">W_PH(S$2,$A400)</f>
        <v>956.781462263295</v>
      </c>
      <c r="T400" s="0" t="n">
        <f aca="false">W_PH(T$2,$A400)</f>
        <v>956.78720170818</v>
      </c>
      <c r="U400" s="0" t="n">
        <f aca="false">W_PH(U$2,$A400)</f>
        <v>956.792941252106</v>
      </c>
      <c r="V400" s="0" t="n">
        <f aca="false">W_PH(V$2,$A400)</f>
        <v>956.798680895989</v>
      </c>
      <c r="W400" s="0" t="n">
        <f aca="false">W_PH(W$2,$A400)</f>
        <v>956.804420640744</v>
      </c>
      <c r="X400" s="0" t="n">
        <f aca="false">W_PH(X$2,$A400)</f>
        <v>956.810160487287</v>
      </c>
      <c r="Y400" s="0" t="n">
        <f aca="false">W_PH(Y$2,$A400)</f>
        <v>956.867562311098</v>
      </c>
      <c r="Z400" s="0" t="n">
        <f aca="false">W_PH(Z$2,$A400)</f>
        <v>956.924972878063</v>
      </c>
      <c r="AA400" s="0" t="n">
        <f aca="false">W_PH(AA$2,$A400)</f>
        <v>956.982393102268</v>
      </c>
      <c r="AB400" s="0" t="n">
        <f aca="false">W_PH(AB$2,$A400)</f>
        <v>957.039823897692</v>
      </c>
      <c r="AC400" s="0" t="n">
        <f aca="false">W_PH(AC$2,$A400)</f>
        <v>957.097266178209</v>
      </c>
      <c r="AD400" s="0" t="n">
        <f aca="false">W_PH(AD$2,$A400)</f>
        <v>957.154720857581</v>
      </c>
      <c r="AE400" s="0" t="n">
        <f aca="false">W_PH(AE$2,$A400)</f>
        <v>957.212188849467</v>
      </c>
      <c r="AF400" s="0" t="n">
        <f aca="false">W_PH(AF$2,$A400)</f>
        <v>957.269668622733</v>
      </c>
      <c r="AG400" s="0" t="n">
        <f aca="false">W_PH(AG$2,$A400)</f>
        <v>957.327165979725</v>
      </c>
      <c r="AH400" s="0" t="n">
        <f aca="false">W_PH(AH$2,$A400)</f>
        <v>957.903133908192</v>
      </c>
      <c r="AI400" s="0" t="n">
        <f aca="false">W_PH(AI$2,$A400)</f>
        <v>958.481541111402</v>
      </c>
      <c r="AJ400" s="0" t="n">
        <f aca="false">W_PH(AJ$2,$A400)</f>
        <v>959.063263248084</v>
      </c>
      <c r="AK400" s="0" t="n">
        <f aca="false">W_PH(AK$2,$A400)</f>
        <v>959.649168603235</v>
      </c>
      <c r="AL400" s="0" t="n">
        <f aca="false">W_PH(AL$2,$A400)</f>
        <v>960.240129213692</v>
      </c>
      <c r="AM400" s="0" t="n">
        <f aca="false">W_PH(AM$2,$A400)</f>
        <v>960.83701111467</v>
      </c>
      <c r="AN400" s="0" t="n">
        <f aca="false">W_PH(AN$2,$A400)</f>
        <v>961.440688022481</v>
      </c>
      <c r="AO400" s="0" t="n">
        <f aca="false">W_PH(AO$2,$A400)</f>
        <v>962.052024164576</v>
      </c>
      <c r="AP400" s="0" t="n">
        <f aca="false">W_PH(AP$2,$A400)</f>
        <v>2015</v>
      </c>
      <c r="AQ400" s="0" t="n">
        <f aca="false">W_PH(AQ$2,$A400)</f>
        <v>2015</v>
      </c>
      <c r="AR400" s="0" t="n">
        <f aca="false">W_PH(AR$2,$A400)</f>
        <v>2015</v>
      </c>
      <c r="AS400" s="0" t="n">
        <f aca="false">W_PH(AS$2,$A400)</f>
        <v>2015</v>
      </c>
    </row>
    <row r="401" customFormat="false" ht="13.8" hidden="false" customHeight="false" outlineLevel="0" collapsed="false">
      <c r="A401" s="0" t="n">
        <v>5610</v>
      </c>
      <c r="B401" s="0" t="n">
        <f aca="false">W_PH(B$2,$A401)</f>
        <v>957.76719780782</v>
      </c>
      <c r="C401" s="0" t="n">
        <f aca="false">W_PH(C$2,$A401)</f>
        <v>957.767255098497</v>
      </c>
      <c r="D401" s="0" t="n">
        <f aca="false">W_PH(D$2,$A401)</f>
        <v>957.767312389183</v>
      </c>
      <c r="E401" s="0" t="n">
        <f aca="false">W_PH(E$2,$A401)</f>
        <v>957.767369679879</v>
      </c>
      <c r="F401" s="0" t="n">
        <f aca="false">W_PH(F$2,$A401)</f>
        <v>957.767426970583</v>
      </c>
      <c r="G401" s="0" t="n">
        <f aca="false">W_PH(G$2,$A401)</f>
        <v>957.768002316099</v>
      </c>
      <c r="H401" s="0" t="n">
        <f aca="false">W_PH(H$2,$A401)</f>
        <v>957.768577662541</v>
      </c>
      <c r="I401" s="0" t="n">
        <f aca="false">W_PH(I$2,$A401)</f>
        <v>957.769150571937</v>
      </c>
      <c r="J401" s="0" t="n">
        <f aca="false">W_PH(J$2,$A401)</f>
        <v>957.769725920232</v>
      </c>
      <c r="K401" s="0" t="n">
        <f aca="false">W_PH(K$2,$A401)</f>
        <v>957.770301269456</v>
      </c>
      <c r="L401" s="0" t="n">
        <f aca="false">W_PH(L$2,$A401)</f>
        <v>957.770875400617</v>
      </c>
      <c r="M401" s="0" t="n">
        <f aca="false">W_PH(M$2,$A401)</f>
        <v>957.771449532705</v>
      </c>
      <c r="N401" s="0" t="n">
        <f aca="false">W_PH(N$2,$A401)</f>
        <v>957.77202488472</v>
      </c>
      <c r="O401" s="0" t="n">
        <f aca="false">W_PH(O$2,$A401)</f>
        <v>957.772600237668</v>
      </c>
      <c r="P401" s="0" t="n">
        <f aca="false">W_PH(P$2,$A401)</f>
        <v>957.778346504546</v>
      </c>
      <c r="Q401" s="0" t="n">
        <f aca="false">W_PH(Q$2,$A401)</f>
        <v>957.784092865495</v>
      </c>
      <c r="R401" s="0" t="n">
        <f aca="false">W_PH(R$2,$A401)</f>
        <v>957.789840540495</v>
      </c>
      <c r="S401" s="0" t="n">
        <f aca="false">W_PH(S$2,$A401)</f>
        <v>957.795588311434</v>
      </c>
      <c r="T401" s="0" t="n">
        <f aca="false">W_PH(T$2,$A401)</f>
        <v>957.801334960104</v>
      </c>
      <c r="U401" s="0" t="n">
        <f aca="false">W_PH(U$2,$A401)</f>
        <v>957.807081706487</v>
      </c>
      <c r="V401" s="0" t="n">
        <f aca="false">W_PH(V$2,$A401)</f>
        <v>957.812828551493</v>
      </c>
      <c r="W401" s="0" t="n">
        <f aca="false">W_PH(W$2,$A401)</f>
        <v>957.81857671522</v>
      </c>
      <c r="X401" s="0" t="n">
        <f aca="false">W_PH(X$2,$A401)</f>
        <v>957.824324979438</v>
      </c>
      <c r="Y401" s="0" t="n">
        <f aca="false">W_PH(Y$2,$A401)</f>
        <v>957.881803593393</v>
      </c>
      <c r="Z401" s="0" t="n">
        <f aca="false">W_PH(Z$2,$A401)</f>
        <v>957.939290814887</v>
      </c>
      <c r="AA401" s="0" t="n">
        <f aca="false">W_PH(AA$2,$A401)</f>
        <v>957.99678755289</v>
      </c>
      <c r="AB401" s="0" t="n">
        <f aca="false">W_PH(AB$2,$A401)</f>
        <v>958.054294716264</v>
      </c>
      <c r="AC401" s="0" t="n">
        <f aca="false">W_PH(AC$2,$A401)</f>
        <v>958.111813213771</v>
      </c>
      <c r="AD401" s="0" t="n">
        <f aca="false">W_PH(AD$2,$A401)</f>
        <v>958.169343954065</v>
      </c>
      <c r="AE401" s="0" t="n">
        <f aca="false">W_PH(AE$2,$A401)</f>
        <v>958.226887845698</v>
      </c>
      <c r="AF401" s="0" t="n">
        <f aca="false">W_PH(AF$2,$A401)</f>
        <v>958.284445797119</v>
      </c>
      <c r="AG401" s="0" t="n">
        <f aca="false">W_PH(AG$2,$A401)</f>
        <v>958.342018716672</v>
      </c>
      <c r="AH401" s="0" t="n">
        <f aca="false">W_PH(AH$2,$A401)</f>
        <v>958.918736661534</v>
      </c>
      <c r="AI401" s="0" t="n">
        <f aca="false">W_PH(AI$2,$A401)</f>
        <v>959.497878617101</v>
      </c>
      <c r="AJ401" s="0" t="n">
        <f aca="false">W_PH(AJ$2,$A401)</f>
        <v>960.080309136612</v>
      </c>
      <c r="AK401" s="0" t="n">
        <f aca="false">W_PH(AK$2,$A401)</f>
        <v>960.666896466368</v>
      </c>
      <c r="AL401" s="0" t="n">
        <f aca="false">W_PH(AL$2,$A401)</f>
        <v>961.25850403771</v>
      </c>
      <c r="AM401" s="0" t="n">
        <f aca="false">W_PH(AM$2,$A401)</f>
        <v>961.855999166607</v>
      </c>
      <c r="AN401" s="0" t="n">
        <f aca="false">W_PH(AN$2,$A401)</f>
        <v>962.460243306335</v>
      </c>
      <c r="AO401" s="0" t="n">
        <f aca="false">W_PH(AO$2,$A401)</f>
        <v>963.072103272882</v>
      </c>
      <c r="AP401" s="0" t="n">
        <f aca="false">W_PH(AP$2,$A401)</f>
        <v>2015</v>
      </c>
      <c r="AQ401" s="0" t="n">
        <f aca="false">W_PH(AQ$2,$A401)</f>
        <v>2015</v>
      </c>
      <c r="AR401" s="0" t="n">
        <f aca="false">W_PH(AR$2,$A401)</f>
        <v>2015</v>
      </c>
      <c r="AS401" s="0" t="n">
        <f aca="false">W_PH(AS$2,$A401)</f>
        <v>2015</v>
      </c>
    </row>
    <row r="402" customFormat="false" ht="13.8" hidden="false" customHeight="false" outlineLevel="0" collapsed="false">
      <c r="A402" s="0" t="n">
        <v>5620</v>
      </c>
      <c r="B402" s="0" t="n">
        <f aca="false">W_PH(B$2,$A402)</f>
        <v>958.779554001474</v>
      </c>
      <c r="C402" s="0" t="n">
        <f aca="false">W_PH(C$2,$A402)</f>
        <v>958.779611484098</v>
      </c>
      <c r="D402" s="0" t="n">
        <f aca="false">W_PH(D$2,$A402)</f>
        <v>958.779668966731</v>
      </c>
      <c r="E402" s="0" t="n">
        <f aca="false">W_PH(E$2,$A402)</f>
        <v>958.779727667101</v>
      </c>
      <c r="F402" s="0" t="n">
        <f aca="false">W_PH(F$2,$A402)</f>
        <v>958.779783932024</v>
      </c>
      <c r="G402" s="0" t="n">
        <f aca="false">W_PH(G$2,$A402)</f>
        <v>958.780358759035</v>
      </c>
      <c r="H402" s="0" t="n">
        <f aca="false">W_PH(H$2,$A402)</f>
        <v>958.780936022421</v>
      </c>
      <c r="I402" s="0" t="n">
        <f aca="false">W_PH(I$2,$A402)</f>
        <v>958.781510851257</v>
      </c>
      <c r="J402" s="0" t="n">
        <f aca="false">W_PH(J$2,$A402)</f>
        <v>958.782085681004</v>
      </c>
      <c r="K402" s="0" t="n">
        <f aca="false">W_PH(K$2,$A402)</f>
        <v>958.782660511663</v>
      </c>
      <c r="L402" s="0" t="n">
        <f aca="false">W_PH(L$2,$A402)</f>
        <v>958.78323777872</v>
      </c>
      <c r="M402" s="0" t="n">
        <f aca="false">W_PH(M$2,$A402)</f>
        <v>958.783812611212</v>
      </c>
      <c r="N402" s="0" t="n">
        <f aca="false">W_PH(N$2,$A402)</f>
        <v>958.784387444619</v>
      </c>
      <c r="O402" s="0" t="n">
        <f aca="false">W_PH(O$2,$A402)</f>
        <v>958.784962278941</v>
      </c>
      <c r="P402" s="0" t="n">
        <f aca="false">W_PH(P$2,$A402)</f>
        <v>958.790717979379</v>
      </c>
      <c r="Q402" s="0" t="n">
        <f aca="false">W_PH(Q$2,$A402)</f>
        <v>958.7964713371</v>
      </c>
      <c r="R402" s="0" t="n">
        <f aca="false">W_PH(R$2,$A402)</f>
        <v>958.802227224142</v>
      </c>
      <c r="S402" s="0" t="n">
        <f aca="false">W_PH(S$2,$A402)</f>
        <v>958.807980770185</v>
      </c>
      <c r="T402" s="0" t="n">
        <f aca="false">W_PH(T$2,$A402)</f>
        <v>958.813736847453</v>
      </c>
      <c r="U402" s="0" t="n">
        <f aca="false">W_PH(U$2,$A402)</f>
        <v>958.819490585442</v>
      </c>
      <c r="V402" s="0" t="n">
        <f aca="false">W_PH(V$2,$A402)</f>
        <v>958.825246856558</v>
      </c>
      <c r="W402" s="0" t="n">
        <f aca="false">W_PH(W$2,$A402)</f>
        <v>958.831000790113</v>
      </c>
      <c r="X402" s="0" t="n">
        <f aca="false">W_PH(X$2,$A402)</f>
        <v>958.836756040743</v>
      </c>
      <c r="Y402" s="0" t="n">
        <f aca="false">W_PH(Y$2,$A402)</f>
        <v>958.894310545727</v>
      </c>
      <c r="Z402" s="0" t="n">
        <f aca="false">W_PH(Z$2,$A402)</f>
        <v>958.951874743284</v>
      </c>
      <c r="AA402" s="0" t="n">
        <f aca="false">W_PH(AA$2,$A402)</f>
        <v>959.009445882063</v>
      </c>
      <c r="AB402" s="0" t="n">
        <f aca="false">W_PH(AB$2,$A402)</f>
        <v>959.067029739974</v>
      </c>
      <c r="AC402" s="0" t="n">
        <f aca="false">W_PH(AC$2,$A402)</f>
        <v>959.124623564775</v>
      </c>
      <c r="AD402" s="0" t="n">
        <f aca="false">W_PH(AD$2,$A402)</f>
        <v>959.182229478701</v>
      </c>
      <c r="AE402" s="0" t="n">
        <f aca="false">W_PH(AE$2,$A402)</f>
        <v>959.239848385239</v>
      </c>
      <c r="AF402" s="0" t="n">
        <f aca="false">W_PH(AF$2,$A402)</f>
        <v>959.297481187777</v>
      </c>
      <c r="AG402" s="0" t="n">
        <f aca="false">W_PH(AG$2,$A402)</f>
        <v>959.355127569588</v>
      </c>
      <c r="AH402" s="0" t="n">
        <f aca="false">W_PH(AH$2,$A402)</f>
        <v>959.932586863808</v>
      </c>
      <c r="AI402" s="0" t="n">
        <f aca="false">W_PH(AI$2,$A402)</f>
        <v>960.512450289709</v>
      </c>
      <c r="AJ402" s="0" t="n">
        <f aca="false">W_PH(AJ$2,$A402)</f>
        <v>961.095579909777</v>
      </c>
      <c r="AK402" s="0" t="n">
        <f aca="false">W_PH(AK$2,$A402)</f>
        <v>961.682837836524</v>
      </c>
      <c r="AL402" s="0" t="n">
        <f aca="false">W_PH(AL$2,$A402)</f>
        <v>962.275085086356</v>
      </c>
      <c r="AM402" s="0" t="n">
        <f aca="false">W_PH(AM$2,$A402)</f>
        <v>962.873181667772</v>
      </c>
      <c r="AN402" s="0" t="n">
        <f aca="false">W_PH(AN$2,$A402)</f>
        <v>963.477986683827</v>
      </c>
      <c r="AO402" s="0" t="n">
        <f aca="false">W_PH(AO$2,$A402)</f>
        <v>964.090359686049</v>
      </c>
      <c r="AP402" s="0" t="n">
        <f aca="false">W_PH(AP$2,$A402)</f>
        <v>2015</v>
      </c>
      <c r="AQ402" s="0" t="n">
        <f aca="false">W_PH(AQ$2,$A402)</f>
        <v>2015</v>
      </c>
      <c r="AR402" s="0" t="n">
        <f aca="false">W_PH(AR$2,$A402)</f>
        <v>2015</v>
      </c>
      <c r="AS402" s="0" t="n">
        <f aca="false">W_PH(AS$2,$A402)</f>
        <v>2015</v>
      </c>
    </row>
    <row r="403" customFormat="false" ht="13.8" hidden="false" customHeight="false" outlineLevel="0" collapsed="false">
      <c r="A403" s="0" t="n">
        <v>5630</v>
      </c>
      <c r="B403" s="0" t="n">
        <f aca="false">W_PH(B$2,$A403)</f>
        <v>959.790188399827</v>
      </c>
      <c r="C403" s="0" t="n">
        <f aca="false">W_PH(C$2,$A403)</f>
        <v>959.790247288547</v>
      </c>
      <c r="D403" s="0" t="n">
        <f aca="false">W_PH(D$2,$A403)</f>
        <v>959.790303744313</v>
      </c>
      <c r="E403" s="0" t="n">
        <f aca="false">W_PH(E$2,$A403)</f>
        <v>959.790362633051</v>
      </c>
      <c r="F403" s="0" t="n">
        <f aca="false">W_PH(F$2,$A403)</f>
        <v>959.790419088834</v>
      </c>
      <c r="G403" s="0" t="n">
        <f aca="false">W_PH(G$2,$A403)</f>
        <v>959.790995811983</v>
      </c>
      <c r="H403" s="0" t="n">
        <f aca="false">W_PH(H$2,$A403)</f>
        <v>959.791572536033</v>
      </c>
      <c r="I403" s="0" t="n">
        <f aca="false">W_PH(I$2,$A403)</f>
        <v>959.792148044497</v>
      </c>
      <c r="J403" s="0" t="n">
        <f aca="false">W_PH(J$2,$A403)</f>
        <v>959.79272355386</v>
      </c>
      <c r="K403" s="0" t="n">
        <f aca="false">W_PH(K$2,$A403)</f>
        <v>959.793300280616</v>
      </c>
      <c r="L403" s="0" t="n">
        <f aca="false">W_PH(L$2,$A403)</f>
        <v>959.793877008277</v>
      </c>
      <c r="M403" s="0" t="n">
        <f aca="false">W_PH(M$2,$A403)</f>
        <v>959.794452520347</v>
      </c>
      <c r="N403" s="0" t="n">
        <f aca="false">W_PH(N$2,$A403)</f>
        <v>959.795028033318</v>
      </c>
      <c r="O403" s="0" t="n">
        <f aca="false">W_PH(O$2,$A403)</f>
        <v>959.795604763696</v>
      </c>
      <c r="P403" s="0" t="n">
        <f aca="false">W_PH(P$2,$A403)</f>
        <v>959.801367251503</v>
      </c>
      <c r="Q403" s="0" t="n">
        <f aca="false">W_PH(Q$2,$A403)</f>
        <v>959.807129830909</v>
      </c>
      <c r="R403" s="0" t="n">
        <f aca="false">W_PH(R$2,$A403)</f>
        <v>959.812891286242</v>
      </c>
      <c r="S403" s="0" t="n">
        <f aca="false">W_PH(S$2,$A403)</f>
        <v>959.81865283493</v>
      </c>
      <c r="T403" s="0" t="n">
        <f aca="false">W_PH(T$2,$A403)</f>
        <v>959.824415694488</v>
      </c>
      <c r="U403" s="0" t="n">
        <f aca="false">W_PH(U$2,$A403)</f>
        <v>959.830178649245</v>
      </c>
      <c r="V403" s="0" t="n">
        <f aca="false">W_PH(V$2,$A403)</f>
        <v>959.835939266781</v>
      </c>
      <c r="W403" s="0" t="n">
        <f aca="false">W_PH(W$2,$A403)</f>
        <v>959.841702414594</v>
      </c>
      <c r="X403" s="0" t="n">
        <f aca="false">W_PH(X$2,$A403)</f>
        <v>959.847465660309</v>
      </c>
      <c r="Y403" s="0" t="n">
        <f aca="false">W_PH(Y$2,$A403)</f>
        <v>959.90509396463</v>
      </c>
      <c r="Z403" s="0" t="n">
        <f aca="false">W_PH(Z$2,$A403)</f>
        <v>959.962733045791</v>
      </c>
      <c r="AA403" s="0" t="n">
        <f aca="false">W_PH(AA$2,$A403)</f>
        <v>960.020378934463</v>
      </c>
      <c r="AB403" s="0" t="n">
        <f aca="false">W_PH(AB$2,$A403)</f>
        <v>960.078037398505</v>
      </c>
      <c r="AC403" s="0" t="n">
        <f aca="false">W_PH(AC$2,$A403)</f>
        <v>960.135704466579</v>
      </c>
      <c r="AD403" s="0" t="n">
        <f aca="false">W_PH(AD$2,$A403)</f>
        <v>960.193385908159</v>
      </c>
      <c r="AE403" s="0" t="n">
        <f aca="false">W_PH(AE$2,$A403)</f>
        <v>960.251077749899</v>
      </c>
      <c r="AF403" s="0" t="n">
        <f aca="false">W_PH(AF$2,$A403)</f>
        <v>960.308783325851</v>
      </c>
      <c r="AG403" s="0" t="n">
        <f aca="false">W_PH(AG$2,$A403)</f>
        <v>960.366504753034</v>
      </c>
      <c r="AH403" s="0" t="n">
        <f aca="false">W_PH(AH$2,$A403)</f>
        <v>960.944693304803</v>
      </c>
      <c r="AI403" s="0" t="n">
        <f aca="false">W_PH(AI$2,$A403)</f>
        <v>961.525267608264</v>
      </c>
      <c r="AJ403" s="0" t="n">
        <f aca="false">W_PH(AJ$2,$A403)</f>
        <v>962.109086051839</v>
      </c>
      <c r="AK403" s="0" t="n">
        <f aca="false">W_PH(AK$2,$A403)</f>
        <v>962.697004656915</v>
      </c>
      <c r="AL403" s="0" t="n">
        <f aca="false">W_PH(AL$2,$A403)</f>
        <v>963.289880829127</v>
      </c>
      <c r="AM403" s="0" t="n">
        <f aca="false">W_PH(AM$2,$A403)</f>
        <v>963.888569771158</v>
      </c>
      <c r="AN403" s="0" t="n">
        <f aca="false">W_PH(AN$2,$A403)</f>
        <v>964.493925806995</v>
      </c>
      <c r="AO403" s="0" t="n">
        <f aca="false">W_PH(AO$2,$A403)</f>
        <v>965.106802497014</v>
      </c>
      <c r="AP403" s="0" t="n">
        <f aca="false">W_PH(AP$2,$A403)</f>
        <v>2015</v>
      </c>
      <c r="AQ403" s="0" t="n">
        <f aca="false">W_PH(AQ$2,$A403)</f>
        <v>2015</v>
      </c>
      <c r="AR403" s="0" t="n">
        <f aca="false">W_PH(AR$2,$A403)</f>
        <v>2015</v>
      </c>
      <c r="AS403" s="0" t="n">
        <f aca="false">W_PH(AS$2,$A403)</f>
        <v>2015</v>
      </c>
    </row>
    <row r="404" customFormat="false" ht="13.8" hidden="false" customHeight="false" outlineLevel="0" collapsed="false">
      <c r="A404" s="0" t="n">
        <v>5640</v>
      </c>
      <c r="B404" s="0" t="n">
        <f aca="false">W_PH(B$2,$A404)</f>
        <v>960.799111679478</v>
      </c>
      <c r="C404" s="0" t="n">
        <f aca="false">W_PH(C$2,$A404)</f>
        <v>960.799168323788</v>
      </c>
      <c r="D404" s="0" t="n">
        <f aca="false">W_PH(D$2,$A404)</f>
        <v>960.799227398586</v>
      </c>
      <c r="E404" s="0" t="n">
        <f aca="false">W_PH(E$2,$A404)</f>
        <v>960.799284042913</v>
      </c>
      <c r="F404" s="0" t="n">
        <f aca="false">W_PH(F$2,$A404)</f>
        <v>960.79934311773</v>
      </c>
      <c r="G404" s="0" t="n">
        <f aca="false">W_PH(G$2,$A404)</f>
        <v>960.799919283498</v>
      </c>
      <c r="H404" s="0" t="n">
        <f aca="false">W_PH(H$2,$A404)</f>
        <v>960.800495450151</v>
      </c>
      <c r="I404" s="0" t="n">
        <f aca="false">W_PH(I$2,$A404)</f>
        <v>960.801074048185</v>
      </c>
      <c r="J404" s="0" t="n">
        <f aca="false">W_PH(J$2,$A404)</f>
        <v>960.801650216614</v>
      </c>
      <c r="K404" s="0" t="n">
        <f aca="false">W_PH(K$2,$A404)</f>
        <v>960.80222638593</v>
      </c>
      <c r="L404" s="0" t="n">
        <f aca="false">W_PH(L$2,$A404)</f>
        <v>960.802803771389</v>
      </c>
      <c r="M404" s="0" t="n">
        <f aca="false">W_PH(M$2,$A404)</f>
        <v>960.803381157741</v>
      </c>
      <c r="N404" s="0" t="n">
        <f aca="false">W_PH(N$2,$A404)</f>
        <v>960.803957329729</v>
      </c>
      <c r="O404" s="0" t="n">
        <f aca="false">W_PH(O$2,$A404)</f>
        <v>960.80453471787</v>
      </c>
      <c r="P404" s="0" t="n">
        <f aca="false">W_PH(P$2,$A404)</f>
        <v>960.810305002862</v>
      </c>
      <c r="Q404" s="0" t="n">
        <f aca="false">W_PH(Q$2,$A404)</f>
        <v>960.816074162934</v>
      </c>
      <c r="R404" s="0" t="n">
        <f aca="false">W_PH(R$2,$A404)</f>
        <v>960.821843414244</v>
      </c>
      <c r="S404" s="0" t="n">
        <f aca="false">W_PH(S$2,$A404)</f>
        <v>960.827612757685</v>
      </c>
      <c r="T404" s="0" t="n">
        <f aca="false">W_PH(T$2,$A404)</f>
        <v>960.833382194154</v>
      </c>
      <c r="U404" s="0" t="n">
        <f aca="false">W_PH(U$2,$A404)</f>
        <v>960.839151724546</v>
      </c>
      <c r="V404" s="0" t="n">
        <f aca="false">W_PH(V$2,$A404)</f>
        <v>960.844921349757</v>
      </c>
      <c r="W404" s="0" t="n">
        <f aca="false">W_PH(W$2,$A404)</f>
        <v>960.850691070682</v>
      </c>
      <c r="X404" s="0" t="n">
        <f aca="false">W_PH(X$2,$A404)</f>
        <v>960.856460888215</v>
      </c>
      <c r="Y404" s="0" t="n">
        <f aca="false">W_PH(Y$2,$A404)</f>
        <v>960.914164574039</v>
      </c>
      <c r="Z404" s="0" t="n">
        <f aca="false">W_PH(Z$2,$A404)</f>
        <v>960.971875257893</v>
      </c>
      <c r="AA404" s="0" t="n">
        <f aca="false">W_PH(AA$2,$A404)</f>
        <v>961.029595049113</v>
      </c>
      <c r="AB404" s="0" t="n">
        <f aca="false">W_PH(AB$2,$A404)</f>
        <v>961.087326057834</v>
      </c>
      <c r="AC404" s="0" t="n">
        <f aca="false">W_PH(AC$2,$A404)</f>
        <v>961.145067961823</v>
      </c>
      <c r="AD404" s="0" t="n">
        <f aca="false">W_PH(AD$2,$A404)</f>
        <v>961.202820437857</v>
      </c>
      <c r="AE404" s="0" t="n">
        <f aca="false">W_PH(AE$2,$A404)</f>
        <v>961.260585595787</v>
      </c>
      <c r="AF404" s="0" t="n">
        <f aca="false">W_PH(AF$2,$A404)</f>
        <v>961.318365546263</v>
      </c>
      <c r="AG404" s="0" t="n">
        <f aca="false">W_PH(AG$2,$A404)</f>
        <v>961.376158748298</v>
      </c>
      <c r="AH404" s="0" t="n">
        <f aca="false">W_PH(AH$2,$A404)</f>
        <v>961.955064705019</v>
      </c>
      <c r="AI404" s="0" t="n">
        <f aca="false">W_PH(AI$2,$A404)</f>
        <v>962.536340746385</v>
      </c>
      <c r="AJ404" s="0" t="n">
        <f aca="false">W_PH(AJ$2,$A404)</f>
        <v>963.120836741092</v>
      </c>
      <c r="AK404" s="0" t="n">
        <f aca="false">W_PH(AK$2,$A404)</f>
        <v>963.709407553569</v>
      </c>
      <c r="AL404" s="0" t="n">
        <f aca="false">W_PH(AL$2,$A404)</f>
        <v>964.302902114356</v>
      </c>
      <c r="AM404" s="0" t="n">
        <f aca="false">W_PH(AM$2,$A404)</f>
        <v>964.90217453735</v>
      </c>
      <c r="AN404" s="0" t="n">
        <f aca="false">W_PH(AN$2,$A404)</f>
        <v>965.508073179041</v>
      </c>
      <c r="AO404" s="0" t="n">
        <f aca="false">W_PH(AO$2,$A404)</f>
        <v>966.121445648846</v>
      </c>
      <c r="AP404" s="0" t="n">
        <f aca="false">W_PH(AP$2,$A404)</f>
        <v>2015</v>
      </c>
      <c r="AQ404" s="0" t="n">
        <f aca="false">W_PH(AQ$2,$A404)</f>
        <v>2015</v>
      </c>
      <c r="AR404" s="0" t="n">
        <f aca="false">W_PH(AR$2,$A404)</f>
        <v>2015</v>
      </c>
      <c r="AS404" s="0" t="n">
        <f aca="false">W_PH(AS$2,$A404)</f>
        <v>2015</v>
      </c>
    </row>
    <row r="405" customFormat="false" ht="13.8" hidden="false" customHeight="false" outlineLevel="0" collapsed="false">
      <c r="A405" s="0" t="n">
        <v>5650</v>
      </c>
      <c r="B405" s="0" t="n">
        <f aca="false">W_PH(B$2,$A405)</f>
        <v>961.806332018061</v>
      </c>
      <c r="C405" s="0" t="n">
        <f aca="false">W_PH(C$2,$A405)</f>
        <v>961.806388848643</v>
      </c>
      <c r="D405" s="0" t="n">
        <f aca="false">W_PH(D$2,$A405)</f>
        <v>961.806446893237</v>
      </c>
      <c r="E405" s="0" t="n">
        <f aca="false">W_PH(E$2,$A405)</f>
        <v>961.80650493784</v>
      </c>
      <c r="F405" s="0" t="n">
        <f aca="false">W_PH(F$2,$A405)</f>
        <v>961.806561768447</v>
      </c>
      <c r="G405" s="0" t="n">
        <f aca="false">W_PH(G$2,$A405)</f>
        <v>961.807139787037</v>
      </c>
      <c r="H405" s="0" t="n">
        <f aca="false">W_PH(H$2,$A405)</f>
        <v>961.807717806505</v>
      </c>
      <c r="I405" s="0" t="n">
        <f aca="false">W_PH(I$2,$A405)</f>
        <v>961.80829582685</v>
      </c>
      <c r="J405" s="0" t="n">
        <f aca="false">W_PH(J$2,$A405)</f>
        <v>961.808873848073</v>
      </c>
      <c r="K405" s="0" t="n">
        <f aca="false">W_PH(K$2,$A405)</f>
        <v>961.80945065616</v>
      </c>
      <c r="L405" s="0" t="n">
        <f aca="false">W_PH(L$2,$A405)</f>
        <v>961.810027465122</v>
      </c>
      <c r="M405" s="0" t="n">
        <f aca="false">W_PH(M$2,$A405)</f>
        <v>961.810605488982</v>
      </c>
      <c r="N405" s="0" t="n">
        <f aca="false">W_PH(N$2,$A405)</f>
        <v>961.811183513724</v>
      </c>
      <c r="O405" s="0" t="n">
        <f aca="false">W_PH(O$2,$A405)</f>
        <v>961.811761539349</v>
      </c>
      <c r="P405" s="0" t="n">
        <f aca="false">W_PH(P$2,$A405)</f>
        <v>961.817536988171</v>
      </c>
      <c r="Q405" s="0" t="n">
        <f aca="false">W_PH(Q$2,$A405)</f>
        <v>961.823314954233</v>
      </c>
      <c r="R405" s="0" t="n">
        <f aca="false">W_PH(R$2,$A405)</f>
        <v>961.829090582192</v>
      </c>
      <c r="S405" s="0" t="n">
        <f aca="false">W_PH(S$2,$A405)</f>
        <v>961.834868729262</v>
      </c>
      <c r="T405" s="0" t="n">
        <f aca="false">W_PH(T$2,$A405)</f>
        <v>961.84064453992</v>
      </c>
      <c r="U405" s="0" t="n">
        <f aca="false">W_PH(U$2,$A405)</f>
        <v>961.8464216574</v>
      </c>
      <c r="V405" s="0" t="n">
        <f aca="false">W_PH(V$2,$A405)</f>
        <v>961.852198868478</v>
      </c>
      <c r="W405" s="0" t="n">
        <f aca="false">W_PH(W$2,$A405)</f>
        <v>961.857974959842</v>
      </c>
      <c r="X405" s="0" t="n">
        <f aca="false">W_PH(X$2,$A405)</f>
        <v>961.86375357499</v>
      </c>
      <c r="Y405" s="0" t="n">
        <f aca="false">W_PH(Y$2,$A405)</f>
        <v>961.921528168374</v>
      </c>
      <c r="Z405" s="0" t="n">
        <f aca="false">W_PH(Z$2,$A405)</f>
        <v>961.979312062574</v>
      </c>
      <c r="AA405" s="0" t="n">
        <f aca="false">W_PH(AA$2,$A405)</f>
        <v>962.037104932289</v>
      </c>
      <c r="AB405" s="0" t="n">
        <f aca="false">W_PH(AB$2,$A405)</f>
        <v>962.094906451234</v>
      </c>
      <c r="AC405" s="0" t="n">
        <f aca="false">W_PH(AC$2,$A405)</f>
        <v>962.152721153486</v>
      </c>
      <c r="AD405" s="0" t="n">
        <f aca="false">W_PH(AD$2,$A405)</f>
        <v>962.210545066794</v>
      </c>
      <c r="AE405" s="0" t="n">
        <f aca="false">W_PH(AE$2,$A405)</f>
        <v>962.268383941493</v>
      </c>
      <c r="AF405" s="0" t="n">
        <f aca="false">W_PH(AF$2,$A405)</f>
        <v>962.326233803377</v>
      </c>
      <c r="AG405" s="0" t="n">
        <f aca="false">W_PH(AG$2,$A405)</f>
        <v>962.384097971929</v>
      </c>
      <c r="AH405" s="0" t="n">
        <f aca="false">W_PH(AH$2,$A405)</f>
        <v>962.96371459023</v>
      </c>
      <c r="AI405" s="0" t="n">
        <f aca="false">W_PH(AI$2,$A405)</f>
        <v>963.545679800471</v>
      </c>
      <c r="AJ405" s="0" t="n">
        <f aca="false">W_PH(AJ$2,$A405)</f>
        <v>964.130843525847</v>
      </c>
      <c r="AK405" s="0" t="n">
        <f aca="false">W_PH(AK$2,$A405)</f>
        <v>964.720054618432</v>
      </c>
      <c r="AL405" s="0" t="n">
        <f aca="false">W_PH(AL$2,$A405)</f>
        <v>965.314160929527</v>
      </c>
      <c r="AM405" s="0" t="n">
        <f aca="false">W_PH(AM$2,$A405)</f>
        <v>965.914005706788</v>
      </c>
      <c r="AN405" s="0" t="n">
        <f aca="false">W_PH(AN$2,$A405)</f>
        <v>966.5204362791</v>
      </c>
      <c r="AO405" s="0" t="n">
        <f aca="false">W_PH(AO$2,$A405)</f>
        <v>967.134299276683</v>
      </c>
      <c r="AP405" s="0" t="n">
        <f aca="false">W_PH(AP$2,$A405)</f>
        <v>2015</v>
      </c>
      <c r="AQ405" s="0" t="n">
        <f aca="false">W_PH(AQ$2,$A405)</f>
        <v>2015</v>
      </c>
      <c r="AR405" s="0" t="n">
        <f aca="false">W_PH(AR$2,$A405)</f>
        <v>2015</v>
      </c>
      <c r="AS405" s="0" t="n">
        <f aca="false">W_PH(AS$2,$A405)</f>
        <v>2015</v>
      </c>
    </row>
    <row r="406" customFormat="false" ht="13.8" hidden="false" customHeight="false" outlineLevel="0" collapsed="false">
      <c r="A406" s="0" t="n">
        <v>5660</v>
      </c>
      <c r="B406" s="0" t="n">
        <f aca="false">W_PH(B$2,$A406)</f>
        <v>962.811857532934</v>
      </c>
      <c r="C406" s="0" t="n">
        <f aca="false">W_PH(C$2,$A406)</f>
        <v>962.811915760308</v>
      </c>
      <c r="D406" s="0" t="n">
        <f aca="false">W_PH(D$2,$A406)</f>
        <v>962.811973987692</v>
      </c>
      <c r="E406" s="0" t="n">
        <f aca="false">W_PH(E$2,$A406)</f>
        <v>962.81203100231</v>
      </c>
      <c r="F406" s="0" t="n">
        <f aca="false">W_PH(F$2,$A406)</f>
        <v>962.81208922971</v>
      </c>
      <c r="G406" s="0" t="n">
        <f aca="false">W_PH(G$2,$A406)</f>
        <v>962.81266786587</v>
      </c>
      <c r="H406" s="0" t="n">
        <f aca="false">W_PH(H$2,$A406)</f>
        <v>962.813245290114</v>
      </c>
      <c r="I406" s="0" t="n">
        <f aca="false">W_PH(I$2,$A406)</f>
        <v>962.813825140783</v>
      </c>
      <c r="J406" s="0" t="n">
        <f aca="false">W_PH(J$2,$A406)</f>
        <v>962.814402566755</v>
      </c>
      <c r="K406" s="0" t="n">
        <f aca="false">W_PH(K$2,$A406)</f>
        <v>962.81497999359</v>
      </c>
      <c r="L406" s="0" t="n">
        <f aca="false">W_PH(L$2,$A406)</f>
        <v>962.815559846865</v>
      </c>
      <c r="M406" s="0" t="n">
        <f aca="false">W_PH(M$2,$A406)</f>
        <v>962.816137275432</v>
      </c>
      <c r="N406" s="0" t="n">
        <f aca="false">W_PH(N$2,$A406)</f>
        <v>962.816715917658</v>
      </c>
      <c r="O406" s="0" t="n">
        <f aca="false">W_PH(O$2,$A406)</f>
        <v>962.817294560754</v>
      </c>
      <c r="P406" s="0" t="n">
        <f aca="false">W_PH(P$2,$A406)</f>
        <v>962.823078614173</v>
      </c>
      <c r="Q406" s="0" t="n">
        <f aca="false">W_PH(Q$2,$A406)</f>
        <v>962.828862755559</v>
      </c>
      <c r="R406" s="0" t="n">
        <f aca="false">W_PH(R$2,$A406)</f>
        <v>962.834645772935</v>
      </c>
      <c r="S406" s="0" t="n">
        <f aca="false">W_PH(S$2,$A406)</f>
        <v>962.840428880003</v>
      </c>
      <c r="T406" s="0" t="n">
        <f aca="false">W_PH(T$2,$A406)</f>
        <v>962.846213290555</v>
      </c>
      <c r="U406" s="0" t="n">
        <f aca="false">W_PH(U$2,$A406)</f>
        <v>962.851997792615</v>
      </c>
      <c r="V406" s="0" t="n">
        <f aca="false">W_PH(V$2,$A406)</f>
        <v>962.857782387067</v>
      </c>
      <c r="W406" s="0" t="n">
        <f aca="false">W_PH(W$2,$A406)</f>
        <v>962.863565861829</v>
      </c>
      <c r="X406" s="0" t="n">
        <f aca="false">W_PH(X$2,$A406)</f>
        <v>962.86934943071</v>
      </c>
      <c r="Y406" s="0" t="n">
        <f aca="false">W_PH(Y$2,$A406)</f>
        <v>962.927197770219</v>
      </c>
      <c r="Z406" s="0" t="n">
        <f aca="false">W_PH(Z$2,$A406)</f>
        <v>962.98505164464</v>
      </c>
      <c r="AA406" s="0" t="n">
        <f aca="false">W_PH(AA$2,$A406)</f>
        <v>963.042916791273</v>
      </c>
      <c r="AB406" s="0" t="n">
        <f aca="false">W_PH(AB$2,$A406)</f>
        <v>963.10078923988</v>
      </c>
      <c r="AC406" s="0" t="n">
        <f aca="false">W_PH(AC$2,$A406)</f>
        <v>963.158674729339</v>
      </c>
      <c r="AD406" s="0" t="n">
        <f aca="false">W_PH(AD$2,$A406)</f>
        <v>963.216569287477</v>
      </c>
      <c r="AE406" s="0" t="n">
        <f aca="false">W_PH(AE$2,$A406)</f>
        <v>963.274478654747</v>
      </c>
      <c r="AF406" s="0" t="n">
        <f aca="false">W_PH(AF$2,$A406)</f>
        <v>963.332398857045</v>
      </c>
      <c r="AG406" s="0" t="n">
        <f aca="false">W_PH(AG$2,$A406)</f>
        <v>963.390335636398</v>
      </c>
      <c r="AH406" s="0" t="n">
        <f aca="false">W_PH(AH$2,$A406)</f>
        <v>963.970646661067</v>
      </c>
      <c r="AI406" s="0" t="n">
        <f aca="false">W_PH(AI$2,$A406)</f>
        <v>964.553292352087</v>
      </c>
      <c r="AJ406" s="0" t="n">
        <f aca="false">W_PH(AJ$2,$A406)</f>
        <v>965.139115426452</v>
      </c>
      <c r="AK406" s="0" t="n">
        <f aca="false">W_PH(AK$2,$A406)</f>
        <v>965.728957541591</v>
      </c>
      <c r="AL406" s="0" t="n">
        <f aca="false">W_PH(AL$2,$A406)</f>
        <v>966.32366426765</v>
      </c>
      <c r="AM406" s="0" t="n">
        <f aca="false">W_PH(AM$2,$A406)</f>
        <v>966.924072935559</v>
      </c>
      <c r="AN406" s="0" t="n">
        <f aca="false">W_PH(AN$2,$A406)</f>
        <v>967.531028658015</v>
      </c>
      <c r="AO406" s="0" t="n">
        <f aca="false">W_PH(AO$2,$A406)</f>
        <v>968.145370962255</v>
      </c>
      <c r="AP406" s="0" t="n">
        <f aca="false">W_PH(AP$2,$A406)</f>
        <v>2015</v>
      </c>
      <c r="AQ406" s="0" t="n">
        <f aca="false">W_PH(AQ$2,$A406)</f>
        <v>2015</v>
      </c>
      <c r="AR406" s="0" t="n">
        <f aca="false">W_PH(AR$2,$A406)</f>
        <v>2015</v>
      </c>
      <c r="AS406" s="0" t="n">
        <f aca="false">W_PH(AS$2,$A406)</f>
        <v>2015</v>
      </c>
    </row>
    <row r="407" customFormat="false" ht="13.8" hidden="false" customHeight="false" outlineLevel="0" collapsed="false">
      <c r="A407" s="0" t="n">
        <v>5670</v>
      </c>
      <c r="B407" s="0" t="n">
        <f aca="false">W_PH(B$2,$A407)</f>
        <v>963.815698704997</v>
      </c>
      <c r="C407" s="0" t="n">
        <f aca="false">W_PH(C$2,$A407)</f>
        <v>963.81575832449</v>
      </c>
      <c r="D407" s="0" t="n">
        <f aca="false">W_PH(D$2,$A407)</f>
        <v>963.815815520894</v>
      </c>
      <c r="E407" s="0" t="n">
        <f aca="false">W_PH(E$2,$A407)</f>
        <v>963.815872717306</v>
      </c>
      <c r="F407" s="0" t="n">
        <f aca="false">W_PH(F$2,$A407)</f>
        <v>963.815931125276</v>
      </c>
      <c r="G407" s="0" t="n">
        <f aca="false">W_PH(G$2,$A407)</f>
        <v>963.816510359247</v>
      </c>
      <c r="H407" s="0" t="n">
        <f aca="false">W_PH(H$2,$A407)</f>
        <v>963.817088382517</v>
      </c>
      <c r="I407" s="0" t="n">
        <f aca="false">W_PH(I$2,$A407)</f>
        <v>963.817667618192</v>
      </c>
      <c r="J407" s="0" t="n">
        <f aca="false">W_PH(J$2,$A407)</f>
        <v>963.818246854721</v>
      </c>
      <c r="K407" s="0" t="n">
        <f aca="false">W_PH(K$2,$A407)</f>
        <v>963.818826092105</v>
      </c>
      <c r="L407" s="0" t="n">
        <f aca="false">W_PH(L$2,$A407)</f>
        <v>963.819405330345</v>
      </c>
      <c r="M407" s="0" t="n">
        <f aca="false">W_PH(M$2,$A407)</f>
        <v>963.819984569443</v>
      </c>
      <c r="N407" s="0" t="n">
        <f aca="false">W_PH(N$2,$A407)</f>
        <v>963.820563809398</v>
      </c>
      <c r="O407" s="0" t="n">
        <f aca="false">W_PH(O$2,$A407)</f>
        <v>963.821143050213</v>
      </c>
      <c r="P407" s="0" t="n">
        <f aca="false">W_PH(P$2,$A407)</f>
        <v>963.826933082598</v>
      </c>
      <c r="Q407" s="0" t="n">
        <f aca="false">W_PH(Q$2,$A407)</f>
        <v>963.832724413353</v>
      </c>
      <c r="R407" s="0" t="n">
        <f aca="false">W_PH(R$2,$A407)</f>
        <v>963.83851583179</v>
      </c>
      <c r="S407" s="0" t="n">
        <f aca="false">W_PH(S$2,$A407)</f>
        <v>963.844306127134</v>
      </c>
      <c r="T407" s="0" t="n">
        <f aca="false">W_PH(T$2,$A407)</f>
        <v>963.850096511877</v>
      </c>
      <c r="U407" s="0" t="n">
        <f aca="false">W_PH(U$2,$A407)</f>
        <v>963.8558881986</v>
      </c>
      <c r="V407" s="0" t="n">
        <f aca="false">W_PH(V$2,$A407)</f>
        <v>963.861679976527</v>
      </c>
      <c r="W407" s="0" t="n">
        <f aca="false">W_PH(W$2,$A407)</f>
        <v>963.867470634796</v>
      </c>
      <c r="X407" s="0" t="n">
        <f aca="false">W_PH(X$2,$A407)</f>
        <v>963.873261385988</v>
      </c>
      <c r="Y407" s="0" t="n">
        <f aca="false">W_PH(Y$2,$A407)</f>
        <v>963.931179050267</v>
      </c>
      <c r="Z407" s="0" t="n">
        <f aca="false">W_PH(Z$2,$A407)</f>
        <v>963.989104552683</v>
      </c>
      <c r="AA407" s="0" t="n">
        <f aca="false">W_PH(AA$2,$A407)</f>
        <v>964.047038772387</v>
      </c>
      <c r="AB407" s="0" t="n">
        <f aca="false">W_PH(AB$2,$A407)</f>
        <v>964.104982588439</v>
      </c>
      <c r="AC407" s="0" t="n">
        <f aca="false">W_PH(AC$2,$A407)</f>
        <v>964.162936879814</v>
      </c>
      <c r="AD407" s="0" t="n">
        <f aca="false">W_PH(AD$2,$A407)</f>
        <v>964.220902525402</v>
      </c>
      <c r="AE407" s="0" t="n">
        <f aca="false">W_PH(AE$2,$A407)</f>
        <v>964.278880404004</v>
      </c>
      <c r="AF407" s="0" t="n">
        <f aca="false">W_PH(AF$2,$A407)</f>
        <v>964.336871394335</v>
      </c>
      <c r="AG407" s="0" t="n">
        <f aca="false">W_PH(AG$2,$A407)</f>
        <v>964.394876375025</v>
      </c>
      <c r="AH407" s="0" t="n">
        <f aca="false">W_PH(AH$2,$A407)</f>
        <v>964.975875514784</v>
      </c>
      <c r="AI407" s="0" t="n">
        <f aca="false">W_PH(AI$2,$A407)</f>
        <v>965.559190789913</v>
      </c>
      <c r="AJ407" s="0" t="n">
        <f aca="false">W_PH(AJ$2,$A407)</f>
        <v>966.145661389787</v>
      </c>
      <c r="AK407" s="0" t="n">
        <f aca="false">W_PH(AK$2,$A407)</f>
        <v>966.736125481182</v>
      </c>
      <c r="AL407" s="0" t="n">
        <f aca="false">W_PH(AL$2,$A407)</f>
        <v>967.331421501108</v>
      </c>
      <c r="AM407" s="0" t="n">
        <f aca="false">W_PH(AM$2,$A407)</f>
        <v>967.932387022757</v>
      </c>
      <c r="AN407" s="0" t="n">
        <f aca="false">W_PH(AN$2,$A407)</f>
        <v>968.539858850745</v>
      </c>
      <c r="AO407" s="0" t="n">
        <f aca="false">W_PH(AO$2,$A407)</f>
        <v>969.15467066961</v>
      </c>
      <c r="AP407" s="0" t="n">
        <f aca="false">W_PH(AP$2,$A407)</f>
        <v>2015</v>
      </c>
      <c r="AQ407" s="0" t="n">
        <f aca="false">W_PH(AQ$2,$A407)</f>
        <v>2015</v>
      </c>
      <c r="AR407" s="0" t="n">
        <f aca="false">W_PH(AR$2,$A407)</f>
        <v>2015</v>
      </c>
      <c r="AS407" s="0" t="n">
        <f aca="false">W_PH(AS$2,$A407)</f>
        <v>2015</v>
      </c>
    </row>
    <row r="408" customFormat="false" ht="13.8" hidden="false" customHeight="false" outlineLevel="0" collapsed="false">
      <c r="A408" s="0" t="n">
        <v>5680</v>
      </c>
      <c r="B408" s="0" t="n">
        <f aca="false">W_PH(B$2,$A408)</f>
        <v>964.817865946547</v>
      </c>
      <c r="C408" s="0" t="n">
        <f aca="false">W_PH(C$2,$A408)</f>
        <v>964.81792332254</v>
      </c>
      <c r="D408" s="0" t="n">
        <f aca="false">W_PH(D$2,$A408)</f>
        <v>964.81798190887</v>
      </c>
      <c r="E408" s="0" t="n">
        <f aca="false">W_PH(E$2,$A408)</f>
        <v>964.818040495208</v>
      </c>
      <c r="F408" s="0" t="n">
        <f aca="false">W_PH(F$2,$A408)</f>
        <v>964.818097871226</v>
      </c>
      <c r="G408" s="0" t="n">
        <f aca="false">W_PH(G$2,$A408)</f>
        <v>964.81867768351</v>
      </c>
      <c r="H408" s="0" t="n">
        <f aca="false">W_PH(H$2,$A408)</f>
        <v>964.819257496634</v>
      </c>
      <c r="I408" s="0" t="n">
        <f aca="false">W_PH(I$2,$A408)</f>
        <v>964.819837310601</v>
      </c>
      <c r="J408" s="0" t="n">
        <f aca="false">W_PH(J$2,$A408)</f>
        <v>964.82041712541</v>
      </c>
      <c r="K408" s="0" t="n">
        <f aca="false">W_PH(K$2,$A408)</f>
        <v>964.820996941062</v>
      </c>
      <c r="L408" s="0" t="n">
        <f aca="false">W_PH(L$2,$A408)</f>
        <v>964.821576757558</v>
      </c>
      <c r="M408" s="0" t="n">
        <f aca="false">W_PH(M$2,$A408)</f>
        <v>964.8221565749</v>
      </c>
      <c r="N408" s="0" t="n">
        <f aca="false">W_PH(N$2,$A408)</f>
        <v>964.822736393087</v>
      </c>
      <c r="O408" s="0" t="n">
        <f aca="false">W_PH(O$2,$A408)</f>
        <v>964.823315001773</v>
      </c>
      <c r="P408" s="0" t="n">
        <f aca="false">W_PH(P$2,$A408)</f>
        <v>964.829113238868</v>
      </c>
      <c r="Q408" s="0" t="n">
        <f aca="false">W_PH(Q$2,$A408)</f>
        <v>964.834911561614</v>
      </c>
      <c r="R408" s="0" t="n">
        <f aca="false">W_PH(R$2,$A408)</f>
        <v>964.840709970888</v>
      </c>
      <c r="S408" s="0" t="n">
        <f aca="false">W_PH(S$2,$A408)</f>
        <v>964.846507257131</v>
      </c>
      <c r="T408" s="0" t="n">
        <f aca="false">W_PH(T$2,$A408)</f>
        <v>964.85230463161</v>
      </c>
      <c r="U408" s="0" t="n">
        <f aca="false">W_PH(U$2,$A408)</f>
        <v>964.858103305678</v>
      </c>
      <c r="V408" s="0" t="n">
        <f aca="false">W_PH(V$2,$A408)</f>
        <v>964.863902069777</v>
      </c>
      <c r="W408" s="0" t="n">
        <f aca="false">W_PH(W$2,$A408)</f>
        <v>964.869698503742</v>
      </c>
      <c r="X408" s="0" t="n">
        <f aca="false">W_PH(X$2,$A408)</f>
        <v>964.875497450486</v>
      </c>
      <c r="Y408" s="0" t="n">
        <f aca="false">W_PH(Y$2,$A408)</f>
        <v>964.933484894075</v>
      </c>
      <c r="Z408" s="0" t="n">
        <f aca="false">W_PH(Z$2,$A408)</f>
        <v>964.991477632685</v>
      </c>
      <c r="AA408" s="0" t="n">
        <f aca="false">W_PH(AA$2,$A408)</f>
        <v>965.049481384097</v>
      </c>
      <c r="AB408" s="0" t="n">
        <f aca="false">W_PH(AB$2,$A408)</f>
        <v>965.107494601036</v>
      </c>
      <c r="AC408" s="0" t="n">
        <f aca="false">W_PH(AC$2,$A408)</f>
        <v>965.165518157657</v>
      </c>
      <c r="AD408" s="0" t="n">
        <f aca="false">W_PH(AD$2,$A408)</f>
        <v>965.2235517162</v>
      </c>
      <c r="AE408" s="0" t="n">
        <f aca="false">W_PH(AE$2,$A408)</f>
        <v>965.281598574096</v>
      </c>
      <c r="AF408" s="0" t="n">
        <f aca="false">W_PH(AF$2,$A408)</f>
        <v>965.339657181377</v>
      </c>
      <c r="AG408" s="0" t="n">
        <f aca="false">W_PH(AG$2,$A408)</f>
        <v>965.397730836163</v>
      </c>
      <c r="AH408" s="0" t="n">
        <f aca="false">W_PH(AH$2,$A408)</f>
        <v>965.979408369806</v>
      </c>
      <c r="AI408" s="0" t="n">
        <f aca="false">W_PH(AI$2,$A408)</f>
        <v>966.563382551064</v>
      </c>
      <c r="AJ408" s="0" t="n">
        <f aca="false">W_PH(AJ$2,$A408)</f>
        <v>967.150491509019</v>
      </c>
      <c r="AK408" s="0" t="n">
        <f aca="false">W_PH(AK$2,$A408)</f>
        <v>967.741567519581</v>
      </c>
      <c r="AL408" s="0" t="n">
        <f aca="false">W_PH(AL$2,$A408)</f>
        <v>968.337445591862</v>
      </c>
      <c r="AM408" s="0" t="n">
        <f aca="false">W_PH(AM$2,$A408)</f>
        <v>968.938957455023</v>
      </c>
      <c r="AN408" s="0" t="n">
        <f aca="false">W_PH(AN$2,$A408)</f>
        <v>969.54693531281</v>
      </c>
      <c r="AO408" s="0" t="n">
        <f aca="false">W_PH(AO$2,$A408)</f>
        <v>970.162213189209</v>
      </c>
      <c r="AP408" s="0" t="n">
        <f aca="false">W_PH(AP$2,$A408)</f>
        <v>2015</v>
      </c>
      <c r="AQ408" s="0" t="n">
        <f aca="false">W_PH(AQ$2,$A408)</f>
        <v>2015</v>
      </c>
      <c r="AR408" s="0" t="n">
        <f aca="false">W_PH(AR$2,$A408)</f>
        <v>2015</v>
      </c>
      <c r="AS408" s="0" t="n">
        <f aca="false">W_PH(AS$2,$A408)</f>
        <v>2015</v>
      </c>
    </row>
    <row r="409" customFormat="false" ht="13.8" hidden="false" customHeight="false" outlineLevel="0" collapsed="false">
      <c r="A409" s="0" t="n">
        <v>5690</v>
      </c>
      <c r="B409" s="0" t="n">
        <f aca="false">W_PH(B$2,$A409)</f>
        <v>965.818367183846</v>
      </c>
      <c r="C409" s="0" t="n">
        <f aca="false">W_PH(C$2,$A409)</f>
        <v>965.818424737266</v>
      </c>
      <c r="D409" s="0" t="n">
        <f aca="false">W_PH(D$2,$A409)</f>
        <v>965.818482290694</v>
      </c>
      <c r="E409" s="0" t="n">
        <f aca="false">W_PH(E$2,$A409)</f>
        <v>965.81853984413</v>
      </c>
      <c r="F409" s="0" t="n">
        <f aca="false">W_PH(F$2,$A409)</f>
        <v>965.818598606687</v>
      </c>
      <c r="G409" s="0" t="n">
        <f aca="false">W_PH(G$2,$A409)</f>
        <v>965.819178978038</v>
      </c>
      <c r="H409" s="0" t="n">
        <f aca="false">W_PH(H$2,$A409)</f>
        <v>965.819759350218</v>
      </c>
      <c r="I409" s="0" t="n">
        <f aca="false">W_PH(I$2,$A409)</f>
        <v>965.820339723227</v>
      </c>
      <c r="J409" s="0" t="n">
        <f aca="false">W_PH(J$2,$A409)</f>
        <v>965.82092130619</v>
      </c>
      <c r="K409" s="0" t="n">
        <f aca="false">W_PH(K$2,$A409)</f>
        <v>965.821501680865</v>
      </c>
      <c r="L409" s="0" t="n">
        <f aca="false">W_PH(L$2,$A409)</f>
        <v>965.822082056372</v>
      </c>
      <c r="M409" s="0" t="n">
        <f aca="false">W_PH(M$2,$A409)</f>
        <v>965.822662432712</v>
      </c>
      <c r="N409" s="0" t="n">
        <f aca="false">W_PH(N$2,$A409)</f>
        <v>965.823242809887</v>
      </c>
      <c r="O409" s="0" t="n">
        <f aca="false">W_PH(O$2,$A409)</f>
        <v>965.823823187897</v>
      </c>
      <c r="P409" s="0" t="n">
        <f aca="false">W_PH(P$2,$A409)</f>
        <v>965.829627014122</v>
      </c>
      <c r="Q409" s="0" t="n">
        <f aca="false">W_PH(Q$2,$A409)</f>
        <v>965.835430924822</v>
      </c>
      <c r="R409" s="0" t="n">
        <f aca="false">W_PH(R$2,$A409)</f>
        <v>965.84123733926</v>
      </c>
      <c r="S409" s="0" t="n">
        <f aca="false">W_PH(S$2,$A409)</f>
        <v>965.847041421565</v>
      </c>
      <c r="T409" s="0" t="n">
        <f aca="false">W_PH(T$2,$A409)</f>
        <v>965.852845590958</v>
      </c>
      <c r="U409" s="0" t="n">
        <f aca="false">W_PH(U$2,$A409)</f>
        <v>965.85864984831</v>
      </c>
      <c r="V409" s="0" t="n">
        <f aca="false">W_PH(V$2,$A409)</f>
        <v>965.864456613054</v>
      </c>
      <c r="W409" s="0" t="n">
        <f aca="false">W_PH(W$2,$A409)</f>
        <v>965.87026104898</v>
      </c>
      <c r="X409" s="0" t="n">
        <f aca="false">W_PH(X$2,$A409)</f>
        <v>965.876065575476</v>
      </c>
      <c r="Y409" s="0" t="n">
        <f aca="false">W_PH(Y$2,$A409)</f>
        <v>965.934120851638</v>
      </c>
      <c r="Z409" s="0" t="n">
        <f aca="false">W_PH(Z$2,$A409)</f>
        <v>965.992183725157</v>
      </c>
      <c r="AA409" s="0" t="n">
        <f aca="false">W_PH(AA$2,$A409)</f>
        <v>966.050253855609</v>
      </c>
      <c r="AB409" s="0" t="n">
        <f aca="false">W_PH(AB$2,$A409)</f>
        <v>966.108334532162</v>
      </c>
      <c r="AC409" s="0" t="n">
        <f aca="false">W_PH(AC$2,$A409)</f>
        <v>966.166426624825</v>
      </c>
      <c r="AD409" s="0" t="n">
        <f aca="false">W_PH(AD$2,$A409)</f>
        <v>966.224528582331</v>
      </c>
      <c r="AE409" s="0" t="n">
        <f aca="false">W_PH(AE$2,$A409)</f>
        <v>966.282642484065</v>
      </c>
      <c r="AF409" s="0" t="n">
        <f aca="false">W_PH(AF$2,$A409)</f>
        <v>966.340769199159</v>
      </c>
      <c r="AG409" s="0" t="n">
        <f aca="false">W_PH(AG$2,$A409)</f>
        <v>966.398909596661</v>
      </c>
      <c r="AH409" s="0" t="n">
        <f aca="false">W_PH(AH$2,$A409)</f>
        <v>966.981252384723</v>
      </c>
      <c r="AI409" s="0" t="n">
        <f aca="false">W_PH(AI$2,$A409)</f>
        <v>967.565877440404</v>
      </c>
      <c r="AJ409" s="0" t="n">
        <f aca="false">W_PH(AJ$2,$A409)</f>
        <v>968.153615800498</v>
      </c>
      <c r="AK409" s="0" t="n">
        <f aca="false">W_PH(AK$2,$A409)</f>
        <v>968.745293883906</v>
      </c>
      <c r="AL409" s="0" t="n">
        <f aca="false">W_PH(AL$2,$A409)</f>
        <v>969.341744521645</v>
      </c>
      <c r="AM409" s="0" t="n">
        <f aca="false">W_PH(AM$2,$A409)</f>
        <v>969.943794861505</v>
      </c>
      <c r="AN409" s="0" t="n">
        <f aca="false">W_PH(AN$2,$A409)</f>
        <v>970.552271322815</v>
      </c>
      <c r="AO409" s="0" t="n">
        <f aca="false">W_PH(AO$2,$A409)</f>
        <v>971.168003384328</v>
      </c>
      <c r="AP409" s="0" t="n">
        <f aca="false">W_PH(AP$2,$A409)</f>
        <v>2015</v>
      </c>
      <c r="AQ409" s="0" t="n">
        <f aca="false">W_PH(AQ$2,$A409)</f>
        <v>2015</v>
      </c>
      <c r="AR409" s="0" t="n">
        <f aca="false">W_PH(AR$2,$A409)</f>
        <v>2015</v>
      </c>
      <c r="AS409" s="0" t="n">
        <f aca="false">W_PH(AS$2,$A409)</f>
        <v>2015</v>
      </c>
    </row>
    <row r="410" customFormat="false" ht="13.8" hidden="false" customHeight="false" outlineLevel="0" collapsed="false">
      <c r="A410" s="0" t="n">
        <v>5700</v>
      </c>
      <c r="B410" s="0" t="n">
        <f aca="false">W_PH(B$2,$A410)</f>
        <v>966.817209077915</v>
      </c>
      <c r="C410" s="0" t="n">
        <f aca="false">W_PH(C$2,$A410)</f>
        <v>966.817268014519</v>
      </c>
      <c r="D410" s="0" t="n">
        <f aca="false">W_PH(D$2,$A410)</f>
        <v>966.817325743229</v>
      </c>
      <c r="E410" s="0" t="n">
        <f aca="false">W_PH(E$2,$A410)</f>
        <v>966.817383471947</v>
      </c>
      <c r="F410" s="0" t="n">
        <f aca="false">W_PH(F$2,$A410)</f>
        <v>966.817441200673</v>
      </c>
      <c r="G410" s="0" t="n">
        <f aca="false">W_PH(G$2,$A410)</f>
        <v>966.818023319997</v>
      </c>
      <c r="H410" s="0" t="n">
        <f aca="false">W_PH(H$2,$A410)</f>
        <v>966.818603024327</v>
      </c>
      <c r="I410" s="0" t="n">
        <f aca="false">W_PH(I$2,$A410)</f>
        <v>966.819185145291</v>
      </c>
      <c r="J410" s="0" t="n">
        <f aca="false">W_PH(J$2,$A410)</f>
        <v>966.819766059166</v>
      </c>
      <c r="K410" s="0" t="n">
        <f aca="false">W_PH(K$2,$A410)</f>
        <v>966.820346973862</v>
      </c>
      <c r="L410" s="0" t="n">
        <f aca="false">W_PH(L$2,$A410)</f>
        <v>966.820929097294</v>
      </c>
      <c r="M410" s="0" t="n">
        <f aca="false">W_PH(M$2,$A410)</f>
        <v>966.821508805717</v>
      </c>
      <c r="N410" s="0" t="n">
        <f aca="false">W_PH(N$2,$A410)</f>
        <v>966.822090930798</v>
      </c>
      <c r="O410" s="0" t="n">
        <f aca="false">W_PH(O$2,$A410)</f>
        <v>966.822671848786</v>
      </c>
      <c r="P410" s="0" t="n">
        <f aca="false">W_PH(P$2,$A410)</f>
        <v>966.828482282088</v>
      </c>
      <c r="Q410" s="0" t="n">
        <f aca="false">W_PH(Q$2,$A410)</f>
        <v>966.83429400671</v>
      </c>
      <c r="R410" s="0" t="n">
        <f aca="false">W_PH(R$2,$A410)</f>
        <v>966.840105815597</v>
      </c>
      <c r="S410" s="0" t="n">
        <f aca="false">W_PH(S$2,$A410)</f>
        <v>966.845917709614</v>
      </c>
      <c r="T410" s="0" t="n">
        <f aca="false">W_PH(T$2,$A410)</f>
        <v>966.851729689627</v>
      </c>
      <c r="U410" s="0" t="n">
        <f aca="false">W_PH(U$2,$A410)</f>
        <v>966.857540548456</v>
      </c>
      <c r="V410" s="0" t="n">
        <f aca="false">W_PH(V$2,$A410)</f>
        <v>966.863351494971</v>
      </c>
      <c r="W410" s="0" t="n">
        <f aca="false">W_PH(W$2,$A410)</f>
        <v>966.869163738129</v>
      </c>
      <c r="X410" s="0" t="n">
        <f aca="false">W_PH(X$2,$A410)</f>
        <v>966.874976070749</v>
      </c>
      <c r="Y410" s="0" t="n">
        <f aca="false">W_PH(Y$2,$A410)</f>
        <v>966.93309725795</v>
      </c>
      <c r="Z410" s="0" t="n">
        <f aca="false">W_PH(Z$2,$A410)</f>
        <v>966.991227132979</v>
      </c>
      <c r="AA410" s="0" t="n">
        <f aca="false">W_PH(AA$2,$A410)</f>
        <v>967.049365352516</v>
      </c>
      <c r="AB410" s="0" t="n">
        <f aca="false">W_PH(AB$2,$A410)</f>
        <v>967.107512781271</v>
      </c>
      <c r="AC410" s="0" t="n">
        <f aca="false">W_PH(AC$2,$A410)</f>
        <v>967.165670283877</v>
      </c>
      <c r="AD410" s="0" t="n">
        <f aca="false">W_PH(AD$2,$A410)</f>
        <v>967.22383993426</v>
      </c>
      <c r="AE410" s="0" t="n">
        <f aca="false">W_PH(AE$2,$A410)</f>
        <v>967.282021387944</v>
      </c>
      <c r="AF410" s="0" t="n">
        <f aca="false">W_PH(AF$2,$A410)</f>
        <v>967.340214299534</v>
      </c>
      <c r="AG410" s="0" t="n">
        <f aca="false">W_PH(AG$2,$A410)</f>
        <v>967.398420742721</v>
      </c>
      <c r="AH410" s="0" t="n">
        <f aca="false">W_PH(AH$2,$A410)</f>
        <v>967.98142071945</v>
      </c>
      <c r="AI410" s="0" t="n">
        <f aca="false">W_PH(AI$2,$A410)</f>
        <v>968.566685190258</v>
      </c>
      <c r="AJ410" s="0" t="n">
        <f aca="false">W_PH(AJ$2,$A410)</f>
        <v>969.155041772371</v>
      </c>
      <c r="AK410" s="0" t="n">
        <f aca="false">W_PH(AK$2,$A410)</f>
        <v>969.747314722183</v>
      </c>
      <c r="AL410" s="0" t="n">
        <f aca="false">W_PH(AL$2,$A410)</f>
        <v>970.344327420913</v>
      </c>
      <c r="AM410" s="0" t="n">
        <f aca="false">W_PH(AM$2,$A410)</f>
        <v>970.946906119722</v>
      </c>
      <c r="AN410" s="0" t="n">
        <f aca="false">W_PH(AN$2,$A410)</f>
        <v>971.555873939986</v>
      </c>
      <c r="AO410" s="0" t="n">
        <f aca="false">W_PH(AO$2,$A410)</f>
        <v>972.172053410043</v>
      </c>
      <c r="AP410" s="0" t="n">
        <f aca="false">W_PH(AP$2,$A410)</f>
        <v>2015</v>
      </c>
      <c r="AQ410" s="0" t="n">
        <f aca="false">W_PH(AQ$2,$A410)</f>
        <v>2015</v>
      </c>
      <c r="AR410" s="0" t="n">
        <f aca="false">W_PH(AR$2,$A410)</f>
        <v>2015</v>
      </c>
      <c r="AS410" s="0" t="n">
        <f aca="false">W_PH(AS$2,$A410)</f>
        <v>2015</v>
      </c>
    </row>
    <row r="411" customFormat="false" ht="13.8" hidden="false" customHeight="false" outlineLevel="0" collapsed="false">
      <c r="A411" s="0" t="n">
        <v>5710</v>
      </c>
      <c r="B411" s="0" t="n">
        <f aca="false">W_PH(B$2,$A411)</f>
        <v>967.814403064718</v>
      </c>
      <c r="C411" s="0" t="n">
        <f aca="false">W_PH(C$2,$A411)</f>
        <v>967.814460966584</v>
      </c>
      <c r="D411" s="0" t="n">
        <f aca="false">W_PH(D$2,$A411)</f>
        <v>967.814520075154</v>
      </c>
      <c r="E411" s="0" t="n">
        <f aca="false">W_PH(E$2,$A411)</f>
        <v>967.814577977036</v>
      </c>
      <c r="F411" s="0" t="n">
        <f aca="false">W_PH(F$2,$A411)</f>
        <v>967.814637085623</v>
      </c>
      <c r="G411" s="0" t="n">
        <f aca="false">W_PH(G$2,$A411)</f>
        <v>967.815218518359</v>
      </c>
      <c r="H411" s="0" t="n">
        <f aca="false">W_PH(H$2,$A411)</f>
        <v>967.8157999519</v>
      </c>
      <c r="I411" s="0" t="n">
        <f aca="false">W_PH(I$2,$A411)</f>
        <v>967.816381386248</v>
      </c>
      <c r="J411" s="0" t="n">
        <f aca="false">W_PH(J$2,$A411)</f>
        <v>967.816962821405</v>
      </c>
      <c r="K411" s="0" t="n">
        <f aca="false">W_PH(K$2,$A411)</f>
        <v>967.81754425737</v>
      </c>
      <c r="L411" s="0" t="n">
        <f aca="false">W_PH(L$2,$A411)</f>
        <v>967.818126900855</v>
      </c>
      <c r="M411" s="0" t="n">
        <f aca="false">W_PH(M$2,$A411)</f>
        <v>967.818709545155</v>
      </c>
      <c r="N411" s="0" t="n">
        <f aca="false">W_PH(N$2,$A411)</f>
        <v>967.819290983555</v>
      </c>
      <c r="O411" s="0" t="n">
        <f aca="false">W_PH(O$2,$A411)</f>
        <v>967.819872422768</v>
      </c>
      <c r="P411" s="0" t="n">
        <f aca="false">W_PH(P$2,$A411)</f>
        <v>967.825690479971</v>
      </c>
      <c r="Q411" s="0" t="n">
        <f aca="false">W_PH(Q$2,$A411)</f>
        <v>967.831508619467</v>
      </c>
      <c r="R411" s="0" t="n">
        <f aca="false">W_PH(R$2,$A411)</f>
        <v>967.837325635338</v>
      </c>
      <c r="S411" s="0" t="n">
        <f aca="false">W_PH(S$2,$A411)</f>
        <v>967.843145148783</v>
      </c>
      <c r="T411" s="0" t="n">
        <f aca="false">W_PH(T$2,$A411)</f>
        <v>967.848962333507</v>
      </c>
      <c r="U411" s="0" t="n">
        <f aca="false">W_PH(U$2,$A411)</f>
        <v>967.854780810769</v>
      </c>
      <c r="V411" s="0" t="n">
        <f aca="false">W_PH(V$2,$A411)</f>
        <v>967.860599374632</v>
      </c>
      <c r="W411" s="0" t="n">
        <f aca="false">W_PH(W$2,$A411)</f>
        <v>967.866416819074</v>
      </c>
      <c r="X411" s="0" t="n">
        <f aca="false">W_PH(X$2,$A411)</f>
        <v>967.872235558701</v>
      </c>
      <c r="Y411" s="0" t="n">
        <f aca="false">W_PH(Y$2,$A411)</f>
        <v>967.930424380947</v>
      </c>
      <c r="Z411" s="0" t="n">
        <f aca="false">W_PH(Z$2,$A411)</f>
        <v>967.988619359881</v>
      </c>
      <c r="AA411" s="0" t="n">
        <f aca="false">W_PH(AA$2,$A411)</f>
        <v>968.046823770017</v>
      </c>
      <c r="AB411" s="0" t="n">
        <f aca="false">W_PH(AB$2,$A411)</f>
        <v>968.105037264251</v>
      </c>
      <c r="AC411" s="0" t="n">
        <f aca="false">W_PH(AC$2,$A411)</f>
        <v>968.163261910455</v>
      </c>
      <c r="AD411" s="0" t="n">
        <f aca="false">W_PH(AD$2,$A411)</f>
        <v>968.221494944656</v>
      </c>
      <c r="AE411" s="0" t="n">
        <f aca="false">W_PH(AE$2,$A411)</f>
        <v>968.279742058817</v>
      </c>
      <c r="AF411" s="0" t="n">
        <f aca="false">W_PH(AF$2,$A411)</f>
        <v>968.338001696754</v>
      </c>
      <c r="AG411" s="0" t="n">
        <f aca="false">W_PH(AG$2,$A411)</f>
        <v>968.396274718095</v>
      </c>
      <c r="AH411" s="0" t="n">
        <f aca="false">W_PH(AH$2,$A411)</f>
        <v>968.979920396365</v>
      </c>
      <c r="AI411" s="0" t="n">
        <f aca="false">W_PH(AI$2,$A411)</f>
        <v>969.565815461314</v>
      </c>
      <c r="AJ411" s="0" t="n">
        <f aca="false">W_PH(AJ$2,$A411)</f>
        <v>970.154779298053</v>
      </c>
      <c r="AK411" s="0" t="n">
        <f aca="false">W_PH(AK$2,$A411)</f>
        <v>970.747637670601</v>
      </c>
      <c r="AL411" s="0" t="n">
        <f aca="false">W_PH(AL$2,$A411)</f>
        <v>971.345204563094</v>
      </c>
      <c r="AM411" s="0" t="n">
        <f aca="false">W_PH(AM$2,$A411)</f>
        <v>971.948302922226</v>
      </c>
      <c r="AN411" s="0" t="n">
        <f aca="false">W_PH(AN$2,$A411)</f>
        <v>972.557752598161</v>
      </c>
      <c r="AO411" s="0" t="n">
        <f aca="false">W_PH(AO$2,$A411)</f>
        <v>973.174372876883</v>
      </c>
      <c r="AP411" s="0" t="n">
        <f aca="false">W_PH(AP$2,$A411)</f>
        <v>2015</v>
      </c>
      <c r="AQ411" s="0" t="n">
        <f aca="false">W_PH(AQ$2,$A411)</f>
        <v>2015</v>
      </c>
      <c r="AR411" s="0" t="n">
        <f aca="false">W_PH(AR$2,$A411)</f>
        <v>2015</v>
      </c>
      <c r="AS411" s="0" t="n">
        <f aca="false">W_PH(AS$2,$A411)</f>
        <v>2015</v>
      </c>
    </row>
    <row r="412" customFormat="false" ht="13.8" hidden="false" customHeight="false" outlineLevel="0" collapsed="false">
      <c r="A412" s="0" t="n">
        <v>5720</v>
      </c>
      <c r="B412" s="0" t="n">
        <f aca="false">W_PH(B$2,$A412)</f>
        <v>968.809958098789</v>
      </c>
      <c r="C412" s="0" t="n">
        <f aca="false">W_PH(C$2,$A412)</f>
        <v>968.810016171725</v>
      </c>
      <c r="D412" s="0" t="n">
        <f aca="false">W_PH(D$2,$A412)</f>
        <v>968.81007424467</v>
      </c>
      <c r="E412" s="0" t="n">
        <f aca="false">W_PH(E$2,$A412)</f>
        <v>968.810132317622</v>
      </c>
      <c r="F412" s="0" t="n">
        <f aca="false">W_PH(F$2,$A412)</f>
        <v>968.810190390582</v>
      </c>
      <c r="G412" s="0" t="n">
        <f aca="false">W_PH(G$2,$A412)</f>
        <v>968.810773531617</v>
      </c>
      <c r="H412" s="0" t="n">
        <f aca="false">W_PH(H$2,$A412)</f>
        <v>968.81135667345</v>
      </c>
      <c r="I412" s="0" t="n">
        <f aca="false">W_PH(I$2,$A412)</f>
        <v>968.81193861058</v>
      </c>
      <c r="J412" s="0" t="n">
        <f aca="false">W_PH(J$2,$A412)</f>
        <v>968.812520548507</v>
      </c>
      <c r="K412" s="0" t="n">
        <f aca="false">W_PH(K$2,$A412)</f>
        <v>968.813103692739</v>
      </c>
      <c r="L412" s="0" t="n">
        <f aca="false">W_PH(L$2,$A412)</f>
        <v>968.813685632264</v>
      </c>
      <c r="M412" s="0" t="n">
        <f aca="false">W_PH(M$2,$A412)</f>
        <v>968.814267572588</v>
      </c>
      <c r="N412" s="0" t="n">
        <f aca="false">W_PH(N$2,$A412)</f>
        <v>968.814850719226</v>
      </c>
      <c r="O412" s="0" t="n">
        <f aca="false">W_PH(O$2,$A412)</f>
        <v>968.815433866669</v>
      </c>
      <c r="P412" s="0" t="n">
        <f aca="false">W_PH(P$2,$A412)</f>
        <v>968.821258152348</v>
      </c>
      <c r="Q412" s="0" t="n">
        <f aca="false">W_PH(Q$2,$A412)</f>
        <v>968.827082519229</v>
      </c>
      <c r="R412" s="0" t="n">
        <f aca="false">W_PH(R$2,$A412)</f>
        <v>968.832906968171</v>
      </c>
      <c r="S412" s="0" t="n">
        <f aca="false">W_PH(S$2,$A412)</f>
        <v>968.838731500028</v>
      </c>
      <c r="T412" s="0" t="n">
        <f aca="false">W_PH(T$2,$A412)</f>
        <v>968.844556115659</v>
      </c>
      <c r="U412" s="0" t="n">
        <f aca="false">W_PH(U$2,$A412)</f>
        <v>968.85038081592</v>
      </c>
      <c r="V412" s="0" t="n">
        <f aca="false">W_PH(V$2,$A412)</f>
        <v>968.856205601667</v>
      </c>
      <c r="W412" s="0" t="n">
        <f aca="false">W_PH(W$2,$A412)</f>
        <v>968.862030473758</v>
      </c>
      <c r="X412" s="0" t="n">
        <f aca="false">W_PH(X$2,$A412)</f>
        <v>968.867855433049</v>
      </c>
      <c r="Y412" s="0" t="n">
        <f aca="false">W_PH(Y$2,$A412)</f>
        <v>968.926107598649</v>
      </c>
      <c r="Z412" s="0" t="n">
        <f aca="false">W_PH(Z$2,$A412)</f>
        <v>968.984369425848</v>
      </c>
      <c r="AA412" s="0" t="n">
        <f aca="false">W_PH(AA$2,$A412)</f>
        <v>969.04263935866</v>
      </c>
      <c r="AB412" s="0" t="n">
        <f aca="false">W_PH(AB$2,$A412)</f>
        <v>969.100917045902</v>
      </c>
      <c r="AC412" s="0" t="n">
        <f aca="false">W_PH(AC$2,$A412)</f>
        <v>969.159204548952</v>
      </c>
      <c r="AD412" s="0" t="n">
        <f aca="false">W_PH(AD$2,$A412)</f>
        <v>969.217505136871</v>
      </c>
      <c r="AE412" s="0" t="n">
        <f aca="false">W_PH(AE$2,$A412)</f>
        <v>969.275816044593</v>
      </c>
      <c r="AF412" s="0" t="n">
        <f aca="false">W_PH(AF$2,$A412)</f>
        <v>969.334140541235</v>
      </c>
      <c r="AG412" s="0" t="n">
        <f aca="false">W_PH(AG$2,$A412)</f>
        <v>969.392477067289</v>
      </c>
      <c r="AH412" s="0" t="n">
        <f aca="false">W_PH(AH$2,$A412)</f>
        <v>969.97675958996</v>
      </c>
      <c r="AI412" s="0" t="n">
        <f aca="false">W_PH(AI$2,$A412)</f>
        <v>970.563274208688</v>
      </c>
      <c r="AJ412" s="0" t="n">
        <f aca="false">W_PH(AJ$2,$A412)</f>
        <v>971.15283939056</v>
      </c>
      <c r="AK412" s="0" t="n">
        <f aca="false">W_PH(AK$2,$A412)</f>
        <v>971.746271514321</v>
      </c>
      <c r="AL412" s="0" t="n">
        <f aca="false">W_PH(AL$2,$A412)</f>
        <v>972.344384923927</v>
      </c>
      <c r="AM412" s="0" t="n">
        <f aca="false">W_PH(AM$2,$A412)</f>
        <v>972.947995653544</v>
      </c>
      <c r="AN412" s="0" t="n">
        <f aca="false">W_PH(AN$2,$A412)</f>
        <v>973.557919093003</v>
      </c>
      <c r="AO412" s="0" t="n">
        <f aca="false">W_PH(AO$2,$A412)</f>
        <v>974.174971312055</v>
      </c>
      <c r="AP412" s="0" t="n">
        <f aca="false">W_PH(AP$2,$A412)</f>
        <v>2015</v>
      </c>
      <c r="AQ412" s="0" t="n">
        <f aca="false">W_PH(AQ$2,$A412)</f>
        <v>2015</v>
      </c>
      <c r="AR412" s="0" t="n">
        <f aca="false">W_PH(AR$2,$A412)</f>
        <v>2015</v>
      </c>
      <c r="AS412" s="0" t="n">
        <f aca="false">W_PH(AS$2,$A412)</f>
        <v>2015</v>
      </c>
    </row>
    <row r="413" customFormat="false" ht="13.8" hidden="false" customHeight="false" outlineLevel="0" collapsed="false">
      <c r="A413" s="0" t="n">
        <v>5730</v>
      </c>
      <c r="B413" s="0" t="n">
        <f aca="false">W_PH(B$2,$A413)</f>
        <v>969.803880665983</v>
      </c>
      <c r="C413" s="0" t="n">
        <f aca="false">W_PH(C$2,$A413)</f>
        <v>969.803940112223</v>
      </c>
      <c r="D413" s="0" t="n">
        <f aca="false">W_PH(D$2,$A413)</f>
        <v>969.80399835417</v>
      </c>
      <c r="E413" s="0" t="n">
        <f aca="false">W_PH(E$2,$A413)</f>
        <v>969.804056596126</v>
      </c>
      <c r="F413" s="0" t="n">
        <f aca="false">W_PH(F$2,$A413)</f>
        <v>969.804114838089</v>
      </c>
      <c r="G413" s="0" t="n">
        <f aca="false">W_PH(G$2,$A413)</f>
        <v>969.804698462457</v>
      </c>
      <c r="H413" s="0" t="n">
        <f aca="false">W_PH(H$2,$A413)</f>
        <v>969.805280883308</v>
      </c>
      <c r="I413" s="0" t="n">
        <f aca="false">W_PH(I$2,$A413)</f>
        <v>969.805863304944</v>
      </c>
      <c r="J413" s="0" t="n">
        <f aca="false">W_PH(J$2,$A413)</f>
        <v>969.806448135983</v>
      </c>
      <c r="K413" s="0" t="n">
        <f aca="false">W_PH(K$2,$A413)</f>
        <v>969.807030559194</v>
      </c>
      <c r="L413" s="0" t="n">
        <f aca="false">W_PH(L$2,$A413)</f>
        <v>969.807612983193</v>
      </c>
      <c r="M413" s="0" t="n">
        <f aca="false">W_PH(M$2,$A413)</f>
        <v>969.808196612295</v>
      </c>
      <c r="N413" s="0" t="n">
        <f aca="false">W_PH(N$2,$A413)</f>
        <v>969.808780242191</v>
      </c>
      <c r="O413" s="0" t="n">
        <f aca="false">W_PH(O$2,$A413)</f>
        <v>969.809362668561</v>
      </c>
      <c r="P413" s="0" t="n">
        <f aca="false">W_PH(P$2,$A413)</f>
        <v>969.815194201928</v>
      </c>
      <c r="Q413" s="0" t="n">
        <f aca="false">W_PH(Q$2,$A413)</f>
        <v>969.821023406743</v>
      </c>
      <c r="R413" s="0" t="n">
        <f aca="false">W_PH(R$2,$A413)</f>
        <v>969.826855101256</v>
      </c>
      <c r="S413" s="0" t="n">
        <f aca="false">W_PH(S$2,$A413)</f>
        <v>969.832686877641</v>
      </c>
      <c r="T413" s="0" t="n">
        <f aca="false">W_PH(T$2,$A413)</f>
        <v>969.838517532329</v>
      </c>
      <c r="U413" s="0" t="n">
        <f aca="false">W_PH(U$2,$A413)</f>
        <v>969.844348270552</v>
      </c>
      <c r="V413" s="0" t="n">
        <f aca="false">W_PH(V$2,$A413)</f>
        <v>969.850180297625</v>
      </c>
      <c r="W413" s="0" t="n">
        <f aca="false">W_PH(W$2,$A413)</f>
        <v>969.856011205495</v>
      </c>
      <c r="X413" s="0" t="n">
        <f aca="false">W_PH(X$2,$A413)</f>
        <v>969.861842199457</v>
      </c>
      <c r="Y413" s="0" t="n">
        <f aca="false">W_PH(Y$2,$A413)</f>
        <v>969.920159470991</v>
      </c>
      <c r="Z413" s="0" t="n">
        <f aca="false">W_PH(Z$2,$A413)</f>
        <v>969.978485084877</v>
      </c>
      <c r="AA413" s="0" t="n">
        <f aca="false">W_PH(AA$2,$A413)</f>
        <v>970.036818687397</v>
      </c>
      <c r="AB413" s="0" t="n">
        <f aca="false">W_PH(AB$2,$A413)</f>
        <v>970.095159923947</v>
      </c>
      <c r="AC413" s="0" t="n">
        <f aca="false">W_PH(AC$2,$A413)</f>
        <v>970.153513261115</v>
      </c>
      <c r="AD413" s="0" t="n">
        <f aca="false">W_PH(AD$2,$A413)</f>
        <v>970.211877139245</v>
      </c>
      <c r="AE413" s="0" t="n">
        <f aca="false">W_PH(AE$2,$A413)</f>
        <v>970.270249996985</v>
      </c>
      <c r="AF413" s="0" t="n">
        <f aca="false">W_PH(AF$2,$A413)</f>
        <v>970.328637508057</v>
      </c>
      <c r="AG413" s="0" t="n">
        <f aca="false">W_PH(AG$2,$A413)</f>
        <v>970.387038111372</v>
      </c>
      <c r="AH413" s="0" t="n">
        <f aca="false">W_PH(AH$2,$A413)</f>
        <v>970.971948829699</v>
      </c>
      <c r="AI413" s="0" t="n">
        <f aca="false">W_PH(AI$2,$A413)</f>
        <v>971.559074594837</v>
      </c>
      <c r="AJ413" s="0" t="n">
        <f aca="false">W_PH(AJ$2,$A413)</f>
        <v>972.149230560058</v>
      </c>
      <c r="AK413" s="0" t="n">
        <f aca="false">W_PH(AK$2,$A413)</f>
        <v>972.743228610341</v>
      </c>
      <c r="AL413" s="0" t="n">
        <f aca="false">W_PH(AL$2,$A413)</f>
        <v>973.34187862146</v>
      </c>
      <c r="AM413" s="0" t="n">
        <f aca="false">W_PH(AM$2,$A413)</f>
        <v>973.945993398055</v>
      </c>
      <c r="AN413" s="0" t="n">
        <f aca="false">W_PH(AN$2,$A413)</f>
        <v>974.556382689982</v>
      </c>
      <c r="AO413" s="0" t="n">
        <f aca="false">W_PH(AO$2,$A413)</f>
        <v>975.173856938944</v>
      </c>
      <c r="AP413" s="0" t="n">
        <f aca="false">W_PH(AP$2,$A413)</f>
        <v>2015</v>
      </c>
      <c r="AQ413" s="0" t="n">
        <f aca="false">W_PH(AQ$2,$A413)</f>
        <v>2015</v>
      </c>
      <c r="AR413" s="0" t="n">
        <f aca="false">W_PH(AR$2,$A413)</f>
        <v>2015</v>
      </c>
      <c r="AS413" s="0" t="n">
        <f aca="false">W_PH(AS$2,$A413)</f>
        <v>2015</v>
      </c>
    </row>
    <row r="414" customFormat="false" ht="13.8" hidden="false" customHeight="false" outlineLevel="0" collapsed="false">
      <c r="A414" s="0" t="n">
        <v>5740</v>
      </c>
      <c r="B414" s="0" t="n">
        <f aca="false">W_PH(B$2,$A414)</f>
        <v>970.796183217843</v>
      </c>
      <c r="C414" s="0" t="n">
        <f aca="false">W_PH(C$2,$A414)</f>
        <v>970.796241626743</v>
      </c>
      <c r="D414" s="0" t="n">
        <f aca="false">W_PH(D$2,$A414)</f>
        <v>970.796300035652</v>
      </c>
      <c r="E414" s="0" t="n">
        <f aca="false">W_PH(E$2,$A414)</f>
        <v>970.796358444568</v>
      </c>
      <c r="F414" s="0" t="n">
        <f aca="false">W_PH(F$2,$A414)</f>
        <v>970.796416853492</v>
      </c>
      <c r="G414" s="0" t="n">
        <f aca="false">W_PH(G$2,$A414)</f>
        <v>970.796999740045</v>
      </c>
      <c r="H414" s="0" t="n">
        <f aca="false">W_PH(H$2,$A414)</f>
        <v>970.797582627372</v>
      </c>
      <c r="I414" s="0" t="n">
        <f aca="false">W_PH(I$2,$A414)</f>
        <v>970.798166718588</v>
      </c>
      <c r="J414" s="0" t="n">
        <f aca="false">W_PH(J$2,$A414)</f>
        <v>970.798750810584</v>
      </c>
      <c r="K414" s="0" t="n">
        <f aca="false">W_PH(K$2,$A414)</f>
        <v>970.799334903358</v>
      </c>
      <c r="L414" s="0" t="n">
        <f aca="false">W_PH(L$2,$A414)</f>
        <v>970.799918996914</v>
      </c>
      <c r="M414" s="0" t="n">
        <f aca="false">W_PH(M$2,$A414)</f>
        <v>970.800501888126</v>
      </c>
      <c r="N414" s="0" t="n">
        <f aca="false">W_PH(N$2,$A414)</f>
        <v>970.801084780116</v>
      </c>
      <c r="O414" s="0" t="n">
        <f aca="false">W_PH(O$2,$A414)</f>
        <v>970.801668876014</v>
      </c>
      <c r="P414" s="0" t="n">
        <f aca="false">W_PH(P$2,$A414)</f>
        <v>970.807507471938</v>
      </c>
      <c r="Q414" s="0" t="n">
        <f aca="false">W_PH(Q$2,$A414)</f>
        <v>970.813343740671</v>
      </c>
      <c r="R414" s="0" t="n">
        <f aca="false">W_PH(R$2,$A414)</f>
        <v>970.819181292505</v>
      </c>
      <c r="S414" s="0" t="n">
        <f aca="false">W_PH(S$2,$A414)</f>
        <v>970.825018925139</v>
      </c>
      <c r="T414" s="0" t="n">
        <f aca="false">W_PH(T$2,$A414)</f>
        <v>970.830855436192</v>
      </c>
      <c r="U414" s="0" t="n">
        <f aca="false">W_PH(U$2,$A414)</f>
        <v>970.836694436197</v>
      </c>
      <c r="V414" s="0" t="n">
        <f aca="false">W_PH(V$2,$A414)</f>
        <v>970.842531113047</v>
      </c>
      <c r="W414" s="0" t="n">
        <f aca="false">W_PH(W$2,$A414)</f>
        <v>970.848367874047</v>
      </c>
      <c r="X414" s="0" t="n">
        <f aca="false">W_PH(X$2,$A414)</f>
        <v>970.854207126663</v>
      </c>
      <c r="Y414" s="0" t="n">
        <f aca="false">W_PH(Y$2,$A414)</f>
        <v>970.912587669405</v>
      </c>
      <c r="Z414" s="0" t="n">
        <f aca="false">W_PH(Z$2,$A414)</f>
        <v>970.970975239091</v>
      </c>
      <c r="AA414" s="0" t="n">
        <f aca="false">W_PH(AA$2,$A414)</f>
        <v>971.02937068191</v>
      </c>
      <c r="AB414" s="0" t="n">
        <f aca="false">W_PH(AB$2,$A414)</f>
        <v>971.087777252215</v>
      </c>
      <c r="AC414" s="0" t="n">
        <f aca="false">W_PH(AC$2,$A414)</f>
        <v>971.146192184318</v>
      </c>
      <c r="AD414" s="0" t="n">
        <f aca="false">W_PH(AD$2,$A414)</f>
        <v>971.204617528116</v>
      </c>
      <c r="AE414" s="0" t="n">
        <f aca="false">W_PH(AE$2,$A414)</f>
        <v>971.263055334241</v>
      </c>
      <c r="AF414" s="0" t="n">
        <f aca="false">W_PH(AF$2,$A414)</f>
        <v>971.321505244223</v>
      </c>
      <c r="AG414" s="0" t="n">
        <f aca="false">W_PH(AG$2,$A414)</f>
        <v>971.37996810384</v>
      </c>
      <c r="AH414" s="0" t="n">
        <f aca="false">W_PH(AH$2,$A414)</f>
        <v>971.96549495285</v>
      </c>
      <c r="AI414" s="0" t="n">
        <f aca="false">W_PH(AI$2,$A414)</f>
        <v>972.553223652575</v>
      </c>
      <c r="AJ414" s="0" t="n">
        <f aca="false">W_PH(AJ$2,$A414)</f>
        <v>973.143961249699</v>
      </c>
      <c r="AK414" s="0" t="n">
        <f aca="false">W_PH(AK$2,$A414)</f>
        <v>973.738516378165</v>
      </c>
      <c r="AL414" s="0" t="n">
        <f aca="false">W_PH(AL$2,$A414)</f>
        <v>974.337694480712</v>
      </c>
      <c r="AM414" s="0" t="n">
        <f aca="false">W_PH(AM$2,$A414)</f>
        <v>974.94230394777</v>
      </c>
      <c r="AN414" s="0" t="n">
        <f aca="false">W_PH(AN$2,$A414)</f>
        <v>975.553150139175</v>
      </c>
      <c r="AO414" s="0" t="n">
        <f aca="false">W_PH(AO$2,$A414)</f>
        <v>976.171041566058</v>
      </c>
      <c r="AP414" s="0" t="n">
        <f aca="false">W_PH(AP$2,$A414)</f>
        <v>2015</v>
      </c>
      <c r="AQ414" s="0" t="n">
        <f aca="false">W_PH(AQ$2,$A414)</f>
        <v>2015</v>
      </c>
      <c r="AR414" s="0" t="n">
        <f aca="false">W_PH(AR$2,$A414)</f>
        <v>2015</v>
      </c>
      <c r="AS414" s="0" t="n">
        <f aca="false">W_PH(AS$2,$A414)</f>
        <v>2015</v>
      </c>
    </row>
    <row r="415" customFormat="false" ht="13.8" hidden="false" customHeight="false" outlineLevel="0" collapsed="false">
      <c r="A415" s="0" t="n">
        <v>5750</v>
      </c>
      <c r="B415" s="0" t="n">
        <f aca="false">W_PH(B$2,$A415)</f>
        <v>971.786868517526</v>
      </c>
      <c r="C415" s="0" t="n">
        <f aca="false">W_PH(C$2,$A415)</f>
        <v>971.786927091369</v>
      </c>
      <c r="D415" s="0" t="n">
        <f aca="false">W_PH(D$2,$A415)</f>
        <v>971.786985665219</v>
      </c>
      <c r="E415" s="0" t="n">
        <f aca="false">W_PH(E$2,$A415)</f>
        <v>971.787044239077</v>
      </c>
      <c r="F415" s="0" t="n">
        <f aca="false">W_PH(F$2,$A415)</f>
        <v>971.787102812943</v>
      </c>
      <c r="G415" s="0" t="n">
        <f aca="false">W_PH(G$2,$A415)</f>
        <v>971.787687350098</v>
      </c>
      <c r="H415" s="0" t="n">
        <f aca="false">W_PH(H$2,$A415)</f>
        <v>971.788271888019</v>
      </c>
      <c r="I415" s="0" t="n">
        <f aca="false">W_PH(I$2,$A415)</f>
        <v>971.788855224778</v>
      </c>
      <c r="J415" s="0" t="n">
        <f aca="false">W_PH(J$2,$A415)</f>
        <v>971.789440966163</v>
      </c>
      <c r="K415" s="0" t="n">
        <f aca="false">W_PH(K$2,$A415)</f>
        <v>971.790024304454</v>
      </c>
      <c r="L415" s="0" t="n">
        <f aca="false">W_PH(L$2,$A415)</f>
        <v>971.790610047382</v>
      </c>
      <c r="M415" s="0" t="n">
        <f aca="false">W_PH(M$2,$A415)</f>
        <v>971.791193387209</v>
      </c>
      <c r="N415" s="0" t="n">
        <f aca="false">W_PH(N$2,$A415)</f>
        <v>971.791777929743</v>
      </c>
      <c r="O415" s="0" t="n">
        <f aca="false">W_PH(O$2,$A415)</f>
        <v>971.792362473049</v>
      </c>
      <c r="P415" s="0" t="n">
        <f aca="false">W_PH(P$2,$A415)</f>
        <v>971.798205544836</v>
      </c>
      <c r="Q415" s="0" t="n">
        <f aca="false">W_PH(Q$2,$A415)</f>
        <v>971.80404869468</v>
      </c>
      <c r="R415" s="0" t="n">
        <f aca="false">W_PH(R$2,$A415)</f>
        <v>971.809891923423</v>
      </c>
      <c r="S415" s="0" t="n">
        <f aca="false">W_PH(S$2,$A415)</f>
        <v>971.815736433929</v>
      </c>
      <c r="T415" s="0" t="n">
        <f aca="false">W_PH(T$2,$A415)</f>
        <v>971.82157982302</v>
      </c>
      <c r="U415" s="0" t="n">
        <f aca="false">W_PH(U$2,$A415)</f>
        <v>971.827424495599</v>
      </c>
      <c r="V415" s="0" t="n">
        <f aca="false">W_PH(V$2,$A415)</f>
        <v>971.833268048409</v>
      </c>
      <c r="W415" s="0" t="n">
        <f aca="false">W_PH(W$2,$A415)</f>
        <v>971.839111684333</v>
      </c>
      <c r="X415" s="0" t="n">
        <f aca="false">W_PH(X$2,$A415)</f>
        <v>971.844955404215</v>
      </c>
      <c r="Y415" s="0" t="n">
        <f aca="false">W_PH(Y$2,$A415)</f>
        <v>971.90339740611</v>
      </c>
      <c r="Z415" s="0" t="n">
        <f aca="false">W_PH(Z$2,$A415)</f>
        <v>971.961848730902</v>
      </c>
      <c r="AA415" s="0" t="n">
        <f aca="false">W_PH(AA$2,$A415)</f>
        <v>972.020307815984</v>
      </c>
      <c r="AB415" s="0" t="n">
        <f aca="false">W_PH(AB$2,$A415)</f>
        <v>972.07877430001</v>
      </c>
      <c r="AC415" s="0" t="n">
        <f aca="false">W_PH(AC$2,$A415)</f>
        <v>972.137251430115</v>
      </c>
      <c r="AD415" s="0" t="n">
        <f aca="false">W_PH(AD$2,$A415)</f>
        <v>972.19574004833</v>
      </c>
      <c r="AE415" s="0" t="n">
        <f aca="false">W_PH(AE$2,$A415)</f>
        <v>972.254238589595</v>
      </c>
      <c r="AF415" s="0" t="n">
        <f aca="false">W_PH(AF$2,$A415)</f>
        <v>972.312749098328</v>
      </c>
      <c r="AG415" s="0" t="n">
        <f aca="false">W_PH(AG$2,$A415)</f>
        <v>972.371274823583</v>
      </c>
      <c r="AH415" s="0" t="n">
        <f aca="false">W_PH(AH$2,$A415)</f>
        <v>972.957409564954</v>
      </c>
      <c r="AI415" s="0" t="n">
        <f aca="false">W_PH(AI$2,$A415)</f>
        <v>973.545730772218</v>
      </c>
      <c r="AJ415" s="0" t="n">
        <f aca="false">W_PH(AJ$2,$A415)</f>
        <v>974.137039836452</v>
      </c>
      <c r="AK415" s="0" t="n">
        <f aca="false">W_PH(AK$2,$A415)</f>
        <v>974.732142173424</v>
      </c>
      <c r="AL415" s="0" t="n">
        <f aca="false">W_PH(AL$2,$A415)</f>
        <v>975.331840041239</v>
      </c>
      <c r="AM415" s="0" t="n">
        <f aca="false">W_PH(AM$2,$A415)</f>
        <v>975.936937456057</v>
      </c>
      <c r="AN415" s="0" t="n">
        <f aca="false">W_PH(AN$2,$A415)</f>
        <v>976.548234209789</v>
      </c>
      <c r="AO415" s="0" t="n">
        <f aca="false">W_PH(AO$2,$A415)</f>
        <v>977.166534473117</v>
      </c>
      <c r="AP415" s="0" t="n">
        <f aca="false">W_PH(AP$2,$A415)</f>
        <v>2015</v>
      </c>
      <c r="AQ415" s="0" t="n">
        <f aca="false">W_PH(AQ$2,$A415)</f>
        <v>2015</v>
      </c>
      <c r="AR415" s="0" t="n">
        <f aca="false">W_PH(AR$2,$A415)</f>
        <v>2015</v>
      </c>
      <c r="AS415" s="0" t="n">
        <f aca="false">W_PH(AS$2,$A415)</f>
        <v>2015</v>
      </c>
    </row>
    <row r="416" customFormat="false" ht="13.8" hidden="false" customHeight="false" outlineLevel="0" collapsed="false">
      <c r="A416" s="0" t="n">
        <v>5760</v>
      </c>
      <c r="B416" s="0" t="n">
        <f aca="false">W_PH(B$2,$A416)</f>
        <v>972.775951301218</v>
      </c>
      <c r="C416" s="0" t="n">
        <f aca="false">W_PH(C$2,$A416)</f>
        <v>972.776010038009</v>
      </c>
      <c r="D416" s="0" t="n">
        <f aca="false">W_PH(D$2,$A416)</f>
        <v>972.776067574066</v>
      </c>
      <c r="E416" s="0" t="n">
        <f aca="false">W_PH(E$2,$A416)</f>
        <v>972.776126310872</v>
      </c>
      <c r="F416" s="0" t="n">
        <f aca="false">W_PH(F$2,$A416)</f>
        <v>972.776183846944</v>
      </c>
      <c r="G416" s="0" t="n">
        <f aca="false">W_PH(G$2,$A416)</f>
        <v>972.776768814011</v>
      </c>
      <c r="H416" s="0" t="n">
        <f aca="false">W_PH(H$2,$A416)</f>
        <v>972.777353781834</v>
      </c>
      <c r="I416" s="0" t="n">
        <f aca="false">W_PH(I$2,$A416)</f>
        <v>972.777938750413</v>
      </c>
      <c r="J416" s="0" t="n">
        <f aca="false">W_PH(J$2,$A416)</f>
        <v>972.77852371975</v>
      </c>
      <c r="K416" s="0" t="n">
        <f aca="false">W_PH(K$2,$A416)</f>
        <v>972.779108689844</v>
      </c>
      <c r="L416" s="0" t="n">
        <f aca="false">W_PH(L$2,$A416)</f>
        <v>972.779693660697</v>
      </c>
      <c r="M416" s="0" t="n">
        <f aca="false">W_PH(M$2,$A416)</f>
        <v>972.780278632311</v>
      </c>
      <c r="N416" s="0" t="n">
        <f aca="false">W_PH(N$2,$A416)</f>
        <v>972.780863604684</v>
      </c>
      <c r="O416" s="0" t="n">
        <f aca="false">W_PH(O$2,$A416)</f>
        <v>972.781448577819</v>
      </c>
      <c r="P416" s="0" t="n">
        <f aca="false">W_PH(P$2,$A416)</f>
        <v>972.787298351229</v>
      </c>
      <c r="Q416" s="0" t="n">
        <f aca="false">W_PH(Q$2,$A416)</f>
        <v>972.7931482017</v>
      </c>
      <c r="R416" s="0" t="n">
        <f aca="false">W_PH(R$2,$A416)</f>
        <v>972.79899813007</v>
      </c>
      <c r="S416" s="0" t="n">
        <f aca="false">W_PH(S$2,$A416)</f>
        <v>972.804848137179</v>
      </c>
      <c r="T416" s="0" t="n">
        <f aca="false">W_PH(T$2,$A416)</f>
        <v>972.810698223864</v>
      </c>
      <c r="U416" s="0" t="n">
        <f aca="false">W_PH(U$2,$A416)</f>
        <v>972.816548390963</v>
      </c>
      <c r="V416" s="0" t="n">
        <f aca="false">W_PH(V$2,$A416)</f>
        <v>972.822397438418</v>
      </c>
      <c r="W416" s="0" t="n">
        <f aca="false">W_PH(W$2,$A416)</f>
        <v>972.828246567926</v>
      </c>
      <c r="X416" s="0" t="n">
        <f aca="false">W_PH(X$2,$A416)</f>
        <v>972.83409698126</v>
      </c>
      <c r="Y416" s="0" t="n">
        <f aca="false">W_PH(Y$2,$A416)</f>
        <v>972.892601055667</v>
      </c>
      <c r="Z416" s="0" t="n">
        <f aca="false">W_PH(Z$2,$A416)</f>
        <v>972.951113142365</v>
      </c>
      <c r="AA416" s="0" t="n">
        <f aca="false">W_PH(AA$2,$A416)</f>
        <v>973.009632877533</v>
      </c>
      <c r="AB416" s="0" t="n">
        <f aca="false">W_PH(AB$2,$A416)</f>
        <v>973.068162299949</v>
      </c>
      <c r="AC416" s="0" t="n">
        <f aca="false">W_PH(AC$2,$A416)</f>
        <v>973.126698641427</v>
      </c>
      <c r="AD416" s="0" t="n">
        <f aca="false">W_PH(AD$2,$A416)</f>
        <v>973.185247546182</v>
      </c>
      <c r="AE416" s="0" t="n">
        <f aca="false">W_PH(AE$2,$A416)</f>
        <v>973.243807447624</v>
      </c>
      <c r="AF416" s="0" t="n">
        <f aca="false">W_PH(AF$2,$A416)</f>
        <v>973.302379182548</v>
      </c>
      <c r="AG416" s="0" t="n">
        <f aca="false">W_PH(AG$2,$A416)</f>
        <v>973.360965993097</v>
      </c>
      <c r="AH416" s="0" t="n">
        <f aca="false">W_PH(AH$2,$A416)</f>
        <v>973.947699378742</v>
      </c>
      <c r="AI416" s="0" t="n">
        <f aca="false">W_PH(AI$2,$A416)</f>
        <v>974.536602863485</v>
      </c>
      <c r="AJ416" s="0" t="n">
        <f aca="false">W_PH(AJ$2,$A416)</f>
        <v>975.128475840434</v>
      </c>
      <c r="AK416" s="0" t="n">
        <f aca="false">W_PH(AK$2,$A416)</f>
        <v>975.724116919825</v>
      </c>
      <c r="AL416" s="0" t="n">
        <f aca="false">W_PH(AL$2,$A416)</f>
        <v>976.324327625728</v>
      </c>
      <c r="AM416" s="0" t="n">
        <f aca="false">W_PH(AM$2,$A416)</f>
        <v>976.929901569145</v>
      </c>
      <c r="AN416" s="0" t="n">
        <f aca="false">W_PH(AN$2,$A416)</f>
        <v>977.541641499466</v>
      </c>
      <c r="AO416" s="0" t="n">
        <f aca="false">W_PH(AO$2,$A416)</f>
        <v>978.160342425914</v>
      </c>
      <c r="AP416" s="0" t="n">
        <f aca="false">W_PH(AP$2,$A416)</f>
        <v>2015</v>
      </c>
      <c r="AQ416" s="0" t="n">
        <f aca="false">W_PH(AQ$2,$A416)</f>
        <v>2015</v>
      </c>
      <c r="AR416" s="0" t="n">
        <f aca="false">W_PH(AR$2,$A416)</f>
        <v>2015</v>
      </c>
      <c r="AS416" s="0" t="n">
        <f aca="false">W_PH(AS$2,$A416)</f>
        <v>2015</v>
      </c>
    </row>
    <row r="417" customFormat="false" ht="13.8" hidden="false" customHeight="false" outlineLevel="0" collapsed="false">
      <c r="A417" s="0" t="n">
        <v>5770</v>
      </c>
      <c r="B417" s="0" t="n">
        <f aca="false">W_PH(B$2,$A417)</f>
        <v>973.76343422842</v>
      </c>
      <c r="C417" s="0" t="n">
        <f aca="false">W_PH(C$2,$A417)</f>
        <v>973.763493126189</v>
      </c>
      <c r="D417" s="0" t="n">
        <f aca="false">W_PH(D$2,$A417)</f>
        <v>973.763552023965</v>
      </c>
      <c r="E417" s="0" t="n">
        <f aca="false">W_PH(E$2,$A417)</f>
        <v>973.763610921749</v>
      </c>
      <c r="F417" s="0" t="n">
        <f aca="false">W_PH(F$2,$A417)</f>
        <v>973.76366981954</v>
      </c>
      <c r="G417" s="0" t="n">
        <f aca="false">W_PH(G$2,$A417)</f>
        <v>973.764253999602</v>
      </c>
      <c r="H417" s="0" t="n">
        <f aca="false">W_PH(H$2,$A417)</f>
        <v>973.764840579544</v>
      </c>
      <c r="I417" s="0" t="n">
        <f aca="false">W_PH(I$2,$A417)</f>
        <v>973.765425960664</v>
      </c>
      <c r="J417" s="0" t="n">
        <f aca="false">W_PH(J$2,$A417)</f>
        <v>973.766011342531</v>
      </c>
      <c r="K417" s="0" t="n">
        <f aca="false">W_PH(K$2,$A417)</f>
        <v>973.766596725145</v>
      </c>
      <c r="L417" s="0" t="n">
        <f aca="false">W_PH(L$2,$A417)</f>
        <v>973.767182108508</v>
      </c>
      <c r="M417" s="0" t="n">
        <f aca="false">W_PH(M$2,$A417)</f>
        <v>973.767768692198</v>
      </c>
      <c r="N417" s="0" t="n">
        <f aca="false">W_PH(N$2,$A417)</f>
        <v>973.768352877481</v>
      </c>
      <c r="O417" s="0" t="n">
        <f aca="false">W_PH(O$2,$A417)</f>
        <v>973.768939462676</v>
      </c>
      <c r="P417" s="0" t="n">
        <f aca="false">W_PH(P$2,$A417)</f>
        <v>973.774794559903</v>
      </c>
      <c r="Q417" s="0" t="n">
        <f aca="false">W_PH(Q$2,$A417)</f>
        <v>973.780649733168</v>
      </c>
      <c r="R417" s="0" t="n">
        <f aca="false">W_PH(R$2,$A417)</f>
        <v>973.786506182949</v>
      </c>
      <c r="S417" s="0" t="n">
        <f aca="false">W_PH(S$2,$A417)</f>
        <v>973.792362710475</v>
      </c>
      <c r="T417" s="0" t="n">
        <f aca="false">W_PH(T$2,$A417)</f>
        <v>973.798216917221</v>
      </c>
      <c r="U417" s="0" t="n">
        <f aca="false">W_PH(U$2,$A417)</f>
        <v>973.804073602703</v>
      </c>
      <c r="V417" s="0" t="n">
        <f aca="false">W_PH(V$2,$A417)</f>
        <v>973.809930368433</v>
      </c>
      <c r="W417" s="0" t="n">
        <f aca="false">W_PH(W$2,$A417)</f>
        <v>973.815784815768</v>
      </c>
      <c r="X417" s="0" t="n">
        <f aca="false">W_PH(X$2,$A417)</f>
        <v>973.821641744456</v>
      </c>
      <c r="Y417" s="0" t="n">
        <f aca="false">W_PH(Y$2,$A417)</f>
        <v>973.880206120546</v>
      </c>
      <c r="Z417" s="0" t="n">
        <f aca="false">W_PH(Z$2,$A417)</f>
        <v>973.938777202059</v>
      </c>
      <c r="AA417" s="0" t="n">
        <f aca="false">W_PH(AA$2,$A417)</f>
        <v>973.997358222315</v>
      </c>
      <c r="AB417" s="0" t="n">
        <f aca="false">W_PH(AB$2,$A417)</f>
        <v>974.055946413444</v>
      </c>
      <c r="AC417" s="0" t="n">
        <f aca="false">W_PH(AC$2,$A417)</f>
        <v>974.114543808105</v>
      </c>
      <c r="AD417" s="0" t="n">
        <f aca="false">W_PH(AD$2,$A417)</f>
        <v>974.173152439671</v>
      </c>
      <c r="AE417" s="0" t="n">
        <f aca="false">W_PH(AE$2,$A417)</f>
        <v>974.231773141111</v>
      </c>
      <c r="AF417" s="0" t="n">
        <f aca="false">W_PH(AF$2,$A417)</f>
        <v>974.290405544018</v>
      </c>
      <c r="AG417" s="0" t="n">
        <f aca="false">W_PH(AG$2,$A417)</f>
        <v>974.349049279148</v>
      </c>
      <c r="AH417" s="0" t="n">
        <f aca="false">W_PH(AH$2,$A417)</f>
        <v>974.936373460018</v>
      </c>
      <c r="AI417" s="0" t="n">
        <f aca="false">W_PH(AI$2,$A417)</f>
        <v>975.52585039547</v>
      </c>
      <c r="AJ417" s="0" t="n">
        <f aca="false">W_PH(AJ$2,$A417)</f>
        <v>976.118278712175</v>
      </c>
      <c r="AK417" s="0" t="n">
        <f aca="false">W_PH(AK$2,$A417)</f>
        <v>976.714450254333</v>
      </c>
      <c r="AL417" s="0" t="n">
        <f aca="false">W_PH(AL$2,$A417)</f>
        <v>977.315163416484</v>
      </c>
      <c r="AM417" s="0" t="n">
        <f aca="false">W_PH(AM$2,$A417)</f>
        <v>977.921207503902</v>
      </c>
      <c r="AN417" s="0" t="n">
        <f aca="false">W_PH(AN$2,$A417)</f>
        <v>978.533382184585</v>
      </c>
      <c r="AO417" s="0" t="n">
        <f aca="false">W_PH(AO$2,$A417)</f>
        <v>979.152476987774</v>
      </c>
      <c r="AP417" s="0" t="n">
        <f aca="false">W_PH(AP$2,$A417)</f>
        <v>2015</v>
      </c>
      <c r="AQ417" s="0" t="n">
        <f aca="false">W_PH(AQ$2,$A417)</f>
        <v>2015</v>
      </c>
      <c r="AR417" s="0" t="n">
        <f aca="false">W_PH(AR$2,$A417)</f>
        <v>2015</v>
      </c>
      <c r="AS417" s="0" t="n">
        <f aca="false">W_PH(AS$2,$A417)</f>
        <v>2015</v>
      </c>
    </row>
    <row r="418" customFormat="false" ht="13.8" hidden="false" customHeight="false" outlineLevel="0" collapsed="false">
      <c r="A418" s="0" t="n">
        <v>5780</v>
      </c>
      <c r="B418" s="0" t="n">
        <f aca="false">W_PH(B$2,$A418)</f>
        <v>974.7493295125</v>
      </c>
      <c r="C418" s="0" t="n">
        <f aca="false">W_PH(C$2,$A418)</f>
        <v>974.7493885693</v>
      </c>
      <c r="D418" s="0" t="n">
        <f aca="false">W_PH(D$2,$A418)</f>
        <v>974.749447626107</v>
      </c>
      <c r="E418" s="0" t="n">
        <f aca="false">W_PH(E$2,$A418)</f>
        <v>974.749506682922</v>
      </c>
      <c r="F418" s="0" t="n">
        <f aca="false">W_PH(F$2,$A418)</f>
        <v>974.749564541352</v>
      </c>
      <c r="G418" s="0" t="n">
        <f aca="false">W_PH(G$2,$A418)</f>
        <v>974.7501515148</v>
      </c>
      <c r="H418" s="0" t="n">
        <f aca="false">W_PH(H$2,$A418)</f>
        <v>974.750737290591</v>
      </c>
      <c r="I418" s="0" t="n">
        <f aca="false">W_PH(I$2,$A418)</f>
        <v>974.751323067117</v>
      </c>
      <c r="J418" s="0" t="n">
        <f aca="false">W_PH(J$2,$A418)</f>
        <v>974.751908844379</v>
      </c>
      <c r="K418" s="0" t="n">
        <f aca="false">W_PH(K$2,$A418)</f>
        <v>974.752494622379</v>
      </c>
      <c r="L418" s="0" t="n">
        <f aca="false">W_PH(L$2,$A418)</f>
        <v>974.753081599521</v>
      </c>
      <c r="M418" s="0" t="n">
        <f aca="false">W_PH(M$2,$A418)</f>
        <v>974.753667378999</v>
      </c>
      <c r="N418" s="0" t="n">
        <f aca="false">W_PH(N$2,$A418)</f>
        <v>974.754254357624</v>
      </c>
      <c r="O418" s="0" t="n">
        <f aca="false">W_PH(O$2,$A418)</f>
        <v>974.754840138584</v>
      </c>
      <c r="P418" s="0" t="n">
        <f aca="false">W_PH(P$2,$A418)</f>
        <v>974.760701584378</v>
      </c>
      <c r="Q418" s="0" t="n">
        <f aca="false">W_PH(Q$2,$A418)</f>
        <v>974.766563105241</v>
      </c>
      <c r="R418" s="0" t="n">
        <f aca="false">W_PH(R$2,$A418)</f>
        <v>974.772424702004</v>
      </c>
      <c r="S418" s="0" t="n">
        <f aca="false">W_PH(S$2,$A418)</f>
        <v>974.778286375495</v>
      </c>
      <c r="T418" s="0" t="n">
        <f aca="false">W_PH(T$2,$A418)</f>
        <v>974.784148126544</v>
      </c>
      <c r="U418" s="0" t="n">
        <f aca="false">W_PH(U$2,$A418)</f>
        <v>974.790009955981</v>
      </c>
      <c r="V418" s="0" t="n">
        <f aca="false">W_PH(V$2,$A418)</f>
        <v>974.795871864635</v>
      </c>
      <c r="W418" s="0" t="n">
        <f aca="false">W_PH(W$2,$A418)</f>
        <v>974.801733853336</v>
      </c>
      <c r="X418" s="0" t="n">
        <f aca="false">W_PH(X$2,$A418)</f>
        <v>974.807595922912</v>
      </c>
      <c r="Y418" s="0" t="n">
        <f aca="false">W_PH(Y$2,$A418)</f>
        <v>974.866220050552</v>
      </c>
      <c r="Z418" s="0" t="n">
        <f aca="false">W_PH(Z$2,$A418)</f>
        <v>974.924851978778</v>
      </c>
      <c r="AA418" s="0" t="n">
        <f aca="false">W_PH(AA$2,$A418)</f>
        <v>974.983490138037</v>
      </c>
      <c r="AB418" s="0" t="n">
        <f aca="false">W_PH(AB$2,$A418)</f>
        <v>975.042138953939</v>
      </c>
      <c r="AC418" s="0" t="n">
        <f aca="false">W_PH(AC$2,$A418)</f>
        <v>975.100795657071</v>
      </c>
      <c r="AD418" s="0" t="n">
        <f aca="false">W_PH(AD$2,$A418)</f>
        <v>975.159462274601</v>
      </c>
      <c r="AE418" s="0" t="n">
        <f aca="false">W_PH(AE$2,$A418)</f>
        <v>975.218142034341</v>
      </c>
      <c r="AF418" s="0" t="n">
        <f aca="false">W_PH(AF$2,$A418)</f>
        <v>975.276832164966</v>
      </c>
      <c r="AG418" s="0" t="n">
        <f aca="false">W_PH(AG$2,$A418)</f>
        <v>975.335534694044</v>
      </c>
      <c r="AH418" s="0" t="n">
        <f aca="false">W_PH(AH$2,$A418)</f>
        <v>975.923438407266</v>
      </c>
      <c r="AI418" s="0" t="n">
        <f aca="false">W_PH(AI$2,$A418)</f>
        <v>976.513482562348</v>
      </c>
      <c r="AJ418" s="0" t="n">
        <f aca="false">W_PH(AJ$2,$A418)</f>
        <v>977.106455421494</v>
      </c>
      <c r="AK418" s="0" t="n">
        <f aca="false">W_PH(AK$2,$A418)</f>
        <v>977.703149326683</v>
      </c>
      <c r="AL418" s="0" t="n">
        <f aca="false">W_PH(AL$2,$A418)</f>
        <v>978.304355956294</v>
      </c>
      <c r="AM418" s="0" t="n">
        <f aca="false">W_PH(AM$2,$A418)</f>
        <v>978.910863972007</v>
      </c>
      <c r="AN418" s="0" t="n">
        <f aca="false">W_PH(AN$2,$A418)</f>
        <v>979.523463935522</v>
      </c>
      <c r="AO418" s="0" t="n">
        <f aca="false">W_PH(AO$2,$A418)</f>
        <v>980.142945989891</v>
      </c>
      <c r="AP418" s="0" t="n">
        <f aca="false">W_PH(AP$2,$A418)</f>
        <v>2015</v>
      </c>
      <c r="AQ418" s="0" t="n">
        <f aca="false">W_PH(AQ$2,$A418)</f>
        <v>2015</v>
      </c>
      <c r="AR418" s="0" t="n">
        <f aca="false">W_PH(AR$2,$A418)</f>
        <v>2015</v>
      </c>
      <c r="AS418" s="0" t="n">
        <f aca="false">W_PH(AS$2,$A418)</f>
        <v>2015</v>
      </c>
    </row>
    <row r="419" customFormat="false" ht="13.8" hidden="false" customHeight="false" outlineLevel="0" collapsed="false">
      <c r="A419" s="0" t="n">
        <v>5790</v>
      </c>
      <c r="B419" s="0" t="n">
        <f aca="false">W_PH(B$2,$A419)</f>
        <v>975.733644507697</v>
      </c>
      <c r="C419" s="0" t="n">
        <f aca="false">W_PH(C$2,$A419)</f>
        <v>975.733703721604</v>
      </c>
      <c r="D419" s="0" t="n">
        <f aca="false">W_PH(D$2,$A419)</f>
        <v>975.733761738294</v>
      </c>
      <c r="E419" s="0" t="n">
        <f aca="false">W_PH(E$2,$A419)</f>
        <v>975.733819754992</v>
      </c>
      <c r="F419" s="0" t="n">
        <f aca="false">W_PH(F$2,$A419)</f>
        <v>975.73387896892</v>
      </c>
      <c r="G419" s="0" t="n">
        <f aca="false">W_PH(G$2,$A419)</f>
        <v>975.734466319711</v>
      </c>
      <c r="H419" s="0" t="n">
        <f aca="false">W_PH(H$2,$A419)</f>
        <v>975.735052474001</v>
      </c>
      <c r="I419" s="0" t="n">
        <f aca="false">W_PH(I$2,$A419)</f>
        <v>975.735638629017</v>
      </c>
      <c r="J419" s="0" t="n">
        <f aca="false">W_PH(J$2,$A419)</f>
        <v>975.73622598199</v>
      </c>
      <c r="K419" s="0" t="n">
        <f aca="false">W_PH(K$2,$A419)</f>
        <v>975.736813335694</v>
      </c>
      <c r="L419" s="0" t="n">
        <f aca="false">W_PH(L$2,$A419)</f>
        <v>975.737399492894</v>
      </c>
      <c r="M419" s="0" t="n">
        <f aca="false">W_PH(M$2,$A419)</f>
        <v>975.737985650823</v>
      </c>
      <c r="N419" s="0" t="n">
        <f aca="false">W_PH(N$2,$A419)</f>
        <v>975.73857300672</v>
      </c>
      <c r="O419" s="0" t="n">
        <f aca="false">W_PH(O$2,$A419)</f>
        <v>975.739160363352</v>
      </c>
      <c r="P419" s="0" t="n">
        <f aca="false">W_PH(P$2,$A419)</f>
        <v>975.74502678665</v>
      </c>
      <c r="Q419" s="0" t="n">
        <f aca="false">W_PH(Q$2,$A419)</f>
        <v>975.750894481302</v>
      </c>
      <c r="R419" s="0" t="n">
        <f aca="false">W_PH(R$2,$A419)</f>
        <v>975.756762250892</v>
      </c>
      <c r="S419" s="0" t="n">
        <f aca="false">W_PH(S$2,$A419)</f>
        <v>975.762628898927</v>
      </c>
      <c r="T419" s="0" t="n">
        <f aca="false">W_PH(T$2,$A419)</f>
        <v>975.768498018185</v>
      </c>
      <c r="U419" s="0" t="n">
        <f aca="false">W_PH(U$2,$A419)</f>
        <v>975.774364820182</v>
      </c>
      <c r="V419" s="0" t="n">
        <f aca="false">W_PH(V$2,$A419)</f>
        <v>975.780232897753</v>
      </c>
      <c r="W419" s="0" t="n">
        <f aca="false">W_PH(W$2,$A419)</f>
        <v>975.786101054387</v>
      </c>
      <c r="X419" s="0" t="n">
        <f aca="false">W_PH(X$2,$A419)</f>
        <v>975.791968093495</v>
      </c>
      <c r="Y419" s="0" t="n">
        <f aca="false">W_PH(Y$2,$A419)</f>
        <v>975.850650243429</v>
      </c>
      <c r="Z419" s="0" t="n">
        <f aca="false">W_PH(Z$2,$A419)</f>
        <v>975.909341288085</v>
      </c>
      <c r="AA419" s="0" t="n">
        <f aca="false">W_PH(AA$2,$A419)</f>
        <v>975.968037260447</v>
      </c>
      <c r="AB419" s="0" t="n">
        <f aca="false">W_PH(AB$2,$A419)</f>
        <v>976.026743775792</v>
      </c>
      <c r="AC419" s="0" t="n">
        <f aca="false">W_PH(AC$2,$A419)</f>
        <v>976.085459262196</v>
      </c>
      <c r="AD419" s="0" t="n">
        <f aca="false">W_PH(AD$2,$A419)</f>
        <v>976.144184543264</v>
      </c>
      <c r="AE419" s="0" t="n">
        <f aca="false">W_PH(AE$2,$A419)</f>
        <v>976.202922840035</v>
      </c>
      <c r="AF419" s="0" t="n">
        <f aca="false">W_PH(AF$2,$A419)</f>
        <v>976.261670181395</v>
      </c>
      <c r="AG419" s="0" t="n">
        <f aca="false">W_PH(AG$2,$A419)</f>
        <v>976.320432186141</v>
      </c>
      <c r="AH419" s="0" t="n">
        <f aca="false">W_PH(AH$2,$A419)</f>
        <v>976.908905570575</v>
      </c>
      <c r="AI419" s="0" t="n">
        <f aca="false">W_PH(AI$2,$A419)</f>
        <v>977.499506087476</v>
      </c>
      <c r="AJ419" s="0" t="n">
        <f aca="false">W_PH(AJ$2,$A419)</f>
        <v>978.093015289784</v>
      </c>
      <c r="AK419" s="0" t="n">
        <f aca="false">W_PH(AK$2,$A419)</f>
        <v>978.690223639183</v>
      </c>
      <c r="AL419" s="0" t="n">
        <f aca="false">W_PH(AL$2,$A419)</f>
        <v>979.291916136287</v>
      </c>
      <c r="AM419" s="0" t="n">
        <f aca="false">W_PH(AM$2,$A419)</f>
        <v>979.898879614251</v>
      </c>
      <c r="AN419" s="0" t="n">
        <f aca="false">W_PH(AN$2,$A419)</f>
        <v>980.511899201672</v>
      </c>
      <c r="AO419" s="0" t="n">
        <f aca="false">W_PH(AO$2,$A419)</f>
        <v>981.131759619848</v>
      </c>
      <c r="AP419" s="0" t="n">
        <f aca="false">W_PH(AP$2,$A419)</f>
        <v>2015</v>
      </c>
      <c r="AQ419" s="0" t="n">
        <f aca="false">W_PH(AQ$2,$A419)</f>
        <v>2015</v>
      </c>
      <c r="AR419" s="0" t="n">
        <f aca="false">W_PH(AR$2,$A419)</f>
        <v>2015</v>
      </c>
      <c r="AS419" s="0" t="n">
        <f aca="false">W_PH(AS$2,$A419)</f>
        <v>2015</v>
      </c>
    </row>
    <row r="420" customFormat="false" ht="13.8" hidden="false" customHeight="false" outlineLevel="0" collapsed="false">
      <c r="A420" s="0" t="n">
        <v>5800</v>
      </c>
      <c r="B420" s="0" t="n">
        <f aca="false">W_PH(B$2,$A420)</f>
        <v>976.71638651739</v>
      </c>
      <c r="C420" s="0" t="n">
        <f aca="false">W_PH(C$2,$A420)</f>
        <v>976.716444690442</v>
      </c>
      <c r="D420" s="0" t="n">
        <f aca="false">W_PH(D$2,$A420)</f>
        <v>976.716502863502</v>
      </c>
      <c r="E420" s="0" t="n">
        <f aca="false">W_PH(E$2,$A420)</f>
        <v>976.716562232629</v>
      </c>
      <c r="F420" s="0" t="n">
        <f aca="false">W_PH(F$2,$A420)</f>
        <v>976.716621601763</v>
      </c>
      <c r="G420" s="0" t="n">
        <f aca="false">W_PH(G$2,$A420)</f>
        <v>976.717208117137</v>
      </c>
      <c r="H420" s="0" t="n">
        <f aca="false">W_PH(H$2,$A420)</f>
        <v>976.71779582929</v>
      </c>
      <c r="I420" s="0" t="n">
        <f aca="false">W_PH(I$2,$A420)</f>
        <v>976.718383542161</v>
      </c>
      <c r="J420" s="0" t="n">
        <f aca="false">W_PH(J$2,$A420)</f>
        <v>976.718970059684</v>
      </c>
      <c r="K420" s="0" t="n">
        <f aca="false">W_PH(K$2,$A420)</f>
        <v>976.719557773994</v>
      </c>
      <c r="L420" s="0" t="n">
        <f aca="false">W_PH(L$2,$A420)</f>
        <v>976.720145489025</v>
      </c>
      <c r="M420" s="0" t="n">
        <f aca="false">W_PH(M$2,$A420)</f>
        <v>976.720732008704</v>
      </c>
      <c r="N420" s="0" t="n">
        <f aca="false">W_PH(N$2,$A420)</f>
        <v>976.721319725179</v>
      </c>
      <c r="O420" s="0" t="n">
        <f aca="false">W_PH(O$2,$A420)</f>
        <v>976.721907442377</v>
      </c>
      <c r="P420" s="0" t="n">
        <f aca="false">W_PH(P$2,$A420)</f>
        <v>976.72777986996</v>
      </c>
      <c r="Q420" s="0" t="n">
        <f aca="false">W_PH(Q$2,$A420)</f>
        <v>976.733652370672</v>
      </c>
      <c r="R420" s="0" t="n">
        <f aca="false">W_PH(R$2,$A420)</f>
        <v>976.739527337605</v>
      </c>
      <c r="S420" s="0" t="n">
        <f aca="false">W_PH(S$2,$A420)</f>
        <v>976.745399987076</v>
      </c>
      <c r="T420" s="0" t="n">
        <f aca="false">W_PH(T$2,$A420)</f>
        <v>976.75127271214</v>
      </c>
      <c r="U420" s="0" t="n">
        <f aca="false">W_PH(U$2,$A420)</f>
        <v>976.757146709806</v>
      </c>
      <c r="V420" s="0" t="n">
        <f aca="false">W_PH(V$2,$A420)</f>
        <v>976.763020784744</v>
      </c>
      <c r="W420" s="0" t="n">
        <f aca="false">W_PH(W$2,$A420)</f>
        <v>976.768893741544</v>
      </c>
      <c r="X420" s="0" t="n">
        <f aca="false">W_PH(X$2,$A420)</f>
        <v>976.774766777218</v>
      </c>
      <c r="Y420" s="0" t="n">
        <f aca="false">W_PH(Y$2,$A420)</f>
        <v>976.833507634756</v>
      </c>
      <c r="Z420" s="0" t="n">
        <f aca="false">W_PH(Z$2,$A420)</f>
        <v>976.892254891002</v>
      </c>
      <c r="AA420" s="0" t="n">
        <f aca="false">W_PH(AA$2,$A420)</f>
        <v>976.951010562171</v>
      </c>
      <c r="AB420" s="0" t="n">
        <f aca="false">W_PH(AB$2,$A420)</f>
        <v>977.009773074175</v>
      </c>
      <c r="AC420" s="0" t="n">
        <f aca="false">W_PH(AC$2,$A420)</f>
        <v>977.068545640121</v>
      </c>
      <c r="AD420" s="0" t="n">
        <f aca="false">W_PH(AD$2,$A420)</f>
        <v>977.127329079809</v>
      </c>
      <c r="AE420" s="0" t="n">
        <f aca="false">W_PH(AE$2,$A420)</f>
        <v>977.186121817855</v>
      </c>
      <c r="AF420" s="0" t="n">
        <f aca="false">W_PH(AF$2,$A420)</f>
        <v>977.24492826608</v>
      </c>
      <c r="AG420" s="0" t="n">
        <f aca="false">W_PH(AG$2,$A420)</f>
        <v>977.303745650858</v>
      </c>
      <c r="AH420" s="0" t="n">
        <f aca="false">W_PH(AH$2,$A420)</f>
        <v>977.892782629498</v>
      </c>
      <c r="AI420" s="0" t="n">
        <f aca="false">W_PH(AI$2,$A420)</f>
        <v>978.483930043063</v>
      </c>
      <c r="AJ420" s="0" t="n">
        <f aca="false">W_PH(AJ$2,$A420)</f>
        <v>979.077967571295</v>
      </c>
      <c r="AK420" s="0" t="n">
        <f aca="false">W_PH(AK$2,$A420)</f>
        <v>979.675680213672</v>
      </c>
      <c r="AL420" s="0" t="n">
        <f aca="false">W_PH(AL$2,$A420)</f>
        <v>980.277852355732</v>
      </c>
      <c r="AM420" s="0" t="n">
        <f aca="false">W_PH(AM$2,$A420)</f>
        <v>980.885263001442</v>
      </c>
      <c r="AN420" s="0" t="n">
        <f aca="false">W_PH(AN$2,$A420)</f>
        <v>981.49869429172</v>
      </c>
      <c r="AO420" s="0" t="n">
        <f aca="false">W_PH(AO$2,$A420)</f>
        <v>982.11892798494</v>
      </c>
      <c r="AP420" s="0" t="n">
        <f aca="false">W_PH(AP$2,$A420)</f>
        <v>2015</v>
      </c>
      <c r="AQ420" s="0" t="n">
        <f aca="false">W_PH(AQ$2,$A420)</f>
        <v>2015</v>
      </c>
      <c r="AR420" s="0" t="n">
        <f aca="false">W_PH(AR$2,$A420)</f>
        <v>2015</v>
      </c>
      <c r="AS420" s="0" t="n">
        <f aca="false">W_PH(AS$2,$A420)</f>
        <v>2015</v>
      </c>
    </row>
    <row r="421" customFormat="false" ht="13.8" hidden="false" customHeight="false" outlineLevel="0" collapsed="false">
      <c r="A421" s="0" t="n">
        <v>5810</v>
      </c>
      <c r="B421" s="0" t="n">
        <f aca="false">W_PH(B$2,$A421)</f>
        <v>977.697562794667</v>
      </c>
      <c r="C421" s="0" t="n">
        <f aca="false">W_PH(C$2,$A421)</f>
        <v>977.697622317107</v>
      </c>
      <c r="D421" s="0" t="n">
        <f aca="false">W_PH(D$2,$A421)</f>
        <v>977.697681839554</v>
      </c>
      <c r="E421" s="0" t="n">
        <f aca="false">W_PH(E$2,$A421)</f>
        <v>977.697738972205</v>
      </c>
      <c r="F421" s="0" t="n">
        <f aca="false">W_PH(F$2,$A421)</f>
        <v>977.697798494667</v>
      </c>
      <c r="G421" s="0" t="n">
        <f aca="false">W_PH(G$2,$A421)</f>
        <v>977.698386550262</v>
      </c>
      <c r="H421" s="0" t="n">
        <f aca="false">W_PH(H$2,$A421)</f>
        <v>977.698974606565</v>
      </c>
      <c r="I421" s="0" t="n">
        <f aca="false">W_PH(I$2,$A421)</f>
        <v>977.699562663577</v>
      </c>
      <c r="J421" s="0" t="n">
        <f aca="false">W_PH(J$2,$A421)</f>
        <v>977.700150721299</v>
      </c>
      <c r="K421" s="0" t="n">
        <f aca="false">W_PH(K$2,$A421)</f>
        <v>977.700738779731</v>
      </c>
      <c r="L421" s="0" t="n">
        <f aca="false">W_PH(L$2,$A421)</f>
        <v>977.701325643961</v>
      </c>
      <c r="M421" s="0" t="n">
        <f aca="false">W_PH(M$2,$A421)</f>
        <v>977.701913703815</v>
      </c>
      <c r="N421" s="0" t="n">
        <f aca="false">W_PH(N$2,$A421)</f>
        <v>977.702500569464</v>
      </c>
      <c r="O421" s="0" t="n">
        <f aca="false">W_PH(O$2,$A421)</f>
        <v>977.703088630743</v>
      </c>
      <c r="P421" s="0" t="n">
        <f aca="false">W_PH(P$2,$A421)</f>
        <v>977.708968088025</v>
      </c>
      <c r="Q421" s="0" t="n">
        <f aca="false">W_PH(Q$2,$A421)</f>
        <v>977.714847617541</v>
      </c>
      <c r="R421" s="0" t="n">
        <f aca="false">W_PH(R$2,$A421)</f>
        <v>977.720726025134</v>
      </c>
      <c r="S421" s="0" t="n">
        <f aca="false">W_PH(S$2,$A421)</f>
        <v>977.726604506556</v>
      </c>
      <c r="T421" s="0" t="n">
        <f aca="false">W_PH(T$2,$A421)</f>
        <v>977.732484257637</v>
      </c>
      <c r="U421" s="0" t="n">
        <f aca="false">W_PH(U$2,$A421)</f>
        <v>977.738364084217</v>
      </c>
      <c r="V421" s="0" t="n">
        <f aca="false">W_PH(V$2,$A421)</f>
        <v>977.744242792063</v>
      </c>
      <c r="W421" s="0" t="n">
        <f aca="false">W_PH(W$2,$A421)</f>
        <v>977.750121577005</v>
      </c>
      <c r="X421" s="0" t="n">
        <f aca="false">W_PH(X$2,$A421)</f>
        <v>977.756000439857</v>
      </c>
      <c r="Y421" s="0" t="n">
        <f aca="false">W_PH(Y$2,$A421)</f>
        <v>977.814798314169</v>
      </c>
      <c r="Z421" s="0" t="n">
        <f aca="false">W_PH(Z$2,$A421)</f>
        <v>977.873602488032</v>
      </c>
      <c r="AA421" s="0" t="n">
        <f aca="false">W_PH(AA$2,$A421)</f>
        <v>977.93241377651</v>
      </c>
      <c r="AB421" s="0" t="n">
        <f aca="false">W_PH(AB$2,$A421)</f>
        <v>977.991232994615</v>
      </c>
      <c r="AC421" s="0" t="n">
        <f aca="false">W_PH(AC$2,$A421)</f>
        <v>978.050062153322</v>
      </c>
      <c r="AD421" s="0" t="n">
        <f aca="false">W_PH(AD$2,$A421)</f>
        <v>978.108900871887</v>
      </c>
      <c r="AE421" s="0" t="n">
        <f aca="false">W_PH(AE$2,$A421)</f>
        <v>978.167751161551</v>
      </c>
      <c r="AF421" s="0" t="n">
        <f aca="false">W_PH(AF$2,$A421)</f>
        <v>978.226612641092</v>
      </c>
      <c r="AG421" s="0" t="n">
        <f aca="false">W_PH(AG$2,$A421)</f>
        <v>978.285486125253</v>
      </c>
      <c r="AH421" s="0" t="n">
        <f aca="false">W_PH(AH$2,$A421)</f>
        <v>978.875077207696</v>
      </c>
      <c r="AI421" s="0" t="n">
        <f aca="false">W_PH(AI$2,$A421)</f>
        <v>979.466762237308</v>
      </c>
      <c r="AJ421" s="0" t="n">
        <f aca="false">W_PH(AJ$2,$A421)</f>
        <v>980.061320251694</v>
      </c>
      <c r="AK421" s="0" t="n">
        <f aca="false">W_PH(AK$2,$A421)</f>
        <v>980.659530829143</v>
      </c>
      <c r="AL421" s="0" t="n">
        <f aca="false">W_PH(AL$2,$A421)</f>
        <v>981.262171741557</v>
      </c>
      <c r="AM421" s="0" t="n">
        <f aca="false">W_PH(AM$2,$A421)</f>
        <v>981.870020220326</v>
      </c>
      <c r="AN421" s="0" t="n">
        <f aca="false">W_PH(AN$2,$A421)</f>
        <v>982.483856662542</v>
      </c>
      <c r="AO421" s="0" t="n">
        <f aca="false">W_PH(AO$2,$A421)</f>
        <v>983.104455059407</v>
      </c>
      <c r="AP421" s="0" t="n">
        <f aca="false">W_PH(AP$2,$A421)</f>
        <v>2015</v>
      </c>
      <c r="AQ421" s="0" t="n">
        <f aca="false">W_PH(AQ$2,$A421)</f>
        <v>2015</v>
      </c>
      <c r="AR421" s="0" t="n">
        <f aca="false">W_PH(AR$2,$A421)</f>
        <v>2015</v>
      </c>
      <c r="AS421" s="0" t="n">
        <f aca="false">W_PH(AS$2,$A421)</f>
        <v>2015</v>
      </c>
    </row>
    <row r="422" customFormat="false" ht="13.8" hidden="false" customHeight="false" outlineLevel="0" collapsed="false">
      <c r="A422" s="0" t="n">
        <v>5820</v>
      </c>
      <c r="B422" s="0" t="n">
        <f aca="false">W_PH(B$2,$A422)</f>
        <v>978.677182930382</v>
      </c>
      <c r="C422" s="0" t="n">
        <f aca="false">W_PH(C$2,$A422)</f>
        <v>978.677242604293</v>
      </c>
      <c r="D422" s="0" t="n">
        <f aca="false">W_PH(D$2,$A422)</f>
        <v>978.677302278211</v>
      </c>
      <c r="E422" s="0" t="n">
        <f aca="false">W_PH(E$2,$A422)</f>
        <v>978.677359564643</v>
      </c>
      <c r="F422" s="0" t="n">
        <f aca="false">W_PH(F$2,$A422)</f>
        <v>978.677419238575</v>
      </c>
      <c r="G422" s="0" t="n">
        <f aca="false">W_PH(G$2,$A422)</f>
        <v>978.678007622051</v>
      </c>
      <c r="H422" s="0" t="n">
        <f aca="false">W_PH(H$2,$A422)</f>
        <v>978.678596006226</v>
      </c>
      <c r="I422" s="0" t="n">
        <f aca="false">W_PH(I$2,$A422)</f>
        <v>978.6791843911</v>
      </c>
      <c r="J422" s="0" t="n">
        <f aca="false">W_PH(J$2,$A422)</f>
        <v>978.679772776673</v>
      </c>
      <c r="K422" s="0" t="n">
        <f aca="false">W_PH(K$2,$A422)</f>
        <v>978.680361162948</v>
      </c>
      <c r="L422" s="0" t="n">
        <f aca="false">W_PH(L$2,$A422)</f>
        <v>978.680949549923</v>
      </c>
      <c r="M422" s="0" t="n">
        <f aca="false">W_PH(M$2,$A422)</f>
        <v>978.681539131361</v>
      </c>
      <c r="N422" s="0" t="n">
        <f aca="false">W_PH(N$2,$A422)</f>
        <v>978.682126325981</v>
      </c>
      <c r="O422" s="0" t="n">
        <f aca="false">W_PH(O$2,$A422)</f>
        <v>978.68271590883</v>
      </c>
      <c r="P422" s="0" t="n">
        <f aca="false">W_PH(P$2,$A422)</f>
        <v>978.688599838584</v>
      </c>
      <c r="Q422" s="0" t="n">
        <f aca="false">W_PH(Q$2,$A422)</f>
        <v>978.694483839614</v>
      </c>
      <c r="R422" s="0" t="n">
        <f aca="false">W_PH(R$2,$A422)</f>
        <v>978.700367912733</v>
      </c>
      <c r="S422" s="0" t="n">
        <f aca="false">W_PH(S$2,$A422)</f>
        <v>978.70625325259</v>
      </c>
      <c r="T422" s="0" t="n">
        <f aca="false">W_PH(T$2,$A422)</f>
        <v>978.712138666197</v>
      </c>
      <c r="U422" s="0" t="n">
        <f aca="false">W_PH(U$2,$A422)</f>
        <v>978.71802296049</v>
      </c>
      <c r="V422" s="0" t="n">
        <f aca="false">W_PH(V$2,$A422)</f>
        <v>978.72390733012</v>
      </c>
      <c r="W422" s="0" t="n">
        <f aca="false">W_PH(W$2,$A422)</f>
        <v>978.729791775898</v>
      </c>
      <c r="X422" s="0" t="n">
        <f aca="false">W_PH(X$2,$A422)</f>
        <v>978.735676298636</v>
      </c>
      <c r="Y422" s="0" t="n">
        <f aca="false">W_PH(Y$2,$A422)</f>
        <v>978.794530713923</v>
      </c>
      <c r="Z422" s="0" t="n">
        <f aca="false">W_PH(Z$2,$A422)</f>
        <v>978.853388942632</v>
      </c>
      <c r="AA422" s="0" t="n">
        <f aca="false">W_PH(AA$2,$A422)</f>
        <v>978.91225657235</v>
      </c>
      <c r="AB422" s="0" t="n">
        <f aca="false">W_PH(AB$2,$A422)</f>
        <v>978.971132025554</v>
      </c>
      <c r="AC422" s="0" t="n">
        <f aca="false">W_PH(AC$2,$A422)</f>
        <v>979.030016112902</v>
      </c>
      <c r="AD422" s="0" t="n">
        <f aca="false">W_PH(AD$2,$A422)</f>
        <v>979.088910840031</v>
      </c>
      <c r="AE422" s="0" t="n">
        <f aca="false">W_PH(AE$2,$A422)</f>
        <v>979.147815822827</v>
      </c>
      <c r="AF422" s="0" t="n">
        <f aca="false">W_PH(AF$2,$A422)</f>
        <v>979.206733067195</v>
      </c>
      <c r="AG422" s="0" t="n">
        <f aca="false">W_PH(AG$2,$A422)</f>
        <v>979.265662188549</v>
      </c>
      <c r="AH422" s="0" t="n">
        <f aca="false">W_PH(AH$2,$A422)</f>
        <v>979.855796873587</v>
      </c>
      <c r="AI422" s="0" t="n">
        <f aca="false">W_PH(AI$2,$A422)</f>
        <v>980.448011619677</v>
      </c>
      <c r="AJ422" s="0" t="n">
        <f aca="false">W_PH(AJ$2,$A422)</f>
        <v>981.043081256052</v>
      </c>
      <c r="AK422" s="0" t="n">
        <f aca="false">W_PH(AK$2,$A422)</f>
        <v>981.641779969644</v>
      </c>
      <c r="AL422" s="0" t="n">
        <f aca="false">W_PH(AL$2,$A422)</f>
        <v>982.244883769056</v>
      </c>
      <c r="AM422" s="0" t="n">
        <f aca="false">W_PH(AM$2,$A422)</f>
        <v>982.853164536903</v>
      </c>
      <c r="AN422" s="0" t="n">
        <f aca="false">W_PH(AN$2,$A422)</f>
        <v>983.467397329109</v>
      </c>
      <c r="AO422" s="0" t="n">
        <f aca="false">W_PH(AO$2,$A422)</f>
        <v>984.088354441267</v>
      </c>
      <c r="AP422" s="0" t="n">
        <f aca="false">W_PH(AP$2,$A422)</f>
        <v>2015</v>
      </c>
      <c r="AQ422" s="0" t="n">
        <f aca="false">W_PH(AQ$2,$A422)</f>
        <v>2015</v>
      </c>
      <c r="AR422" s="0" t="n">
        <f aca="false">W_PH(AR$2,$A422)</f>
        <v>2015</v>
      </c>
      <c r="AS422" s="0" t="n">
        <f aca="false">W_PH(AS$2,$A422)</f>
        <v>2015</v>
      </c>
    </row>
    <row r="423" customFormat="false" ht="13.8" hidden="false" customHeight="false" outlineLevel="0" collapsed="false">
      <c r="A423" s="0" t="n">
        <v>5830</v>
      </c>
      <c r="B423" s="0" t="n">
        <f aca="false">W_PH(B$2,$A423)</f>
        <v>979.655256457011</v>
      </c>
      <c r="C423" s="0" t="n">
        <f aca="false">W_PH(C$2,$A423)</f>
        <v>979.655313895366</v>
      </c>
      <c r="D423" s="0" t="n">
        <f aca="false">W_PH(D$2,$A423)</f>
        <v>979.65537371892</v>
      </c>
      <c r="E423" s="0" t="n">
        <f aca="false">W_PH(E$2,$A423)</f>
        <v>979.655432349884</v>
      </c>
      <c r="F423" s="0" t="n">
        <f aca="false">W_PH(F$2,$A423)</f>
        <v>979.655490980856</v>
      </c>
      <c r="G423" s="0" t="n">
        <f aca="false">W_PH(G$2,$A423)</f>
        <v>979.656079676141</v>
      </c>
      <c r="H423" s="0" t="n">
        <f aca="false">W_PH(H$2,$A423)</f>
        <v>979.656668372115</v>
      </c>
      <c r="I423" s="0" t="n">
        <f aca="false">W_PH(I$2,$A423)</f>
        <v>979.65725826138</v>
      </c>
      <c r="J423" s="0" t="n">
        <f aca="false">W_PH(J$2,$A423)</f>
        <v>979.657846958735</v>
      </c>
      <c r="K423" s="0" t="n">
        <f aca="false">W_PH(K$2,$A423)</f>
        <v>979.658436849386</v>
      </c>
      <c r="L423" s="0" t="n">
        <f aca="false">W_PH(L$2,$A423)</f>
        <v>979.659025548125</v>
      </c>
      <c r="M423" s="0" t="n">
        <f aca="false">W_PH(M$2,$A423)</f>
        <v>979.659614247557</v>
      </c>
      <c r="N423" s="0" t="n">
        <f aca="false">W_PH(N$2,$A423)</f>
        <v>979.660202947682</v>
      </c>
      <c r="O423" s="0" t="n">
        <f aca="false">W_PH(O$2,$A423)</f>
        <v>979.6607916485</v>
      </c>
      <c r="P423" s="0" t="n">
        <f aca="false">W_PH(P$2,$A423)</f>
        <v>979.666681080303</v>
      </c>
      <c r="Q423" s="0" t="n">
        <f aca="false">W_PH(Q$2,$A423)</f>
        <v>979.672572967773</v>
      </c>
      <c r="R423" s="0" t="n">
        <f aca="false">W_PH(R$2,$A423)</f>
        <v>979.678462541155</v>
      </c>
      <c r="S423" s="0" t="n">
        <f aca="false">W_PH(S$2,$A423)</f>
        <v>979.68435218652</v>
      </c>
      <c r="T423" s="0" t="n">
        <f aca="false">W_PH(T$2,$A423)</f>
        <v>979.690241904676</v>
      </c>
      <c r="U423" s="0" t="n">
        <f aca="false">W_PH(U$2,$A423)</f>
        <v>979.69613169643</v>
      </c>
      <c r="V423" s="0" t="n">
        <f aca="false">W_PH(V$2,$A423)</f>
        <v>979.702022755332</v>
      </c>
      <c r="W423" s="0" t="n">
        <f aca="false">W_PH(W$2,$A423)</f>
        <v>979.707913889484</v>
      </c>
      <c r="X423" s="0" t="n">
        <f aca="false">W_PH(X$2,$A423)</f>
        <v>979.713803906917</v>
      </c>
      <c r="Y423" s="0" t="n">
        <f aca="false">W_PH(Y$2,$A423)</f>
        <v>979.772710826028</v>
      </c>
      <c r="Z423" s="0" t="n">
        <f aca="false">W_PH(Z$2,$A423)</f>
        <v>979.831626236417</v>
      </c>
      <c r="AA423" s="0" t="n">
        <f aca="false">W_PH(AA$2,$A423)</f>
        <v>979.89054736569</v>
      </c>
      <c r="AB423" s="0" t="n">
        <f aca="false">W_PH(AB$2,$A423)</f>
        <v>979.949477406753</v>
      </c>
      <c r="AC423" s="0" t="n">
        <f aca="false">W_PH(AC$2,$A423)</f>
        <v>980.008417166543</v>
      </c>
      <c r="AD423" s="0" t="n">
        <f aca="false">W_PH(AD$2,$A423)</f>
        <v>980.067365064201</v>
      </c>
      <c r="AE423" s="0" t="n">
        <f aca="false">W_PH(AE$2,$A423)</f>
        <v>980.12632548763</v>
      </c>
      <c r="AF423" s="0" t="n">
        <f aca="false">W_PH(AF$2,$A423)</f>
        <v>980.185296855693</v>
      </c>
      <c r="AG423" s="0" t="n">
        <f aca="false">W_PH(AG$2,$A423)</f>
        <v>980.244279974579</v>
      </c>
      <c r="AH423" s="0" t="n">
        <f aca="false">W_PH(AH$2,$A423)</f>
        <v>980.834950337218</v>
      </c>
      <c r="AI423" s="0" t="n">
        <f aca="false">W_PH(AI$2,$A423)</f>
        <v>981.427687077523</v>
      </c>
      <c r="AJ423" s="0" t="n">
        <f aca="false">W_PH(AJ$2,$A423)</f>
        <v>982.023260849145</v>
      </c>
      <c r="AK423" s="0" t="n">
        <f aca="false">W_PH(AK$2,$A423)</f>
        <v>982.622439280998</v>
      </c>
      <c r="AL423" s="0" t="n">
        <f aca="false">W_PH(AL$2,$A423)</f>
        <v>983.225997843499</v>
      </c>
      <c r="AM423" s="0" t="n">
        <f aca="false">W_PH(AM$2,$A423)</f>
        <v>983.83470189973</v>
      </c>
      <c r="AN423" s="0" t="n">
        <f aca="false">W_PH(AN$2,$A423)</f>
        <v>984.449324813108</v>
      </c>
      <c r="AO423" s="0" t="n">
        <f aca="false">W_PH(AO$2,$A423)</f>
        <v>985.070633594696</v>
      </c>
      <c r="AP423" s="0" t="n">
        <f aca="false">W_PH(AP$2,$A423)</f>
        <v>2015</v>
      </c>
      <c r="AQ423" s="0" t="n">
        <f aca="false">W_PH(AQ$2,$A423)</f>
        <v>2015</v>
      </c>
      <c r="AR423" s="0" t="n">
        <f aca="false">W_PH(AR$2,$A423)</f>
        <v>2015</v>
      </c>
      <c r="AS423" s="0" t="n">
        <f aca="false">W_PH(AS$2,$A423)</f>
        <v>2015</v>
      </c>
    </row>
    <row r="424" customFormat="false" ht="13.8" hidden="false" customHeight="false" outlineLevel="0" collapsed="false">
      <c r="A424" s="0" t="n">
        <v>5840</v>
      </c>
      <c r="B424" s="0" t="n">
        <f aca="false">W_PH(B$2,$A424)</f>
        <v>980.631785700578</v>
      </c>
      <c r="C424" s="0" t="n">
        <f aca="false">W_PH(C$2,$A424)</f>
        <v>980.631845671948</v>
      </c>
      <c r="D424" s="0" t="n">
        <f aca="false">W_PH(D$2,$A424)</f>
        <v>980.631904451874</v>
      </c>
      <c r="E424" s="0" t="n">
        <f aca="false">W_PH(E$2,$A424)</f>
        <v>980.631963231808</v>
      </c>
      <c r="F424" s="0" t="n">
        <f aca="false">W_PH(F$2,$A424)</f>
        <v>980.632022011748</v>
      </c>
      <c r="G424" s="0" t="n">
        <f aca="false">W_PH(G$2,$A424)</f>
        <v>980.632611002971</v>
      </c>
      <c r="H424" s="0" t="n">
        <f aca="false">W_PH(H$2,$A424)</f>
        <v>980.633201186329</v>
      </c>
      <c r="I424" s="0" t="n">
        <f aca="false">W_PH(I$2,$A424)</f>
        <v>980.633791370369</v>
      </c>
      <c r="J424" s="0" t="n">
        <f aca="false">W_PH(J$2,$A424)</f>
        <v>980.634380363636</v>
      </c>
      <c r="K424" s="0" t="n">
        <f aca="false">W_PH(K$2,$A424)</f>
        <v>980.634969357583</v>
      </c>
      <c r="L424" s="0" t="n">
        <f aca="false">W_PH(L$2,$A424)</f>
        <v>980.635559543674</v>
      </c>
      <c r="M424" s="0" t="n">
        <f aca="false">W_PH(M$2,$A424)</f>
        <v>980.636149730452</v>
      </c>
      <c r="N424" s="0" t="n">
        <f aca="false">W_PH(N$2,$A424)</f>
        <v>980.636737534986</v>
      </c>
      <c r="O424" s="0" t="n">
        <f aca="false">W_PH(O$2,$A424)</f>
        <v>980.637327723135</v>
      </c>
      <c r="P424" s="0" t="n">
        <f aca="false">W_PH(P$2,$A424)</f>
        <v>980.643222493736</v>
      </c>
      <c r="Q424" s="0" t="n">
        <f aca="false">W_PH(Q$2,$A424)</f>
        <v>980.649119716814</v>
      </c>
      <c r="R424" s="0" t="n">
        <f aca="false">W_PH(R$2,$A424)</f>
        <v>980.655014627196</v>
      </c>
      <c r="S424" s="0" t="n">
        <f aca="false">W_PH(S$2,$A424)</f>
        <v>980.660909608654</v>
      </c>
      <c r="T424" s="0" t="n">
        <f aca="false">W_PH(T$2,$A424)</f>
        <v>980.666804661994</v>
      </c>
      <c r="U424" s="0" t="n">
        <f aca="false">W_PH(U$2,$A424)</f>
        <v>980.672700979594</v>
      </c>
      <c r="V424" s="0" t="n">
        <f aca="false">W_PH(V$2,$A424)</f>
        <v>980.678597370717</v>
      </c>
      <c r="W424" s="0" t="n">
        <f aca="false">W_PH(W$2,$A424)</f>
        <v>980.684492644556</v>
      </c>
      <c r="X424" s="0" t="n">
        <f aca="false">W_PH(X$2,$A424)</f>
        <v>980.690387993489</v>
      </c>
      <c r="Y424" s="0" t="n">
        <f aca="false">W_PH(Y$2,$A424)</f>
        <v>980.749350557016</v>
      </c>
      <c r="Z424" s="0" t="n">
        <f aca="false">W_PH(Z$2,$A424)</f>
        <v>980.80831793919</v>
      </c>
      <c r="AA424" s="0" t="n">
        <f aca="false">W_PH(AA$2,$A424)</f>
        <v>980.867294518236</v>
      </c>
      <c r="AB424" s="0" t="n">
        <f aca="false">W_PH(AB$2,$A424)</f>
        <v>980.926277520384</v>
      </c>
      <c r="AC424" s="0" t="n">
        <f aca="false">W_PH(AC$2,$A424)</f>
        <v>980.985271324844</v>
      </c>
      <c r="AD424" s="0" t="n">
        <f aca="false">W_PH(AD$2,$A424)</f>
        <v>981.044273156671</v>
      </c>
      <c r="AE424" s="0" t="n">
        <f aca="false">W_PH(AE$2,$A424)</f>
        <v>981.103286203165</v>
      </c>
      <c r="AF424" s="0" t="n">
        <f aca="false">W_PH(AF$2,$A424)</f>
        <v>981.162311266882</v>
      </c>
      <c r="AG424" s="0" t="n">
        <f aca="false">W_PH(AG$2,$A424)</f>
        <v>981.221346763822</v>
      </c>
      <c r="AH424" s="0" t="n">
        <f aca="false">W_PH(AH$2,$A424)</f>
        <v>981.812546249926</v>
      </c>
      <c r="AI424" s="0" t="n">
        <f aca="false">W_PH(AI$2,$A424)</f>
        <v>982.405795043193</v>
      </c>
      <c r="AJ424" s="0" t="n">
        <f aca="false">W_PH(AJ$2,$A424)</f>
        <v>983.001863233999</v>
      </c>
      <c r="AK424" s="0" t="n">
        <f aca="false">W_PH(AK$2,$A424)</f>
        <v>983.601515531263</v>
      </c>
      <c r="AL424" s="0" t="n">
        <f aca="false">W_PH(AL$2,$A424)</f>
        <v>984.20552089705</v>
      </c>
      <c r="AM424" s="0" t="n">
        <f aca="false">W_PH(AM$2,$A424)</f>
        <v>984.814641812022</v>
      </c>
      <c r="AN424" s="0" t="n">
        <f aca="false">W_PH(AN$2,$A424)</f>
        <v>985.429646362158</v>
      </c>
      <c r="AO424" s="0" t="n">
        <f aca="false">W_PH(AO$2,$A424)</f>
        <v>986.051299918059</v>
      </c>
      <c r="AP424" s="0" t="n">
        <f aca="false">W_PH(AP$2,$A424)</f>
        <v>2015</v>
      </c>
      <c r="AQ424" s="0" t="n">
        <f aca="false">W_PH(AQ$2,$A424)</f>
        <v>2015</v>
      </c>
      <c r="AR424" s="0" t="n">
        <f aca="false">W_PH(AR$2,$A424)</f>
        <v>2015</v>
      </c>
      <c r="AS424" s="0" t="n">
        <f aca="false">W_PH(AS$2,$A424)</f>
        <v>2015</v>
      </c>
    </row>
    <row r="425" customFormat="false" ht="13.8" hidden="false" customHeight="false" outlineLevel="0" collapsed="false">
      <c r="A425" s="0" t="n">
        <v>5850</v>
      </c>
      <c r="B425" s="0" t="n">
        <f aca="false">W_PH(B$2,$A425)</f>
        <v>981.606784860464</v>
      </c>
      <c r="C425" s="0" t="n">
        <f aca="false">W_PH(C$2,$A425)</f>
        <v>981.606842597247</v>
      </c>
      <c r="D425" s="0" t="n">
        <f aca="false">W_PH(D$2,$A425)</f>
        <v>981.606902714655</v>
      </c>
      <c r="E425" s="0" t="n">
        <f aca="false">W_PH(E$2,$A425)</f>
        <v>981.606960451451</v>
      </c>
      <c r="F425" s="0" t="n">
        <f aca="false">W_PH(F$2,$A425)</f>
        <v>981.607020568873</v>
      </c>
      <c r="G425" s="0" t="n">
        <f aca="false">W_PH(G$2,$A425)</f>
        <v>981.607609840365</v>
      </c>
      <c r="H425" s="0" t="n">
        <f aca="false">W_PH(H$2,$A425)</f>
        <v>981.60820030284</v>
      </c>
      <c r="I425" s="0" t="n">
        <f aca="false">W_PH(I$2,$A425)</f>
        <v>981.608790765989</v>
      </c>
      <c r="J425" s="0" t="n">
        <f aca="false">W_PH(J$2,$A425)</f>
        <v>981.609380039495</v>
      </c>
      <c r="K425" s="0" t="n">
        <f aca="false">W_PH(K$2,$A425)</f>
        <v>981.609970503991</v>
      </c>
      <c r="L425" s="0" t="n">
        <f aca="false">W_PH(L$2,$A425)</f>
        <v>981.610560969164</v>
      </c>
      <c r="M425" s="0" t="n">
        <f aca="false">W_PH(M$2,$A425)</f>
        <v>981.611150244691</v>
      </c>
      <c r="N425" s="0" t="n">
        <f aca="false">W_PH(N$2,$A425)</f>
        <v>981.611740711216</v>
      </c>
      <c r="O425" s="0" t="n">
        <f aca="false">W_PH(O$2,$A425)</f>
        <v>981.61233117842</v>
      </c>
      <c r="P425" s="0" t="n">
        <f aca="false">W_PH(P$2,$A425)</f>
        <v>981.618231126576</v>
      </c>
      <c r="Q425" s="0" t="n">
        <f aca="false">W_PH(Q$2,$A425)</f>
        <v>981.624132333679</v>
      </c>
      <c r="R425" s="0" t="n">
        <f aca="false">W_PH(R$2,$A425)</f>
        <v>981.630033610201</v>
      </c>
      <c r="S425" s="0" t="n">
        <f aca="false">W_PH(S$2,$A425)</f>
        <v>981.635933766546</v>
      </c>
      <c r="T425" s="0" t="n">
        <f aca="false">W_PH(T$2,$A425)</f>
        <v>981.641833993872</v>
      </c>
      <c r="U425" s="0" t="n">
        <f aca="false">W_PH(U$2,$A425)</f>
        <v>981.647735483414</v>
      </c>
      <c r="V425" s="0" t="n">
        <f aca="false">W_PH(V$2,$A425)</f>
        <v>981.653637045572</v>
      </c>
      <c r="W425" s="0" t="n">
        <f aca="false">W_PH(W$2,$A425)</f>
        <v>981.659537490677</v>
      </c>
      <c r="X425" s="0" t="n">
        <f aca="false">W_PH(X$2,$A425)</f>
        <v>981.665438009962</v>
      </c>
      <c r="Y425" s="0" t="n">
        <f aca="false">W_PH(Y$2,$A425)</f>
        <v>981.72445341182</v>
      </c>
      <c r="Z425" s="0" t="n">
        <f aca="false">W_PH(Z$2,$A425)</f>
        <v>981.783474730792</v>
      </c>
      <c r="AA425" s="0" t="n">
        <f aca="false">W_PH(AA$2,$A425)</f>
        <v>981.842503955949</v>
      </c>
      <c r="AB425" s="0" t="n">
        <f aca="false">W_PH(AB$2,$A425)</f>
        <v>981.901540694627</v>
      </c>
      <c r="AC425" s="0" t="n">
        <f aca="false">W_PH(AC$2,$A425)</f>
        <v>981.960585744782</v>
      </c>
      <c r="AD425" s="0" t="n">
        <f aca="false">W_PH(AD$2,$A425)</f>
        <v>982.019642287436</v>
      </c>
      <c r="AE425" s="0" t="n">
        <f aca="false">W_PH(AE$2,$A425)</f>
        <v>982.078707546318</v>
      </c>
      <c r="AF425" s="0" t="n">
        <f aca="false">W_PH(AF$2,$A425)</f>
        <v>982.137784702538</v>
      </c>
      <c r="AG425" s="0" t="n">
        <f aca="false">W_PH(AG$2,$A425)</f>
        <v>982.196874554403</v>
      </c>
      <c r="AH425" s="0" t="n">
        <f aca="false">W_PH(AH$2,$A425)</f>
        <v>982.788590817295</v>
      </c>
      <c r="AI425" s="0" t="n">
        <f aca="false">W_PH(AI$2,$A425)</f>
        <v>983.382345484793</v>
      </c>
      <c r="AJ425" s="0" t="n">
        <f aca="false">W_PH(AJ$2,$A425)</f>
        <v>983.97890095129</v>
      </c>
      <c r="AK425" s="0" t="n">
        <f aca="false">W_PH(AK$2,$A425)</f>
        <v>984.579017830677</v>
      </c>
      <c r="AL425" s="0" t="n">
        <f aca="false">W_PH(AL$2,$A425)</f>
        <v>985.183461004321</v>
      </c>
      <c r="AM425" s="0" t="n">
        <f aca="false">W_PH(AM$2,$A425)</f>
        <v>985.792991301503</v>
      </c>
      <c r="AN425" s="0" t="n">
        <f aca="false">W_PH(AN$2,$A425)</f>
        <v>986.40837156896</v>
      </c>
      <c r="AO425" s="0" t="n">
        <f aca="false">W_PH(AO$2,$A425)</f>
        <v>987.030363155724</v>
      </c>
      <c r="AP425" s="0" t="n">
        <f aca="false">W_PH(AP$2,$A425)</f>
        <v>2015</v>
      </c>
      <c r="AQ425" s="0" t="n">
        <f aca="false">W_PH(AQ$2,$A425)</f>
        <v>2015</v>
      </c>
      <c r="AR425" s="0" t="n">
        <f aca="false">W_PH(AR$2,$A425)</f>
        <v>2015</v>
      </c>
      <c r="AS425" s="0" t="n">
        <f aca="false">W_PH(AS$2,$A425)</f>
        <v>2015</v>
      </c>
    </row>
    <row r="426" customFormat="false" ht="13.8" hidden="false" customHeight="false" outlineLevel="0" collapsed="false">
      <c r="A426" s="0" t="n">
        <v>5860</v>
      </c>
      <c r="B426" s="0" t="n">
        <f aca="false">W_PH(B$2,$A426)</f>
        <v>982.580256169466</v>
      </c>
      <c r="C426" s="0" t="n">
        <f aca="false">W_PH(C$2,$A426)</f>
        <v>982.580315241956</v>
      </c>
      <c r="D426" s="0" t="n">
        <f aca="false">W_PH(D$2,$A426)</f>
        <v>982.580374314451</v>
      </c>
      <c r="E426" s="0" t="n">
        <f aca="false">W_PH(E$2,$A426)</f>
        <v>982.580433386954</v>
      </c>
      <c r="F426" s="0" t="n">
        <f aca="false">W_PH(F$2,$A426)</f>
        <v>982.580492459464</v>
      </c>
      <c r="G426" s="0" t="n">
        <f aca="false">W_PH(G$2,$A426)</f>
        <v>982.581083184922</v>
      </c>
      <c r="H426" s="0" t="n">
        <f aca="false">W_PH(H$2,$A426)</f>
        <v>982.581673911044</v>
      </c>
      <c r="I426" s="0" t="n">
        <f aca="false">W_PH(I$2,$A426)</f>
        <v>982.58226463783</v>
      </c>
      <c r="J426" s="0" t="n">
        <f aca="false">W_PH(J$2,$A426)</f>
        <v>982.582855365281</v>
      </c>
      <c r="K426" s="0" t="n">
        <f aca="false">W_PH(K$2,$A426)</f>
        <v>982.583446093399</v>
      </c>
      <c r="L426" s="0" t="n">
        <f aca="false">W_PH(L$2,$A426)</f>
        <v>982.584036822182</v>
      </c>
      <c r="M426" s="0" t="n">
        <f aca="false">W_PH(M$2,$A426)</f>
        <v>982.584627551634</v>
      </c>
      <c r="N426" s="0" t="n">
        <f aca="false">W_PH(N$2,$A426)</f>
        <v>982.585217092567</v>
      </c>
      <c r="O426" s="0" t="n">
        <f aca="false">W_PH(O$2,$A426)</f>
        <v>982.585807823354</v>
      </c>
      <c r="P426" s="0" t="n">
        <f aca="false">W_PH(P$2,$A426)</f>
        <v>982.591713978991</v>
      </c>
      <c r="Q426" s="0" t="n">
        <f aca="false">W_PH(Q$2,$A426)</f>
        <v>982.597619013151</v>
      </c>
      <c r="R426" s="0" t="n">
        <f aca="false">W_PH(R$2,$A426)</f>
        <v>982.603526494298</v>
      </c>
      <c r="S426" s="0" t="n">
        <f aca="false">W_PH(S$2,$A426)</f>
        <v>982.609431666299</v>
      </c>
      <c r="T426" s="0" t="n">
        <f aca="false">W_PH(T$2,$A426)</f>
        <v>982.615338097672</v>
      </c>
      <c r="U426" s="0" t="n">
        <f aca="false">W_PH(U$2,$A426)</f>
        <v>982.621244599971</v>
      </c>
      <c r="V426" s="0" t="n">
        <f aca="false">W_PH(V$2,$A426)</f>
        <v>982.62714998468</v>
      </c>
      <c r="W426" s="0" t="n">
        <f aca="false">W_PH(W$2,$A426)</f>
        <v>982.633056631198</v>
      </c>
      <c r="X426" s="0" t="n">
        <f aca="false">W_PH(X$2,$A426)</f>
        <v>982.638963351028</v>
      </c>
      <c r="Y426" s="0" t="n">
        <f aca="false">W_PH(Y$2,$A426)</f>
        <v>982.698029998236</v>
      </c>
      <c r="Z426" s="0" t="n">
        <f aca="false">W_PH(Z$2,$A426)</f>
        <v>982.757103659915</v>
      </c>
      <c r="AA426" s="0" t="n">
        <f aca="false">W_PH(AA$2,$A426)</f>
        <v>982.816183940594</v>
      </c>
      <c r="AB426" s="0" t="n">
        <f aca="false">W_PH(AB$2,$A426)</f>
        <v>982.87527282416</v>
      </c>
      <c r="AC426" s="0" t="n">
        <f aca="false">W_PH(AC$2,$A426)</f>
        <v>982.93437229516</v>
      </c>
      <c r="AD426" s="0" t="n">
        <f aca="false">W_PH(AD$2,$A426)</f>
        <v>982.993478386773</v>
      </c>
      <c r="AE426" s="0" t="n">
        <f aca="false">W_PH(AE$2,$A426)</f>
        <v>983.052596653971</v>
      </c>
      <c r="AF426" s="0" t="n">
        <f aca="false">W_PH(AF$2,$A426)</f>
        <v>983.111725509952</v>
      </c>
      <c r="AG426" s="0" t="n">
        <f aca="false">W_PH(AG$2,$A426)</f>
        <v>983.17086574833</v>
      </c>
      <c r="AH426" s="0" t="n">
        <f aca="false">W_PH(AH$2,$A426)</f>
        <v>983.763093774984</v>
      </c>
      <c r="AI426" s="0" t="n">
        <f aca="false">W_PH(AI$2,$A426)</f>
        <v>984.357344722374</v>
      </c>
      <c r="AJ426" s="0" t="n">
        <f aca="false">W_PH(AJ$2,$A426)</f>
        <v>984.95437928772</v>
      </c>
      <c r="AK426" s="0" t="n">
        <f aca="false">W_PH(AK$2,$A426)</f>
        <v>985.554952828761</v>
      </c>
      <c r="AL426" s="0" t="n">
        <f aca="false">W_PH(AL$2,$A426)</f>
        <v>986.159827376837</v>
      </c>
      <c r="AM426" s="0" t="n">
        <f aca="false">W_PH(AM$2,$A426)</f>
        <v>986.769759738282</v>
      </c>
      <c r="AN426" s="0" t="n">
        <f aca="false">W_PH(AN$2,$A426)</f>
        <v>987.385508751265</v>
      </c>
      <c r="AO426" s="0" t="n">
        <f aca="false">W_PH(AO$2,$A426)</f>
        <v>988.007830569129</v>
      </c>
      <c r="AP426" s="0" t="n">
        <f aca="false">W_PH(AP$2,$A426)</f>
        <v>2015</v>
      </c>
      <c r="AQ426" s="0" t="n">
        <f aca="false">W_PH(AQ$2,$A426)</f>
        <v>2015</v>
      </c>
      <c r="AR426" s="0" t="n">
        <f aca="false">W_PH(AR$2,$A426)</f>
        <v>2015</v>
      </c>
      <c r="AS426" s="0" t="n">
        <f aca="false">W_PH(AS$2,$A426)</f>
        <v>2015</v>
      </c>
    </row>
    <row r="427" customFormat="false" ht="13.8" hidden="false" customHeight="false" outlineLevel="0" collapsed="false">
      <c r="A427" s="0" t="n">
        <v>5870</v>
      </c>
      <c r="B427" s="0" t="n">
        <f aca="false">W_PH(B$2,$A427)</f>
        <v>983.552211335916</v>
      </c>
      <c r="C427" s="0" t="n">
        <f aca="false">W_PH(C$2,$A427)</f>
        <v>983.552269364009</v>
      </c>
      <c r="D427" s="0" t="n">
        <f aca="false">W_PH(D$2,$A427)</f>
        <v>983.552328580148</v>
      </c>
      <c r="E427" s="0" t="n">
        <f aca="false">W_PH(E$2,$A427)</f>
        <v>983.552387796293</v>
      </c>
      <c r="F427" s="0" t="n">
        <f aca="false">W_PH(F$2,$A427)</f>
        <v>983.552447012445</v>
      </c>
      <c r="G427" s="0" t="n">
        <f aca="false">W_PH(G$2,$A427)</f>
        <v>983.553037986282</v>
      </c>
      <c r="H427" s="0" t="n">
        <f aca="false">W_PH(H$2,$A427)</f>
        <v>983.553630148816</v>
      </c>
      <c r="I427" s="0" t="n">
        <f aca="false">W_PH(I$2,$A427)</f>
        <v>983.55421993592</v>
      </c>
      <c r="J427" s="0" t="n">
        <f aca="false">W_PH(J$2,$A427)</f>
        <v>983.554812099768</v>
      </c>
      <c r="K427" s="0" t="n">
        <f aca="false">W_PH(K$2,$A427)</f>
        <v>983.555401888182</v>
      </c>
      <c r="L427" s="0" t="n">
        <f aca="false">W_PH(L$2,$A427)</f>
        <v>983.555994053348</v>
      </c>
      <c r="M427" s="0" t="n">
        <f aca="false">W_PH(M$2,$A427)</f>
        <v>983.556583843073</v>
      </c>
      <c r="N427" s="0" t="n">
        <f aca="false">W_PH(N$2,$A427)</f>
        <v>983.55717600956</v>
      </c>
      <c r="O427" s="0" t="n">
        <f aca="false">W_PH(O$2,$A427)</f>
        <v>983.557766988655</v>
      </c>
      <c r="P427" s="0" t="n">
        <f aca="false">W_PH(P$2,$A427)</f>
        <v>983.56367800414</v>
      </c>
      <c r="Q427" s="0" t="n">
        <f aca="false">W_PH(Q$2,$A427)</f>
        <v>983.569589086508</v>
      </c>
      <c r="R427" s="0" t="n">
        <f aca="false">W_PH(R$2,$A427)</f>
        <v>983.575500236549</v>
      </c>
      <c r="S427" s="0" t="n">
        <f aca="false">W_PH(S$2,$A427)</f>
        <v>983.581411455054</v>
      </c>
      <c r="T427" s="0" t="n">
        <f aca="false">W_PH(T$2,$A427)</f>
        <v>983.587322742815</v>
      </c>
      <c r="U427" s="0" t="n">
        <f aca="false">W_PH(U$2,$A427)</f>
        <v>983.593234100621</v>
      </c>
      <c r="V427" s="0" t="n">
        <f aca="false">W_PH(V$2,$A427)</f>
        <v>983.599145529264</v>
      </c>
      <c r="W427" s="0" t="n">
        <f aca="false">W_PH(W$2,$A427)</f>
        <v>983.605057029535</v>
      </c>
      <c r="X427" s="0" t="n">
        <f aca="false">W_PH(X$2,$A427)</f>
        <v>983.610968602224</v>
      </c>
      <c r="Y427" s="0" t="n">
        <f aca="false">W_PH(Y$2,$A427)</f>
        <v>983.67008729773</v>
      </c>
      <c r="Z427" s="0" t="n">
        <f aca="false">W_PH(Z$2,$A427)</f>
        <v>983.729211727525</v>
      </c>
      <c r="AA427" s="0" t="n">
        <f aca="false">W_PH(AA$2,$A427)</f>
        <v>983.788343870083</v>
      </c>
      <c r="AB427" s="0" t="n">
        <f aca="false">W_PH(AB$2,$A427)</f>
        <v>983.847484515625</v>
      </c>
      <c r="AC427" s="0" t="n">
        <f aca="false">W_PH(AC$2,$A427)</f>
        <v>983.906633265246</v>
      </c>
      <c r="AD427" s="0" t="n">
        <f aca="false">W_PH(AD$2,$A427)</f>
        <v>983.965792097815</v>
      </c>
      <c r="AE427" s="0" t="n">
        <f aca="false">W_PH(AE$2,$A427)</f>
        <v>984.024960613994</v>
      </c>
      <c r="AF427" s="0" t="n">
        <f aca="false">W_PH(AF$2,$A427)</f>
        <v>984.084140792918</v>
      </c>
      <c r="AG427" s="0" t="n">
        <f aca="false">W_PH(AG$2,$A427)</f>
        <v>984.143332234816</v>
      </c>
      <c r="AH427" s="0" t="n">
        <f aca="false">W_PH(AH$2,$A427)</f>
        <v>984.736061222645</v>
      </c>
      <c r="AI427" s="0" t="n">
        <f aca="false">W_PH(AI$2,$A427)</f>
        <v>985.330801412654</v>
      </c>
      <c r="AJ427" s="0" t="n">
        <f aca="false">W_PH(AJ$2,$A427)</f>
        <v>985.928305872533</v>
      </c>
      <c r="AK427" s="0" t="n">
        <f aca="false">W_PH(AK$2,$A427)</f>
        <v>986.529329513712</v>
      </c>
      <c r="AL427" s="0" t="n">
        <f aca="false">W_PH(AL$2,$A427)</f>
        <v>987.134627961135</v>
      </c>
      <c r="AM427" s="0" t="n">
        <f aca="false">W_PH(AM$2,$A427)</f>
        <v>987.744955223515</v>
      </c>
      <c r="AN427" s="0" t="n">
        <f aca="false">W_PH(AN$2,$A427)</f>
        <v>988.361064959167</v>
      </c>
      <c r="AO427" s="0" t="n">
        <f aca="false">W_PH(AO$2,$A427)</f>
        <v>988.983711762221</v>
      </c>
      <c r="AP427" s="0" t="n">
        <f aca="false">W_PH(AP$2,$A427)</f>
        <v>2015</v>
      </c>
      <c r="AQ427" s="0" t="n">
        <f aca="false">W_PH(AQ$2,$A427)</f>
        <v>2015</v>
      </c>
      <c r="AR427" s="0" t="n">
        <f aca="false">W_PH(AR$2,$A427)</f>
        <v>2015</v>
      </c>
      <c r="AS427" s="0" t="n">
        <f aca="false">W_PH(AS$2,$A427)</f>
        <v>2015</v>
      </c>
    </row>
    <row r="428" customFormat="false" ht="13.8" hidden="false" customHeight="false" outlineLevel="0" collapsed="false">
      <c r="A428" s="0" t="n">
        <v>5880</v>
      </c>
      <c r="B428" s="0" t="n">
        <f aca="false">W_PH(B$2,$A428)</f>
        <v>984.522654882129</v>
      </c>
      <c r="C428" s="0" t="n">
        <f aca="false">W_PH(C$2,$A428)</f>
        <v>984.52271305326</v>
      </c>
      <c r="D428" s="0" t="n">
        <f aca="false">W_PH(D$2,$A428)</f>
        <v>984.522773598216</v>
      </c>
      <c r="E428" s="0" t="n">
        <f aca="false">W_PH(E$2,$A428)</f>
        <v>984.522831769359</v>
      </c>
      <c r="F428" s="0" t="n">
        <f aca="false">W_PH(F$2,$A428)</f>
        <v>984.522891127419</v>
      </c>
      <c r="G428" s="0" t="n">
        <f aca="false">W_PH(G$2,$A428)</f>
        <v>984.523483521461</v>
      </c>
      <c r="H428" s="0" t="n">
        <f aca="false">W_PH(H$2,$A428)</f>
        <v>984.524074729239</v>
      </c>
      <c r="I428" s="0" t="n">
        <f aca="false">W_PH(I$2,$A428)</f>
        <v>984.524665937662</v>
      </c>
      <c r="J428" s="0" t="n">
        <f aca="false">W_PH(J$2,$A428)</f>
        <v>984.525257146732</v>
      </c>
      <c r="K428" s="0" t="n">
        <f aca="false">W_PH(K$2,$A428)</f>
        <v>984.525848356449</v>
      </c>
      <c r="L428" s="0" t="n">
        <f aca="false">W_PH(L$2,$A428)</f>
        <v>984.526440753735</v>
      </c>
      <c r="M428" s="0" t="n">
        <f aca="false">W_PH(M$2,$A428)</f>
        <v>984.527033151673</v>
      </c>
      <c r="N428" s="0" t="n">
        <f aca="false">W_PH(N$2,$A428)</f>
        <v>984.527624363341</v>
      </c>
      <c r="O428" s="0" t="n">
        <f aca="false">W_PH(O$2,$A428)</f>
        <v>984.528215575659</v>
      </c>
      <c r="P428" s="0" t="n">
        <f aca="false">W_PH(P$2,$A428)</f>
        <v>984.534132482572</v>
      </c>
      <c r="Q428" s="0" t="n">
        <f aca="false">W_PH(Q$2,$A428)</f>
        <v>984.540047081629</v>
      </c>
      <c r="R428" s="0" t="n">
        <f aca="false">W_PH(R$2,$A428)</f>
        <v>984.545964121423</v>
      </c>
      <c r="S428" s="0" t="n">
        <f aca="false">W_PH(S$2,$A428)</f>
        <v>984.551881228854</v>
      </c>
      <c r="T428" s="0" t="n">
        <f aca="false">W_PH(T$2,$A428)</f>
        <v>984.557796030687</v>
      </c>
      <c r="U428" s="0" t="n">
        <f aca="false">W_PH(U$2,$A428)</f>
        <v>984.56371327572</v>
      </c>
      <c r="V428" s="0" t="n">
        <f aca="false">W_PH(V$2,$A428)</f>
        <v>984.569630590752</v>
      </c>
      <c r="W428" s="0" t="n">
        <f aca="false">W_PH(W$2,$A428)</f>
        <v>984.575545602442</v>
      </c>
      <c r="X428" s="0" t="n">
        <f aca="false">W_PH(X$2,$A428)</f>
        <v>984.581463059796</v>
      </c>
      <c r="Y428" s="0" t="n">
        <f aca="false">W_PH(Y$2,$A428)</f>
        <v>984.640632244833</v>
      </c>
      <c r="Z428" s="0" t="n">
        <f aca="false">W_PH(Z$2,$A428)</f>
        <v>984.699807074811</v>
      </c>
      <c r="AA428" s="0" t="n">
        <f aca="false">W_PH(AA$2,$A428)</f>
        <v>984.758990710563</v>
      </c>
      <c r="AB428" s="0" t="n">
        <f aca="false">W_PH(AB$2,$A428)</f>
        <v>984.818181563175</v>
      </c>
      <c r="AC428" s="0" t="n">
        <f aca="false">W_PH(AC$2,$A428)</f>
        <v>984.877380418199</v>
      </c>
      <c r="AD428" s="0" t="n">
        <f aca="false">W_PH(AD$2,$A428)</f>
        <v>984.936589249265</v>
      </c>
      <c r="AE428" s="0" t="n">
        <f aca="false">W_PH(AE$2,$A428)</f>
        <v>984.995807654074</v>
      </c>
      <c r="AF428" s="0" t="n">
        <f aca="false">W_PH(AF$2,$A428)</f>
        <v>985.055037606519</v>
      </c>
      <c r="AG428" s="0" t="n">
        <f aca="false">W_PH(AG$2,$A428)</f>
        <v>985.114278703878</v>
      </c>
      <c r="AH428" s="0" t="n">
        <f aca="false">W_PH(AH$2,$A428)</f>
        <v>985.707503974524</v>
      </c>
      <c r="AI428" s="0" t="n">
        <f aca="false">W_PH(AI$2,$A428)</f>
        <v>986.302724153666</v>
      </c>
      <c r="AJ428" s="0" t="n">
        <f aca="false">W_PH(AJ$2,$A428)</f>
        <v>986.900690666049</v>
      </c>
      <c r="AK428" s="0" t="n">
        <f aca="false">W_PH(AK$2,$A428)</f>
        <v>987.502156810115</v>
      </c>
      <c r="AL428" s="0" t="n">
        <f aca="false">W_PH(AL$2,$A428)</f>
        <v>988.107870642745</v>
      </c>
      <c r="AM428" s="0" t="n">
        <f aca="false">W_PH(AM$2,$A428)</f>
        <v>988.718584596539</v>
      </c>
      <c r="AN428" s="0" t="n">
        <f aca="false">W_PH(AN$2,$A428)</f>
        <v>989.335049582606</v>
      </c>
      <c r="AO428" s="0" t="n">
        <f aca="false">W_PH(AO$2,$A428)</f>
        <v>989.958013862983</v>
      </c>
      <c r="AP428" s="0" t="n">
        <f aca="false">W_PH(AP$2,$A428)</f>
        <v>2015</v>
      </c>
      <c r="AQ428" s="0" t="n">
        <f aca="false">W_PH(AQ$2,$A428)</f>
        <v>2015</v>
      </c>
      <c r="AR428" s="0" t="n">
        <f aca="false">W_PH(AR$2,$A428)</f>
        <v>2015</v>
      </c>
      <c r="AS428" s="0" t="n">
        <f aca="false">W_PH(AS$2,$A428)</f>
        <v>2015</v>
      </c>
    </row>
    <row r="429" customFormat="false" ht="13.8" hidden="false" customHeight="false" outlineLevel="0" collapsed="false">
      <c r="A429" s="0" t="n">
        <v>5890</v>
      </c>
      <c r="B429" s="0" t="n">
        <f aca="false">W_PH(B$2,$A429)</f>
        <v>985.491596036665</v>
      </c>
      <c r="C429" s="0" t="n">
        <f aca="false">W_PH(C$2,$A429)</f>
        <v>985.491654349115</v>
      </c>
      <c r="D429" s="0" t="n">
        <f aca="false">W_PH(D$2,$A429)</f>
        <v>985.491713847355</v>
      </c>
      <c r="E429" s="0" t="n">
        <f aca="false">W_PH(E$2,$A429)</f>
        <v>985.491773345601</v>
      </c>
      <c r="F429" s="0" t="n">
        <f aca="false">W_PH(F$2,$A429)</f>
        <v>985.49183165807</v>
      </c>
      <c r="G429" s="0" t="n">
        <f aca="false">W_PH(G$2,$A429)</f>
        <v>985.492424269382</v>
      </c>
      <c r="H429" s="0" t="n">
        <f aca="false">W_PH(H$2,$A429)</f>
        <v>985.493016881333</v>
      </c>
      <c r="I429" s="0" t="n">
        <f aca="false">W_PH(I$2,$A429)</f>
        <v>985.493609493924</v>
      </c>
      <c r="J429" s="0" t="n">
        <f aca="false">W_PH(J$2,$A429)</f>
        <v>985.494200921365</v>
      </c>
      <c r="K429" s="0" t="n">
        <f aca="false">W_PH(K$2,$A429)</f>
        <v>985.494792349444</v>
      </c>
      <c r="L429" s="0" t="n">
        <f aca="false">W_PH(L$2,$A429)</f>
        <v>985.495384963958</v>
      </c>
      <c r="M429" s="0" t="n">
        <f aca="false">W_PH(M$2,$A429)</f>
        <v>985.495977579115</v>
      </c>
      <c r="N429" s="0" t="n">
        <f aca="false">W_PH(N$2,$A429)</f>
        <v>985.496570194916</v>
      </c>
      <c r="O429" s="0" t="n">
        <f aca="false">W_PH(O$2,$A429)</f>
        <v>985.497160439762</v>
      </c>
      <c r="P429" s="0" t="n">
        <f aca="false">W_PH(P$2,$A429)</f>
        <v>985.503081896567</v>
      </c>
      <c r="Q429" s="0" t="n">
        <f aca="false">W_PH(Q$2,$A429)</f>
        <v>985.509003418595</v>
      </c>
      <c r="R429" s="0" t="n">
        <f aca="false">W_PH(R$2,$A429)</f>
        <v>985.514925006628</v>
      </c>
      <c r="S429" s="0" t="n">
        <f aca="false">W_PH(S$2,$A429)</f>
        <v>985.520846661449</v>
      </c>
      <c r="T429" s="0" t="n">
        <f aca="false">W_PH(T$2,$A429)</f>
        <v>985.52676838384</v>
      </c>
      <c r="U429" s="0" t="n">
        <f aca="false">W_PH(U$2,$A429)</f>
        <v>985.532688988683</v>
      </c>
      <c r="V429" s="0" t="n">
        <f aca="false">W_PH(V$2,$A429)</f>
        <v>985.538609662627</v>
      </c>
      <c r="W429" s="0" t="n">
        <f aca="false">W_PH(W$2,$A429)</f>
        <v>985.544531592393</v>
      </c>
      <c r="X429" s="0" t="n">
        <f aca="false">W_PH(X$2,$A429)</f>
        <v>985.550453592859</v>
      </c>
      <c r="Y429" s="0" t="n">
        <f aca="false">W_PH(Y$2,$A429)</f>
        <v>985.609672913778</v>
      </c>
      <c r="Z429" s="0" t="n">
        <f aca="false">W_PH(Z$2,$A429)</f>
        <v>985.668897791753</v>
      </c>
      <c r="AA429" s="0" t="n">
        <f aca="false">W_PH(AA$2,$A429)</f>
        <v>985.728130194812</v>
      </c>
      <c r="AB429" s="0" t="n">
        <f aca="false">W_PH(AB$2,$A429)</f>
        <v>985.787369718353</v>
      </c>
      <c r="AC429" s="0" t="n">
        <f aca="false">W_PH(AC$2,$A429)</f>
        <v>985.846619517475</v>
      </c>
      <c r="AD429" s="0" t="n">
        <f aca="false">W_PH(AD$2,$A429)</f>
        <v>985.905878000689</v>
      </c>
      <c r="AE429" s="0" t="n">
        <f aca="false">W_PH(AE$2,$A429)</f>
        <v>985.965145949402</v>
      </c>
      <c r="AF429" s="0" t="n">
        <f aca="false">W_PH(AF$2,$A429)</f>
        <v>986.024424144982</v>
      </c>
      <c r="AG429" s="0" t="n">
        <f aca="false">W_PH(AG$2,$A429)</f>
        <v>986.083715743738</v>
      </c>
      <c r="AH429" s="0" t="n">
        <f aca="false">W_PH(AH$2,$A429)</f>
        <v>986.677425644921</v>
      </c>
      <c r="AI429" s="0" t="n">
        <f aca="false">W_PH(AI$2,$A429)</f>
        <v>987.273117912847</v>
      </c>
      <c r="AJ429" s="0" t="n">
        <f aca="false">W_PH(AJ$2,$A429)</f>
        <v>987.87154117826</v>
      </c>
      <c r="AK429" s="0" t="n">
        <f aca="false">W_PH(AK$2,$A429)</f>
        <v>988.47343999725</v>
      </c>
      <c r="AL429" s="0" t="n">
        <f aca="false">W_PH(AL$2,$A429)</f>
        <v>989.079563246927</v>
      </c>
      <c r="AM429" s="0" t="n">
        <f aca="false">W_PH(AM$2,$A429)</f>
        <v>989.690658231134</v>
      </c>
      <c r="AN429" s="0" t="n">
        <f aca="false">W_PH(AN$2,$A429)</f>
        <v>990.307470742932</v>
      </c>
      <c r="AO429" s="0" t="n">
        <f aca="false">W_PH(AO$2,$A429)</f>
        <v>990.930746338405</v>
      </c>
      <c r="AP429" s="0" t="n">
        <f aca="false">W_PH(AP$2,$A429)</f>
        <v>2015</v>
      </c>
      <c r="AQ429" s="0" t="n">
        <f aca="false">W_PH(AQ$2,$A429)</f>
        <v>2015</v>
      </c>
      <c r="AR429" s="0" t="n">
        <f aca="false">W_PH(AR$2,$A429)</f>
        <v>2015</v>
      </c>
      <c r="AS429" s="0" t="n">
        <f aca="false">W_PH(AS$2,$A429)</f>
        <v>2015</v>
      </c>
    </row>
    <row r="430" customFormat="false" ht="13.8" hidden="false" customHeight="false" outlineLevel="0" collapsed="false">
      <c r="A430" s="0" t="n">
        <v>5900</v>
      </c>
      <c r="B430" s="0" t="n">
        <f aca="false">W_PH(B$2,$A430)</f>
        <v>986.459041604337</v>
      </c>
      <c r="C430" s="0" t="n">
        <f aca="false">W_PH(C$2,$A430)</f>
        <v>986.459100056407</v>
      </c>
      <c r="D430" s="0" t="n">
        <f aca="false">W_PH(D$2,$A430)</f>
        <v>986.459159693147</v>
      </c>
      <c r="E430" s="0" t="n">
        <f aca="false">W_PH(E$2,$A430)</f>
        <v>986.459219329892</v>
      </c>
      <c r="F430" s="0" t="n">
        <f aca="false">W_PH(F$2,$A430)</f>
        <v>986.45927778198</v>
      </c>
      <c r="G430" s="0" t="n">
        <f aca="false">W_PH(G$2,$A430)</f>
        <v>986.459870595855</v>
      </c>
      <c r="H430" s="0" t="n">
        <f aca="false">W_PH(H$2,$A430)</f>
        <v>986.460463410361</v>
      </c>
      <c r="I430" s="0" t="n">
        <f aca="false">W_PH(I$2,$A430)</f>
        <v>986.461055040829</v>
      </c>
      <c r="J430" s="0" t="n">
        <f aca="false">W_PH(J$2,$A430)</f>
        <v>986.461649041267</v>
      </c>
      <c r="K430" s="0" t="n">
        <f aca="false">W_PH(K$2,$A430)</f>
        <v>986.462240672997</v>
      </c>
      <c r="L430" s="0" t="n">
        <f aca="false">W_PH(L$2,$A430)</f>
        <v>986.462834674705</v>
      </c>
      <c r="M430" s="0" t="n">
        <f aca="false">W_PH(M$2,$A430)</f>
        <v>986.463426307699</v>
      </c>
      <c r="N430" s="0" t="n">
        <f aca="false">W_PH(N$2,$A430)</f>
        <v>986.464019126003</v>
      </c>
      <c r="O430" s="0" t="n">
        <f aca="false">W_PH(O$2,$A430)</f>
        <v>986.464611944943</v>
      </c>
      <c r="P430" s="0" t="n">
        <f aca="false">W_PH(P$2,$A430)</f>
        <v>986.470537800101</v>
      </c>
      <c r="Q430" s="0" t="n">
        <f aca="false">W_PH(Q$2,$A430)</f>
        <v>986.47646371965</v>
      </c>
      <c r="R430" s="0" t="n">
        <f aca="false">W_PH(R$2,$A430)</f>
        <v>986.48238970437</v>
      </c>
      <c r="S430" s="0" t="n">
        <f aca="false">W_PH(S$2,$A430)</f>
        <v>986.488315755039</v>
      </c>
      <c r="T430" s="0" t="n">
        <f aca="false">W_PH(T$2,$A430)</f>
        <v>986.494241872436</v>
      </c>
      <c r="U430" s="0" t="n">
        <f aca="false">W_PH(U$2,$A430)</f>
        <v>986.500168057338</v>
      </c>
      <c r="V430" s="0" t="n">
        <f aca="false">W_PH(V$2,$A430)</f>
        <v>986.506094310524</v>
      </c>
      <c r="W430" s="0" t="n">
        <f aca="false">W_PH(W$2,$A430)</f>
        <v>986.512020632775</v>
      </c>
      <c r="X430" s="0" t="n">
        <f aca="false">W_PH(X$2,$A430)</f>
        <v>986.517947024867</v>
      </c>
      <c r="Y430" s="0" t="n">
        <f aca="false">W_PH(Y$2,$A430)</f>
        <v>986.577214958375</v>
      </c>
      <c r="Z430" s="0" t="n">
        <f aca="false">W_PH(Z$2,$A430)</f>
        <v>986.636490732493</v>
      </c>
      <c r="AA430" s="0" t="n">
        <f aca="false">W_PH(AA$2,$A430)</f>
        <v>986.69577156974</v>
      </c>
      <c r="AB430" s="0" t="n">
        <f aca="false">W_PH(AB$2,$A430)</f>
        <v>986.755060618107</v>
      </c>
      <c r="AC430" s="0" t="n">
        <f aca="false">W_PH(AC$2,$A430)</f>
        <v>986.814358655544</v>
      </c>
      <c r="AD430" s="0" t="n">
        <f aca="false">W_PH(AD$2,$A430)</f>
        <v>986.873664088278</v>
      </c>
      <c r="AE430" s="0" t="n">
        <f aca="false">W_PH(AE$2,$A430)</f>
        <v>986.932981251215</v>
      </c>
      <c r="AF430" s="0" t="n">
        <f aca="false">W_PH(AF$2,$A430)</f>
        <v>986.992308550337</v>
      </c>
      <c r="AG430" s="0" t="n">
        <f aca="false">W_PH(AG$2,$A430)</f>
        <v>987.051649135643</v>
      </c>
      <c r="AH430" s="0" t="n">
        <f aca="false">W_PH(AH$2,$A430)</f>
        <v>987.645835751913</v>
      </c>
      <c r="AI430" s="0" t="n">
        <f aca="false">W_PH(AI$2,$A430)</f>
        <v>988.24199237313</v>
      </c>
      <c r="AJ430" s="0" t="n">
        <f aca="false">W_PH(AJ$2,$A430)</f>
        <v>988.840862481531</v>
      </c>
      <c r="AK430" s="0" t="n">
        <f aca="false">W_PH(AK$2,$A430)</f>
        <v>989.443189078557</v>
      </c>
      <c r="AL430" s="0" t="n">
        <f aca="false">W_PH(AL$2,$A430)</f>
        <v>990.049714733914</v>
      </c>
      <c r="AM430" s="0" t="n">
        <f aca="false">W_PH(AM$2,$A430)</f>
        <v>990.661181645103</v>
      </c>
      <c r="AN430" s="0" t="n">
        <f aca="false">W_PH(AN$2,$A430)</f>
        <v>991.278336497646</v>
      </c>
      <c r="AO430" s="0" t="n">
        <f aca="false">W_PH(AO$2,$A430)</f>
        <v>991.901917385388</v>
      </c>
      <c r="AP430" s="0" t="n">
        <f aca="false">W_PH(AP$2,$A430)</f>
        <v>2015</v>
      </c>
      <c r="AQ430" s="0" t="n">
        <f aca="false">W_PH(AQ$2,$A430)</f>
        <v>2015</v>
      </c>
      <c r="AR430" s="0" t="n">
        <f aca="false">W_PH(AR$2,$A430)</f>
        <v>2015</v>
      </c>
      <c r="AS430" s="0" t="n">
        <f aca="false">W_PH(AS$2,$A430)</f>
        <v>2015</v>
      </c>
    </row>
    <row r="431" customFormat="false" ht="13.8" hidden="false" customHeight="false" outlineLevel="0" collapsed="false">
      <c r="A431" s="0" t="n">
        <v>5910</v>
      </c>
      <c r="B431" s="0" t="n">
        <f aca="false">W_PH(B$2,$A431)</f>
        <v>987.424998345044</v>
      </c>
      <c r="C431" s="0" t="n">
        <f aca="false">W_PH(C$2,$A431)</f>
        <v>987.425056935055</v>
      </c>
      <c r="D431" s="0" t="n">
        <f aca="false">W_PH(D$2,$A431)</f>
        <v>987.425117892165</v>
      </c>
      <c r="E431" s="0" t="n">
        <f aca="false">W_PH(E$2,$A431)</f>
        <v>987.425176482188</v>
      </c>
      <c r="F431" s="0" t="n">
        <f aca="false">W_PH(F$2,$A431)</f>
        <v>987.425235072217</v>
      </c>
      <c r="G431" s="0" t="n">
        <f aca="false">W_PH(G$2,$A431)</f>
        <v>987.425828074129</v>
      </c>
      <c r="H431" s="0" t="n">
        <f aca="false">W_PH(H$2,$A431)</f>
        <v>987.426421076664</v>
      </c>
      <c r="I431" s="0" t="n">
        <f aca="false">W_PH(I$2,$A431)</f>
        <v>987.42701407982</v>
      </c>
      <c r="J431" s="0" t="n">
        <f aca="false">W_PH(J$2,$A431)</f>
        <v>987.427608267154</v>
      </c>
      <c r="K431" s="0" t="n">
        <f aca="false">W_PH(K$2,$A431)</f>
        <v>987.42820127156</v>
      </c>
      <c r="L431" s="0" t="n">
        <f aca="false">W_PH(L$2,$A431)</f>
        <v>987.428794276591</v>
      </c>
      <c r="M431" s="0" t="n">
        <f aca="false">W_PH(M$2,$A431)</f>
        <v>987.429387282247</v>
      </c>
      <c r="N431" s="0" t="n">
        <f aca="false">W_PH(N$2,$A431)</f>
        <v>987.42998028853</v>
      </c>
      <c r="O431" s="0" t="n">
        <f aca="false">W_PH(O$2,$A431)</f>
        <v>987.430574479002</v>
      </c>
      <c r="P431" s="0" t="n">
        <f aca="false">W_PH(P$2,$A431)</f>
        <v>987.436504582785</v>
      </c>
      <c r="Q431" s="0" t="n">
        <f aca="false">W_PH(Q$2,$A431)</f>
        <v>987.442434750138</v>
      </c>
      <c r="R431" s="0" t="n">
        <f aca="false">W_PH(R$2,$A431)</f>
        <v>987.44836616545</v>
      </c>
      <c r="S431" s="0" t="n">
        <f aca="false">W_PH(S$2,$A431)</f>
        <v>987.454297645916</v>
      </c>
      <c r="T431" s="0" t="n">
        <f aca="false">W_PH(T$2,$A431)</f>
        <v>987.460228008665</v>
      </c>
      <c r="U431" s="0" t="n">
        <f aca="false">W_PH(U$2,$A431)</f>
        <v>987.466159621745</v>
      </c>
      <c r="V431" s="0" t="n">
        <f aca="false">W_PH(V$2,$A431)</f>
        <v>987.472091302302</v>
      </c>
      <c r="W431" s="0" t="n">
        <f aca="false">W_PH(W$2,$A431)</f>
        <v>987.478021867417</v>
      </c>
      <c r="X431" s="0" t="n">
        <f aca="false">W_PH(X$2,$A431)</f>
        <v>987.483952501524</v>
      </c>
      <c r="Y431" s="0" t="n">
        <f aca="false">W_PH(Y$2,$A431)</f>
        <v>987.54326991091</v>
      </c>
      <c r="Z431" s="0" t="n">
        <f aca="false">W_PH(Z$2,$A431)</f>
        <v>987.602592705538</v>
      </c>
      <c r="AA431" s="0" t="n">
        <f aca="false">W_PH(AA$2,$A431)</f>
        <v>987.661921658916</v>
      </c>
      <c r="AB431" s="0" t="n">
        <f aca="false">W_PH(AB$2,$A431)</f>
        <v>987.721257544521</v>
      </c>
      <c r="AC431" s="0" t="n">
        <f aca="false">W_PH(AC$2,$A431)</f>
        <v>987.780603504886</v>
      </c>
      <c r="AD431" s="0" t="n">
        <f aca="false">W_PH(AD$2,$A431)</f>
        <v>987.839957944987</v>
      </c>
      <c r="AE431" s="0" t="n">
        <f aca="false">W_PH(AE$2,$A431)</f>
        <v>987.899322823074</v>
      </c>
      <c r="AF431" s="0" t="n">
        <f aca="false">W_PH(AF$2,$A431)</f>
        <v>987.958697727934</v>
      </c>
      <c r="AG431" s="0" t="n">
        <f aca="false">W_PH(AG$2,$A431)</f>
        <v>988.01808461808</v>
      </c>
      <c r="AH431" s="0" t="n">
        <f aca="false">W_PH(AH$2,$A431)</f>
        <v>988.612743754585</v>
      </c>
      <c r="AI431" s="0" t="n">
        <f aca="false">W_PH(AI$2,$A431)</f>
        <v>989.20935715597</v>
      </c>
      <c r="AJ431" s="0" t="n">
        <f aca="false">W_PH(AJ$2,$A431)</f>
        <v>989.808666744191</v>
      </c>
      <c r="AK431" s="0" t="n">
        <f aca="false">W_PH(AK$2,$A431)</f>
        <v>990.411411607707</v>
      </c>
      <c r="AL431" s="0" t="n">
        <f aca="false">W_PH(AL$2,$A431)</f>
        <v>991.018330420337</v>
      </c>
      <c r="AM431" s="0" t="n">
        <f aca="false">W_PH(AM$2,$A431)</f>
        <v>991.630166279331</v>
      </c>
      <c r="AN431" s="0" t="n">
        <f aca="false">W_PH(AN$2,$A431)</f>
        <v>992.247652448572</v>
      </c>
      <c r="AO431" s="0" t="n">
        <f aca="false">W_PH(AO$2,$A431)</f>
        <v>992.871533937992</v>
      </c>
      <c r="AP431" s="0" t="n">
        <f aca="false">W_PH(AP$2,$A431)</f>
        <v>2015</v>
      </c>
      <c r="AQ431" s="0" t="n">
        <f aca="false">W_PH(AQ$2,$A431)</f>
        <v>2015</v>
      </c>
      <c r="AR431" s="0" t="n">
        <f aca="false">W_PH(AR$2,$A431)</f>
        <v>2015</v>
      </c>
      <c r="AS431" s="0" t="n">
        <f aca="false">W_PH(AS$2,$A431)</f>
        <v>2015</v>
      </c>
    </row>
    <row r="432" customFormat="false" ht="13.8" hidden="false" customHeight="false" outlineLevel="0" collapsed="false">
      <c r="A432" s="0" t="n">
        <v>5920</v>
      </c>
      <c r="B432" s="0" t="n">
        <f aca="false">W_PH(B$2,$A432)</f>
        <v>988.389475339111</v>
      </c>
      <c r="C432" s="0" t="n">
        <f aca="false">W_PH(C$2,$A432)</f>
        <v>988.389534065404</v>
      </c>
      <c r="D432" s="0" t="n">
        <f aca="false">W_PH(D$2,$A432)</f>
        <v>988.389592791701</v>
      </c>
      <c r="E432" s="0" t="n">
        <f aca="false">W_PH(E$2,$A432)</f>
        <v>988.389653882873</v>
      </c>
      <c r="F432" s="0" t="n">
        <f aca="false">W_PH(F$2,$A432)</f>
        <v>988.389712609183</v>
      </c>
      <c r="G432" s="0" t="n">
        <f aca="false">W_PH(G$2,$A432)</f>
        <v>988.390306967225</v>
      </c>
      <c r="H432" s="0" t="n">
        <f aca="false">W_PH(H$2,$A432)</f>
        <v>988.39089896101</v>
      </c>
      <c r="I432" s="0" t="n">
        <f aca="false">W_PH(I$2,$A432)</f>
        <v>988.391493320283</v>
      </c>
      <c r="J432" s="0" t="n">
        <f aca="false">W_PH(J$2,$A432)</f>
        <v>988.392086497733</v>
      </c>
      <c r="K432" s="0" t="n">
        <f aca="false">W_PH(K$2,$A432)</f>
        <v>988.392679675799</v>
      </c>
      <c r="L432" s="0" t="n">
        <f aca="false">W_PH(L$2,$A432)</f>
        <v>988.393274036925</v>
      </c>
      <c r="M432" s="0" t="n">
        <f aca="false">W_PH(M$2,$A432)</f>
        <v>988.393867216225</v>
      </c>
      <c r="N432" s="0" t="n">
        <f aca="false">W_PH(N$2,$A432)</f>
        <v>988.394460396143</v>
      </c>
      <c r="O432" s="0" t="n">
        <f aca="false">W_PH(O$2,$A432)</f>
        <v>988.395054759129</v>
      </c>
      <c r="P432" s="0" t="n">
        <f aca="false">W_PH(P$2,$A432)</f>
        <v>988.400990146093</v>
      </c>
      <c r="Q432" s="0" t="n">
        <f aca="false">W_PH(Q$2,$A432)</f>
        <v>988.406925595852</v>
      </c>
      <c r="R432" s="0" t="n">
        <f aca="false">W_PH(R$2,$A432)</f>
        <v>988.412862291674</v>
      </c>
      <c r="S432" s="0" t="n">
        <f aca="false">W_PH(S$2,$A432)</f>
        <v>988.418796686836</v>
      </c>
      <c r="T432" s="0" t="n">
        <f aca="false">W_PH(T$2,$A432)</f>
        <v>988.424733512133</v>
      </c>
      <c r="U432" s="0" t="n">
        <f aca="false">W_PH(U$2,$A432)</f>
        <v>988.430669220791</v>
      </c>
      <c r="V432" s="0" t="n">
        <f aca="false">W_PH(V$2,$A432)</f>
        <v>988.436604996098</v>
      </c>
      <c r="W432" s="0" t="n">
        <f aca="false">W_PH(W$2,$A432)</f>
        <v>988.442540838822</v>
      </c>
      <c r="X432" s="0" t="n">
        <f aca="false">W_PH(X$2,$A432)</f>
        <v>988.448476749735</v>
      </c>
      <c r="Y432" s="0" t="n">
        <f aca="false">W_PH(Y$2,$A432)</f>
        <v>988.507839778758</v>
      </c>
      <c r="Z432" s="0" t="n">
        <f aca="false">W_PH(Z$2,$A432)</f>
        <v>988.567210474245</v>
      </c>
      <c r="AA432" s="0" t="n">
        <f aca="false">W_PH(AA$2,$A432)</f>
        <v>988.626587240534</v>
      </c>
      <c r="AB432" s="0" t="n">
        <f aca="false">W_PH(AB$2,$A432)</f>
        <v>988.68597084712</v>
      </c>
      <c r="AC432" s="0" t="n">
        <f aca="false">W_PH(AC$2,$A432)</f>
        <v>988.745364430315</v>
      </c>
      <c r="AD432" s="0" t="n">
        <f aca="false">W_PH(AD$2,$A432)</f>
        <v>988.804765209773</v>
      </c>
      <c r="AE432" s="0" t="n">
        <f aca="false">W_PH(AE$2,$A432)</f>
        <v>988.864177505656</v>
      </c>
      <c r="AF432" s="0" t="n">
        <f aca="false">W_PH(AF$2,$A432)</f>
        <v>988.923598536563</v>
      </c>
      <c r="AG432" s="0" t="n">
        <f aca="false">W_PH(AG$2,$A432)</f>
        <v>988.983032623577</v>
      </c>
      <c r="AH432" s="0" t="n">
        <f aca="false">W_PH(AH$2,$A432)</f>
        <v>989.578151939341</v>
      </c>
      <c r="AI432" s="0" t="n">
        <f aca="false">W_PH(AI$2,$A432)</f>
        <v>990.175214697953</v>
      </c>
      <c r="AJ432" s="0" t="n">
        <f aca="false">W_PH(AJ$2,$A432)</f>
        <v>990.774956550252</v>
      </c>
      <c r="AK432" s="0" t="n">
        <f aca="false">W_PH(AK$2,$A432)</f>
        <v>991.378113891911</v>
      </c>
      <c r="AL432" s="0" t="n">
        <f aca="false">W_PH(AL$2,$A432)</f>
        <v>991.985421534842</v>
      </c>
      <c r="AM432" s="0" t="n">
        <f aca="false">W_PH(AM$2,$A432)</f>
        <v>992.597616338098</v>
      </c>
      <c r="AN432" s="0" t="n">
        <f aca="false">W_PH(AN$2,$A432)</f>
        <v>993.215430120521</v>
      </c>
      <c r="AO432" s="0" t="n">
        <f aca="false">W_PH(AO$2,$A432)</f>
        <v>993.83960287106</v>
      </c>
      <c r="AP432" s="0" t="n">
        <f aca="false">W_PH(AP$2,$A432)</f>
        <v>2015</v>
      </c>
      <c r="AQ432" s="0" t="n">
        <f aca="false">W_PH(AQ$2,$A432)</f>
        <v>2015</v>
      </c>
      <c r="AR432" s="0" t="n">
        <f aca="false">W_PH(AR$2,$A432)</f>
        <v>2015</v>
      </c>
      <c r="AS432" s="0" t="n">
        <f aca="false">W_PH(AS$2,$A432)</f>
        <v>2015</v>
      </c>
    </row>
    <row r="433" customFormat="false" ht="13.8" hidden="false" customHeight="false" outlineLevel="0" collapsed="false">
      <c r="A433" s="0" t="n">
        <v>5930</v>
      </c>
      <c r="B433" s="0" t="n">
        <f aca="false">W_PH(B$2,$A433)</f>
        <v>989.352476888729</v>
      </c>
      <c r="C433" s="0" t="n">
        <f aca="false">W_PH(C$2,$A433)</f>
        <v>989.35253811231</v>
      </c>
      <c r="D433" s="0" t="n">
        <f aca="false">W_PH(D$2,$A433)</f>
        <v>989.352596973248</v>
      </c>
      <c r="E433" s="0" t="n">
        <f aca="false">W_PH(E$2,$A433)</f>
        <v>989.352655834193</v>
      </c>
      <c r="F433" s="0" t="n">
        <f aca="false">W_PH(F$2,$A433)</f>
        <v>989.352714695143</v>
      </c>
      <c r="G433" s="0" t="n">
        <f aca="false">W_PH(G$2,$A433)</f>
        <v>989.353310392928</v>
      </c>
      <c r="H433" s="0" t="n">
        <f aca="false">W_PH(H$2,$A433)</f>
        <v>989.353903728668</v>
      </c>
      <c r="I433" s="0" t="n">
        <f aca="false">W_PH(I$2,$A433)</f>
        <v>989.354497065014</v>
      </c>
      <c r="J433" s="0" t="n">
        <f aca="false">W_PH(J$2,$A433)</f>
        <v>989.355091583297</v>
      </c>
      <c r="K433" s="0" t="n">
        <f aca="false">W_PH(K$2,$A433)</f>
        <v>989.355686102191</v>
      </c>
      <c r="L433" s="0" t="n">
        <f aca="false">W_PH(L$2,$A433)</f>
        <v>989.35627944036</v>
      </c>
      <c r="M433" s="0" t="n">
        <f aca="false">W_PH(M$2,$A433)</f>
        <v>989.356872779138</v>
      </c>
      <c r="N433" s="0" t="n">
        <f aca="false">W_PH(N$2,$A433)</f>
        <v>989.3574684812</v>
      </c>
      <c r="O433" s="0" t="n">
        <f aca="false">W_PH(O$2,$A433)</f>
        <v>989.3580618212</v>
      </c>
      <c r="P433" s="0" t="n">
        <f aca="false">W_PH(P$2,$A433)</f>
        <v>989.364002343048</v>
      </c>
      <c r="Q433" s="0" t="n">
        <f aca="false">W_PH(Q$2,$A433)</f>
        <v>989.369942926922</v>
      </c>
      <c r="R433" s="0" t="n">
        <f aca="false">W_PH(R$2,$A433)</f>
        <v>989.375883573591</v>
      </c>
      <c r="S433" s="0" t="n">
        <f aca="false">W_PH(S$2,$A433)</f>
        <v>989.381823102415</v>
      </c>
      <c r="T433" s="0" t="n">
        <f aca="false">W_PH(T$2,$A433)</f>
        <v>989.387762695534</v>
      </c>
      <c r="U433" s="0" t="n">
        <f aca="false">W_PH(U$2,$A433)</f>
        <v>989.393703535151</v>
      </c>
      <c r="V433" s="0" t="n">
        <f aca="false">W_PH(V$2,$A433)</f>
        <v>989.399644440629</v>
      </c>
      <c r="W433" s="0" t="n">
        <f aca="false">W_PH(W$2,$A433)</f>
        <v>989.405585412734</v>
      </c>
      <c r="X433" s="0" t="n">
        <f aca="false">W_PH(X$2,$A433)</f>
        <v>989.411526452233</v>
      </c>
      <c r="Y433" s="0" t="n">
        <f aca="false">W_PH(Y$2,$A433)</f>
        <v>989.470935995926</v>
      </c>
      <c r="Z433" s="0" t="n">
        <f aca="false">W_PH(Z$2,$A433)</f>
        <v>989.530353120937</v>
      </c>
      <c r="AA433" s="0" t="n">
        <f aca="false">W_PH(AA$2,$A433)</f>
        <v>989.589776229873</v>
      </c>
      <c r="AB433" s="0" t="n">
        <f aca="false">W_PH(AB$2,$A433)</f>
        <v>989.649206088287</v>
      </c>
      <c r="AC433" s="0" t="n">
        <f aca="false">W_PH(AC$2,$A433)</f>
        <v>989.708645826304</v>
      </c>
      <c r="AD433" s="0" t="n">
        <f aca="false">W_PH(AD$2,$A433)</f>
        <v>989.768093845456</v>
      </c>
      <c r="AE433" s="0" t="n">
        <f aca="false">W_PH(AE$2,$A433)</f>
        <v>989.827550911198</v>
      </c>
      <c r="AF433" s="0" t="n">
        <f aca="false">W_PH(AF$2,$A433)</f>
        <v>989.887018971748</v>
      </c>
      <c r="AG433" s="0" t="n">
        <f aca="false">W_PH(AG$2,$A433)</f>
        <v>989.946498792986</v>
      </c>
      <c r="AH433" s="0" t="n">
        <f aca="false">W_PH(AH$2,$A433)</f>
        <v>990.542073223546</v>
      </c>
      <c r="AI433" s="0" t="n">
        <f aca="false">W_PH(AI$2,$A433)</f>
        <v>991.139576892916</v>
      </c>
      <c r="AJ433" s="0" t="n">
        <f aca="false">W_PH(AJ$2,$A433)</f>
        <v>991.73974395171</v>
      </c>
      <c r="AK433" s="0" t="n">
        <f aca="false">W_PH(AK$2,$A433)</f>
        <v>992.343304566548</v>
      </c>
      <c r="AL433" s="0" t="n">
        <f aca="false">W_PH(AL$2,$A433)</f>
        <v>992.950993279748</v>
      </c>
      <c r="AM433" s="0" t="n">
        <f aca="false">W_PH(AM$2,$A433)</f>
        <v>993.563539558059</v>
      </c>
      <c r="AN433" s="0" t="n">
        <f aca="false">W_PH(AN$2,$A433)</f>
        <v>994.181677380316</v>
      </c>
      <c r="AO433" s="0" t="n">
        <f aca="false">W_PH(AO$2,$A433)</f>
        <v>994.806135781814</v>
      </c>
      <c r="AP433" s="0" t="n">
        <f aca="false">W_PH(AP$2,$A433)</f>
        <v>2015</v>
      </c>
      <c r="AQ433" s="0" t="n">
        <f aca="false">W_PH(AQ$2,$A433)</f>
        <v>2015</v>
      </c>
      <c r="AR433" s="0" t="n">
        <f aca="false">W_PH(AR$2,$A433)</f>
        <v>2015</v>
      </c>
      <c r="AS433" s="0" t="n">
        <f aca="false">W_PH(AS$2,$A433)</f>
        <v>2015</v>
      </c>
    </row>
    <row r="434" customFormat="false" ht="13.8" hidden="false" customHeight="false" outlineLevel="0" collapsed="false">
      <c r="A434" s="0" t="n">
        <v>5940</v>
      </c>
      <c r="B434" s="0" t="n">
        <f aca="false">W_PH(B$2,$A434)</f>
        <v>990.314014342784</v>
      </c>
      <c r="C434" s="0" t="n">
        <f aca="false">W_PH(C$2,$A434)</f>
        <v>990.314073336734</v>
      </c>
      <c r="D434" s="0" t="n">
        <f aca="false">W_PH(D$2,$A434)</f>
        <v>990.314132330691</v>
      </c>
      <c r="E434" s="0" t="n">
        <f aca="false">W_PH(E$2,$A434)</f>
        <v>990.314192504872</v>
      </c>
      <c r="F434" s="0" t="n">
        <f aca="false">W_PH(F$2,$A434)</f>
        <v>990.31425267906</v>
      </c>
      <c r="G434" s="0" t="n">
        <f aca="false">W_PH(G$2,$A434)</f>
        <v>990.314846159731</v>
      </c>
      <c r="H434" s="0" t="n">
        <f aca="false">W_PH(H$2,$A434)</f>
        <v>990.31544082122</v>
      </c>
      <c r="I434" s="0" t="n">
        <f aca="false">W_PH(I$2,$A434)</f>
        <v>990.316035483309</v>
      </c>
      <c r="J434" s="0" t="n">
        <f aca="false">W_PH(J$2,$A434)</f>
        <v>990.316628965773</v>
      </c>
      <c r="K434" s="0" t="n">
        <f aca="false">W_PH(K$2,$A434)</f>
        <v>990.317223629064</v>
      </c>
      <c r="L434" s="0" t="n">
        <f aca="false">W_PH(L$2,$A434)</f>
        <v>990.317818292956</v>
      </c>
      <c r="M434" s="0" t="n">
        <f aca="false">W_PH(M$2,$A434)</f>
        <v>990.318412957452</v>
      </c>
      <c r="N434" s="0" t="n">
        <f aca="false">W_PH(N$2,$A434)</f>
        <v>990.319007622551</v>
      </c>
      <c r="O434" s="0" t="n">
        <f aca="false">W_PH(O$2,$A434)</f>
        <v>990.319602288255</v>
      </c>
      <c r="P434" s="0" t="n">
        <f aca="false">W_PH(P$2,$A434)</f>
        <v>990.325546618218</v>
      </c>
      <c r="Q434" s="0" t="n">
        <f aca="false">W_PH(Q$2,$A434)</f>
        <v>990.331492189684</v>
      </c>
      <c r="R434" s="0" t="n">
        <f aca="false">W_PH(R$2,$A434)</f>
        <v>990.337437823183</v>
      </c>
      <c r="S434" s="0" t="n">
        <f aca="false">W_PH(S$2,$A434)</f>
        <v>990.343382339178</v>
      </c>
      <c r="T434" s="0" t="n">
        <f aca="false">W_PH(T$2,$A434)</f>
        <v>990.349326918699</v>
      </c>
      <c r="U434" s="0" t="n">
        <f aca="false">W_PH(U$2,$A434)</f>
        <v>990.355271562508</v>
      </c>
      <c r="V434" s="0" t="n">
        <f aca="false">W_PH(V$2,$A434)</f>
        <v>990.361217451716</v>
      </c>
      <c r="W434" s="0" t="n">
        <f aca="false">W_PH(W$2,$A434)</f>
        <v>990.367163406769</v>
      </c>
      <c r="X434" s="0" t="n">
        <f aca="false">W_PH(X$2,$A434)</f>
        <v>990.373108248051</v>
      </c>
      <c r="Y434" s="0" t="n">
        <f aca="false">W_PH(Y$2,$A434)</f>
        <v>990.432564031984</v>
      </c>
      <c r="Z434" s="0" t="n">
        <f aca="false">W_PH(Z$2,$A434)</f>
        <v>990.492024952042</v>
      </c>
      <c r="AA434" s="0" t="n">
        <f aca="false">W_PH(AA$2,$A434)</f>
        <v>990.551495312488</v>
      </c>
      <c r="AB434" s="0" t="n">
        <f aca="false">W_PH(AB$2,$A434)</f>
        <v>990.610969971276</v>
      </c>
      <c r="AC434" s="0" t="n">
        <f aca="false">W_PH(AC$2,$A434)</f>
        <v>990.670455594982</v>
      </c>
      <c r="AD434" s="0" t="n">
        <f aca="false">W_PH(AD$2,$A434)</f>
        <v>990.729949402586</v>
      </c>
      <c r="AE434" s="0" t="n">
        <f aca="false">W_PH(AE$2,$A434)</f>
        <v>990.78945215563</v>
      </c>
      <c r="AF434" s="0" t="n">
        <f aca="false">W_PH(AF$2,$A434)</f>
        <v>990.848965797301</v>
      </c>
      <c r="AG434" s="0" t="n">
        <f aca="false">W_PH(AG$2,$A434)</f>
        <v>990.908491089565</v>
      </c>
      <c r="AH434" s="0" t="n">
        <f aca="false">W_PH(AH$2,$A434)</f>
        <v>991.504510986136</v>
      </c>
      <c r="AI434" s="0" t="n">
        <f aca="false">W_PH(AI$2,$A434)</f>
        <v>992.102449640682</v>
      </c>
      <c r="AJ434" s="0" t="n">
        <f aca="false">W_PH(AJ$2,$A434)</f>
        <v>992.703033809655</v>
      </c>
      <c r="AK434" s="0" t="n">
        <f aca="false">W_PH(AK$2,$A434)</f>
        <v>993.306992207564</v>
      </c>
      <c r="AL434" s="0" t="n">
        <f aca="false">W_PH(AL$2,$A434)</f>
        <v>993.915053189643</v>
      </c>
      <c r="AM434" s="0" t="n">
        <f aca="false">W_PH(AM$2,$A434)</f>
        <v>994.527945999281</v>
      </c>
      <c r="AN434" s="0" t="n">
        <f aca="false">W_PH(AN$2,$A434)</f>
        <v>995.146397263763</v>
      </c>
      <c r="AO434" s="0" t="n">
        <f aca="false">W_PH(AO$2,$A434)</f>
        <v>995.771137025846</v>
      </c>
      <c r="AP434" s="0" t="n">
        <f aca="false">W_PH(AP$2,$A434)</f>
        <v>2015</v>
      </c>
      <c r="AQ434" s="0" t="n">
        <f aca="false">W_PH(AQ$2,$A434)</f>
        <v>2015</v>
      </c>
      <c r="AR434" s="0" t="n">
        <f aca="false">W_PH(AR$2,$A434)</f>
        <v>2015</v>
      </c>
      <c r="AS434" s="0" t="n">
        <f aca="false">W_PH(AS$2,$A434)</f>
        <v>2015</v>
      </c>
    </row>
    <row r="435" customFormat="false" ht="13.8" hidden="false" customHeight="false" outlineLevel="0" collapsed="false">
      <c r="A435" s="0" t="n">
        <v>5950</v>
      </c>
      <c r="B435" s="0" t="n">
        <f aca="false">W_PH(B$2,$A435)</f>
        <v>991.27409073567</v>
      </c>
      <c r="C435" s="0" t="n">
        <f aca="false">W_PH(C$2,$A435)</f>
        <v>991.274151040153</v>
      </c>
      <c r="D435" s="0" t="n">
        <f aca="false">W_PH(D$2,$A435)</f>
        <v>991.274210165524</v>
      </c>
      <c r="E435" s="0" t="n">
        <f aca="false">W_PH(E$2,$A435)</f>
        <v>991.274269290901</v>
      </c>
      <c r="F435" s="0" t="n">
        <f aca="false">W_PH(F$2,$A435)</f>
        <v>991.274328416284</v>
      </c>
      <c r="G435" s="0" t="n">
        <f aca="false">W_PH(G$2,$A435)</f>
        <v>991.27492438691</v>
      </c>
      <c r="H435" s="0" t="n">
        <f aca="false">W_PH(H$2,$A435)</f>
        <v>991.275517999886</v>
      </c>
      <c r="I435" s="0" t="n">
        <f aca="false">W_PH(I$2,$A435)</f>
        <v>991.276113971698</v>
      </c>
      <c r="J435" s="0" t="n">
        <f aca="false">W_PH(J$2,$A435)</f>
        <v>991.276707585856</v>
      </c>
      <c r="K435" s="0" t="n">
        <f aca="false">W_PH(K$2,$A435)</f>
        <v>991.277303558856</v>
      </c>
      <c r="L435" s="0" t="n">
        <f aca="false">W_PH(L$2,$A435)</f>
        <v>991.277898353326</v>
      </c>
      <c r="M435" s="0" t="n">
        <f aca="false">W_PH(M$2,$A435)</f>
        <v>991.278493148391</v>
      </c>
      <c r="N435" s="0" t="n">
        <f aca="false">W_PH(N$2,$A435)</f>
        <v>991.279089123182</v>
      </c>
      <c r="O435" s="0" t="n">
        <f aca="false">W_PH(O$2,$A435)</f>
        <v>991.279682740307</v>
      </c>
      <c r="P435" s="0" t="n">
        <f aca="false">W_PH(P$2,$A435)</f>
        <v>991.285633094125</v>
      </c>
      <c r="Q435" s="0" t="n">
        <f aca="false">W_PH(Q$2,$A435)</f>
        <v>991.291581150136</v>
      </c>
      <c r="R435" s="0" t="n">
        <f aca="false">W_PH(R$2,$A435)</f>
        <v>991.297531625725</v>
      </c>
      <c r="S435" s="0" t="n">
        <f aca="false">W_PH(S$2,$A435)</f>
        <v>991.303480984157</v>
      </c>
      <c r="T435" s="0" t="n">
        <f aca="false">W_PH(T$2,$A435)</f>
        <v>991.309430405354</v>
      </c>
      <c r="U435" s="0" t="n">
        <f aca="false">W_PH(U$2,$A435)</f>
        <v>991.315381069306</v>
      </c>
      <c r="V435" s="0" t="n">
        <f aca="false">W_PH(V$2,$A435)</f>
        <v>991.321329439083</v>
      </c>
      <c r="W435" s="0" t="n">
        <f aca="false">W_PH(W$2,$A435)</f>
        <v>991.327280232392</v>
      </c>
      <c r="X435" s="0" t="n">
        <f aca="false">W_PH(X$2,$A435)</f>
        <v>991.333228732981</v>
      </c>
      <c r="Y435" s="0" t="n">
        <f aca="false">W_PH(Y$2,$A435)</f>
        <v>991.392730496918</v>
      </c>
      <c r="Z435" s="0" t="n">
        <f aca="false">W_PH(Z$2,$A435)</f>
        <v>991.45223731675</v>
      </c>
      <c r="AA435" s="0" t="n">
        <f aca="false">W_PH(AA$2,$A435)</f>
        <v>991.511751130013</v>
      </c>
      <c r="AB435" s="0" t="n">
        <f aca="false">W_PH(AB$2,$A435)</f>
        <v>991.571271515018</v>
      </c>
      <c r="AC435" s="0" t="n">
        <f aca="false">W_PH(AC$2,$A435)</f>
        <v>991.630801589638</v>
      </c>
      <c r="AD435" s="0" t="n">
        <f aca="false">W_PH(AD$2,$A435)</f>
        <v>991.690339752051</v>
      </c>
      <c r="AE435" s="0" t="n">
        <f aca="false">W_PH(AE$2,$A435)</f>
        <v>991.749886759918</v>
      </c>
      <c r="AF435" s="0" t="n">
        <f aca="false">W_PH(AF$2,$A435)</f>
        <v>991.809445731984</v>
      </c>
      <c r="AG435" s="0" t="n">
        <f aca="false">W_PH(AG$2,$A435)</f>
        <v>991.869015065382</v>
      </c>
      <c r="AH435" s="0" t="n">
        <f aca="false">W_PH(AH$2,$A435)</f>
        <v>992.465475666024</v>
      </c>
      <c r="AI435" s="0" t="n">
        <f aca="false">W_PH(AI$2,$A435)</f>
        <v>993.063838796011</v>
      </c>
      <c r="AJ435" s="0" t="n">
        <f aca="false">W_PH(AJ$2,$A435)</f>
        <v>993.664833313551</v>
      </c>
      <c r="AK435" s="0" t="n">
        <f aca="false">W_PH(AK$2,$A435)</f>
        <v>994.269182958259</v>
      </c>
      <c r="AL435" s="0" t="n">
        <f aca="false">W_PH(AL$2,$A435)</f>
        <v>994.877611119911</v>
      </c>
      <c r="AM435" s="0" t="n">
        <f aca="false">W_PH(AM$2,$A435)</f>
        <v>995.490843274118</v>
      </c>
      <c r="AN435" s="0" t="n">
        <f aca="false">W_PH(AN$2,$A435)</f>
        <v>996.109602297038</v>
      </c>
      <c r="AO435" s="0" t="n">
        <f aca="false">W_PH(AO$2,$A435)</f>
        <v>996.734615682665</v>
      </c>
      <c r="AP435" s="0" t="n">
        <f aca="false">W_PH(AP$2,$A435)</f>
        <v>2015</v>
      </c>
      <c r="AQ435" s="0" t="n">
        <f aca="false">W_PH(AQ$2,$A435)</f>
        <v>2015</v>
      </c>
      <c r="AR435" s="0" t="n">
        <f aca="false">W_PH(AR$2,$A435)</f>
        <v>2015</v>
      </c>
      <c r="AS435" s="0" t="n">
        <f aca="false">W_PH(AS$2,$A435)</f>
        <v>2015</v>
      </c>
    </row>
    <row r="436" customFormat="false" ht="13.8" hidden="false" customHeight="false" outlineLevel="0" collapsed="false">
      <c r="A436" s="0" t="n">
        <v>5960</v>
      </c>
      <c r="B436" s="0" t="n">
        <f aca="false">W_PH(B$2,$A436)</f>
        <v>992.232714962546</v>
      </c>
      <c r="C436" s="0" t="n">
        <f aca="false">W_PH(C$2,$A436)</f>
        <v>992.232775395761</v>
      </c>
      <c r="D436" s="0" t="n">
        <f aca="false">W_PH(D$2,$A436)</f>
        <v>992.232834650961</v>
      </c>
      <c r="E436" s="0" t="n">
        <f aca="false">W_PH(E$2,$A436)</f>
        <v>992.232893906167</v>
      </c>
      <c r="F436" s="0" t="n">
        <f aca="false">W_PH(F$2,$A436)</f>
        <v>992.232953161379</v>
      </c>
      <c r="G436" s="0" t="n">
        <f aca="false">W_PH(G$2,$A436)</f>
        <v>992.233548069857</v>
      </c>
      <c r="H436" s="0" t="n">
        <f aca="false">W_PH(H$2,$A436)</f>
        <v>992.234142978918</v>
      </c>
      <c r="I436" s="0" t="n">
        <f aca="false">W_PH(I$2,$A436)</f>
        <v>992.234739066589</v>
      </c>
      <c r="J436" s="0" t="n">
        <f aca="false">W_PH(J$2,$A436)</f>
        <v>992.235335154846</v>
      </c>
      <c r="K436" s="0" t="n">
        <f aca="false">W_PH(K$2,$A436)</f>
        <v>992.235930065663</v>
      </c>
      <c r="L436" s="0" t="n">
        <f aca="false">W_PH(L$2,$A436)</f>
        <v>992.236524977065</v>
      </c>
      <c r="M436" s="0" t="n">
        <f aca="false">W_PH(M$2,$A436)</f>
        <v>992.237119889054</v>
      </c>
      <c r="N436" s="0" t="n">
        <f aca="false">W_PH(N$2,$A436)</f>
        <v>992.237715979664</v>
      </c>
      <c r="O436" s="0" t="n">
        <f aca="false">W_PH(O$2,$A436)</f>
        <v>992.238312070865</v>
      </c>
      <c r="P436" s="0" t="n">
        <f aca="false">W_PH(P$2,$A436)</f>
        <v>992.244265947244</v>
      </c>
      <c r="Q436" s="0" t="n">
        <f aca="false">W_PH(Q$2,$A436)</f>
        <v>992.250219883374</v>
      </c>
      <c r="R436" s="0" t="n">
        <f aca="false">W_PH(R$2,$A436)</f>
        <v>992.25617388001</v>
      </c>
      <c r="S436" s="0" t="n">
        <f aca="false">W_PH(S$2,$A436)</f>
        <v>992.262127937908</v>
      </c>
      <c r="T436" s="0" t="n">
        <f aca="false">W_PH(T$2,$A436)</f>
        <v>992.268082057822</v>
      </c>
      <c r="U436" s="0" t="n">
        <f aca="false">W_PH(U$2,$A436)</f>
        <v>992.274035062376</v>
      </c>
      <c r="V436" s="0" t="n">
        <f aca="false">W_PH(V$2,$A436)</f>
        <v>992.279989308571</v>
      </c>
      <c r="W436" s="0" t="n">
        <f aca="false">W_PH(W$2,$A436)</f>
        <v>992.285943619047</v>
      </c>
      <c r="X436" s="0" t="n">
        <f aca="false">W_PH(X$2,$A436)</f>
        <v>992.29189681638</v>
      </c>
      <c r="Y436" s="0" t="n">
        <f aca="false">W_PH(Y$2,$A436)</f>
        <v>992.351443136048</v>
      </c>
      <c r="Z436" s="0" t="n">
        <f aca="false">W_PH(Z$2,$A436)</f>
        <v>992.410994432376</v>
      </c>
      <c r="AA436" s="0" t="n">
        <f aca="false">W_PH(AA$2,$A436)</f>
        <v>992.470552637935</v>
      </c>
      <c r="AB436" s="0" t="n">
        <f aca="false">W_PH(AB$2,$A436)</f>
        <v>992.530117328283</v>
      </c>
      <c r="AC436" s="0" t="n">
        <f aca="false">W_PH(AC$2,$A436)</f>
        <v>992.589690436253</v>
      </c>
      <c r="AD436" s="0" t="n">
        <f aca="false">W_PH(AD$2,$A436)</f>
        <v>992.649272716157</v>
      </c>
      <c r="AE436" s="0" t="n">
        <f aca="false">W_PH(AE$2,$A436)</f>
        <v>992.70886492228</v>
      </c>
      <c r="AF436" s="0" t="n">
        <f aca="false">W_PH(AF$2,$A436)</f>
        <v>992.768465449995</v>
      </c>
      <c r="AG436" s="0" t="n">
        <f aca="false">W_PH(AG$2,$A436)</f>
        <v>992.828078591386</v>
      </c>
      <c r="AH436" s="0" t="n">
        <f aca="false">W_PH(AH$2,$A436)</f>
        <v>993.424970554505</v>
      </c>
      <c r="AI436" s="0" t="n">
        <f aca="false">W_PH(AI$2,$A436)</f>
        <v>994.023754899994</v>
      </c>
      <c r="AJ436" s="0" t="n">
        <f aca="false">W_PH(AJ$2,$A436)</f>
        <v>994.625151970075</v>
      </c>
      <c r="AK436" s="0" t="n">
        <f aca="false">W_PH(AK$2,$A436)</f>
        <v>995.229884099082</v>
      </c>
      <c r="AL436" s="0" t="n">
        <f aca="false">W_PH(AL$2,$A436)</f>
        <v>995.83867211193</v>
      </c>
      <c r="AM436" s="0" t="n">
        <f aca="false">W_PH(AM$2,$A436)</f>
        <v>996.452236560168</v>
      </c>
      <c r="AN436" s="0" t="n">
        <f aca="false">W_PH(AN$2,$A436)</f>
        <v>997.071298976701</v>
      </c>
      <c r="AO436" s="0" t="n">
        <f aca="false">W_PH(AO$2,$A436)</f>
        <v>997.696580765516</v>
      </c>
      <c r="AP436" s="0" t="n">
        <f aca="false">W_PH(AP$2,$A436)</f>
        <v>2015</v>
      </c>
      <c r="AQ436" s="0" t="n">
        <f aca="false">W_PH(AQ$2,$A436)</f>
        <v>2015</v>
      </c>
      <c r="AR436" s="0" t="n">
        <f aca="false">W_PH(AR$2,$A436)</f>
        <v>2015</v>
      </c>
      <c r="AS436" s="0" t="n">
        <f aca="false">W_PH(AS$2,$A436)</f>
        <v>2015</v>
      </c>
    </row>
    <row r="437" customFormat="false" ht="13.8" hidden="false" customHeight="false" outlineLevel="0" collapsed="false">
      <c r="A437" s="0" t="n">
        <v>5970</v>
      </c>
      <c r="B437" s="0" t="n">
        <f aca="false">W_PH(B$2,$A437)</f>
        <v>993.189893513835</v>
      </c>
      <c r="C437" s="0" t="n">
        <f aca="false">W_PH(C$2,$A437)</f>
        <v>993.189952897291</v>
      </c>
      <c r="D437" s="0" t="n">
        <f aca="false">W_PH(D$2,$A437)</f>
        <v>993.190012280753</v>
      </c>
      <c r="E437" s="0" t="n">
        <f aca="false">W_PH(E$2,$A437)</f>
        <v>993.19007166422</v>
      </c>
      <c r="F437" s="0" t="n">
        <f aca="false">W_PH(F$2,$A437)</f>
        <v>993.190131047693</v>
      </c>
      <c r="G437" s="0" t="n">
        <f aca="false">W_PH(G$2,$A437)</f>
        <v>993.190727236595</v>
      </c>
      <c r="H437" s="0" t="n">
        <f aca="false">W_PH(H$2,$A437)</f>
        <v>993.191323426075</v>
      </c>
      <c r="I437" s="0" t="n">
        <f aca="false">W_PH(I$2,$A437)</f>
        <v>993.191919616134</v>
      </c>
      <c r="J437" s="0" t="n">
        <f aca="false">W_PH(J$2,$A437)</f>
        <v>993.192515806771</v>
      </c>
      <c r="K437" s="0" t="n">
        <f aca="false">W_PH(K$2,$A437)</f>
        <v>993.193110821054</v>
      </c>
      <c r="L437" s="0" t="n">
        <f aca="false">W_PH(L$2,$A437)</f>
        <v>993.193705835913</v>
      </c>
      <c r="M437" s="0" t="n">
        <f aca="false">W_PH(M$2,$A437)</f>
        <v>993.19430202829</v>
      </c>
      <c r="N437" s="0" t="n">
        <f aca="false">W_PH(N$2,$A437)</f>
        <v>993.194898221248</v>
      </c>
      <c r="O437" s="0" t="n">
        <f aca="false">W_PH(O$2,$A437)</f>
        <v>993.19549441479</v>
      </c>
      <c r="P437" s="0" t="n">
        <f aca="false">W_PH(P$2,$A437)</f>
        <v>993.2014516746</v>
      </c>
      <c r="Q437" s="0" t="n">
        <f aca="false">W_PH(Q$2,$A437)</f>
        <v>993.207411347346</v>
      </c>
      <c r="R437" s="0" t="n">
        <f aca="false">W_PH(R$2,$A437)</f>
        <v>993.21336872592</v>
      </c>
      <c r="S437" s="0" t="n">
        <f aca="false">W_PH(S$2,$A437)</f>
        <v>993.219327341991</v>
      </c>
      <c r="T437" s="0" t="n">
        <f aca="false">W_PH(T$2,$A437)</f>
        <v>993.225286019338</v>
      </c>
      <c r="U437" s="0" t="n">
        <f aca="false">W_PH(U$2,$A437)</f>
        <v>993.231243581676</v>
      </c>
      <c r="V437" s="0" t="n">
        <f aca="false">W_PH(V$2,$A437)</f>
        <v>993.23720238381</v>
      </c>
      <c r="W437" s="0" t="n">
        <f aca="false">W_PH(W$2,$A437)</f>
        <v>993.243161249474</v>
      </c>
      <c r="X437" s="0" t="n">
        <f aca="false">W_PH(X$2,$A437)</f>
        <v>993.249119002335</v>
      </c>
      <c r="Y437" s="0" t="n">
        <f aca="false">W_PH(Y$2,$A437)</f>
        <v>993.308708470515</v>
      </c>
      <c r="Z437" s="0" t="n">
        <f aca="false">W_PH(Z$2,$A437)</f>
        <v>993.368302837099</v>
      </c>
      <c r="AA437" s="0" t="n">
        <f aca="false">W_PH(AA$2,$A437)</f>
        <v>993.427904029731</v>
      </c>
      <c r="AB437" s="0" t="n">
        <f aca="false">W_PH(AB$2,$A437)</f>
        <v>993.487512798947</v>
      </c>
      <c r="AC437" s="0" t="n">
        <f aca="false">W_PH(AC$2,$A437)</f>
        <v>993.547128717392</v>
      </c>
      <c r="AD437" s="0" t="n">
        <f aca="false">W_PH(AD$2,$A437)</f>
        <v>993.60675489112</v>
      </c>
      <c r="AE437" s="0" t="n">
        <f aca="false">W_PH(AE$2,$A437)</f>
        <v>993.666389714704</v>
      </c>
      <c r="AF437" s="0" t="n">
        <f aca="false">W_PH(AF$2,$A437)</f>
        <v>993.726035116441</v>
      </c>
      <c r="AG437" s="0" t="n">
        <f aca="false">W_PH(AG$2,$A437)</f>
        <v>993.785690668247</v>
      </c>
      <c r="AH437" s="0" t="n">
        <f aca="false">W_PH(AH$2,$A437)</f>
        <v>994.383007170259</v>
      </c>
      <c r="AI437" s="0" t="n">
        <f aca="false">W_PH(AI$2,$A437)</f>
        <v>994.982201341887</v>
      </c>
      <c r="AJ437" s="0" t="n">
        <f aca="false">W_PH(AJ$2,$A437)</f>
        <v>995.583994493516</v>
      </c>
      <c r="AK437" s="0" t="n">
        <f aca="false">W_PH(AK$2,$A437)</f>
        <v>996.189102857722</v>
      </c>
      <c r="AL437" s="0" t="n">
        <f aca="false">W_PH(AL$2,$A437)</f>
        <v>996.798244720052</v>
      </c>
      <c r="AM437" s="0" t="n">
        <f aca="false">W_PH(AM$2,$A437)</f>
        <v>997.412135737912</v>
      </c>
      <c r="AN437" s="0" t="n">
        <f aca="false">W_PH(AN$2,$A437)</f>
        <v>998.031493745616</v>
      </c>
      <c r="AO437" s="0" t="n">
        <f aca="false">W_PH(AO$2,$A437)</f>
        <v>998.657036461313</v>
      </c>
      <c r="AP437" s="0" t="n">
        <f aca="false">W_PH(AP$2,$A437)</f>
        <v>2015</v>
      </c>
      <c r="AQ437" s="0" t="n">
        <f aca="false">W_PH(AQ$2,$A437)</f>
        <v>2015</v>
      </c>
      <c r="AR437" s="0" t="n">
        <f aca="false">W_PH(AR$2,$A437)</f>
        <v>2015</v>
      </c>
      <c r="AS437" s="0" t="n">
        <f aca="false">W_PH(AS$2,$A437)</f>
        <v>2015</v>
      </c>
    </row>
    <row r="438" customFormat="false" ht="13.8" hidden="false" customHeight="false" outlineLevel="0" collapsed="false">
      <c r="A438" s="0" t="n">
        <v>5980</v>
      </c>
      <c r="B438" s="0" t="n">
        <f aca="false">W_PH(B$2,$A438)</f>
        <v>994.145632838306</v>
      </c>
      <c r="C438" s="0" t="n">
        <f aca="false">W_PH(C$2,$A438)</f>
        <v>994.145692348474</v>
      </c>
      <c r="D438" s="0" t="n">
        <f aca="false">W_PH(D$2,$A438)</f>
        <v>994.145751858647</v>
      </c>
      <c r="E438" s="0" t="n">
        <f aca="false">W_PH(E$2,$A438)</f>
        <v>994.145811368826</v>
      </c>
      <c r="F438" s="0" t="n">
        <f aca="false">W_PH(F$2,$A438)</f>
        <v>994.145872054848</v>
      </c>
      <c r="G438" s="0" t="n">
        <f aca="false">W_PH(G$2,$A438)</f>
        <v>994.146468332848</v>
      </c>
      <c r="H438" s="0" t="n">
        <f aca="false">W_PH(H$2,$A438)</f>
        <v>994.147063435577</v>
      </c>
      <c r="I438" s="0" t="n">
        <f aca="false">W_PH(I$2,$A438)</f>
        <v>994.147660890558</v>
      </c>
      <c r="J438" s="0" t="n">
        <f aca="false">W_PH(J$2,$A438)</f>
        <v>994.148255994425</v>
      </c>
      <c r="K438" s="0" t="n">
        <f aca="false">W_PH(K$2,$A438)</f>
        <v>994.148853450551</v>
      </c>
      <c r="L438" s="0" t="n">
        <f aca="false">W_PH(L$2,$A438)</f>
        <v>994.14944855556</v>
      </c>
      <c r="M438" s="0" t="n">
        <f aca="false">W_PH(M$2,$A438)</f>
        <v>994.150046012835</v>
      </c>
      <c r="N438" s="0" t="n">
        <f aca="false">W_PH(N$2,$A438)</f>
        <v>994.150641118988</v>
      </c>
      <c r="O438" s="0" t="n">
        <f aca="false">W_PH(O$2,$A438)</f>
        <v>994.151238577415</v>
      </c>
      <c r="P438" s="0" t="n">
        <f aca="false">W_PH(P$2,$A438)</f>
        <v>994.157201434968</v>
      </c>
      <c r="Q438" s="0" t="n">
        <f aca="false">W_PH(Q$2,$A438)</f>
        <v>994.163163174941</v>
      </c>
      <c r="R438" s="0" t="n">
        <f aca="false">W_PH(R$2,$A438)</f>
        <v>994.169124973932</v>
      </c>
      <c r="S438" s="0" t="n">
        <f aca="false">W_PH(S$2,$A438)</f>
        <v>994.175088008602</v>
      </c>
      <c r="T438" s="0" t="n">
        <f aca="false">W_PH(T$2,$A438)</f>
        <v>994.181051103815</v>
      </c>
      <c r="U438" s="0" t="n">
        <f aca="false">W_PH(U$2,$A438)</f>
        <v>994.18701426032</v>
      </c>
      <c r="V438" s="0" t="n">
        <f aca="false">W_PH(V$2,$A438)</f>
        <v>994.192976302904</v>
      </c>
      <c r="W438" s="0" t="n">
        <f aca="false">W_PH(W$2,$A438)</f>
        <v>994.198938408242</v>
      </c>
      <c r="X438" s="0" t="n">
        <f aca="false">W_PH(X$2,$A438)</f>
        <v>994.204901753073</v>
      </c>
      <c r="Y438" s="0" t="n">
        <f aca="false">W_PH(Y$2,$A438)</f>
        <v>994.264534155512</v>
      </c>
      <c r="Z438" s="0" t="n">
        <f aca="false">W_PH(Z$2,$A438)</f>
        <v>994.32417137938</v>
      </c>
      <c r="AA438" s="0" t="n">
        <f aca="false">W_PH(AA$2,$A438)</f>
        <v>994.38381417097</v>
      </c>
      <c r="AB438" s="0" t="n">
        <f aca="false">W_PH(AB$2,$A438)</f>
        <v>994.443465629769</v>
      </c>
      <c r="AC438" s="0" t="n">
        <f aca="false">W_PH(AC$2,$A438)</f>
        <v>994.503125326187</v>
      </c>
      <c r="AD438" s="0" t="n">
        <f aca="false">W_PH(AD$2,$A438)</f>
        <v>994.562792829987</v>
      </c>
      <c r="AE438" s="0" t="n">
        <f aca="false">W_PH(AE$2,$A438)</f>
        <v>994.622470064438</v>
      </c>
      <c r="AF438" s="0" t="n">
        <f aca="false">W_PH(AF$2,$A438)</f>
        <v>994.682156598948</v>
      </c>
      <c r="AG438" s="0" t="n">
        <f aca="false">W_PH(AG$2,$A438)</f>
        <v>994.741855534428</v>
      </c>
      <c r="AH438" s="0" t="n">
        <f aca="false">W_PH(AH$2,$A438)</f>
        <v>995.339587536654</v>
      </c>
      <c r="AI438" s="0" t="n">
        <f aca="false">W_PH(AI$2,$A438)</f>
        <v>995.939188559238</v>
      </c>
      <c r="AJ438" s="0" t="n">
        <f aca="false">W_PH(AJ$2,$A438)</f>
        <v>996.541370285077</v>
      </c>
      <c r="AK438" s="0" t="n">
        <f aca="false">W_PH(AK$2,$A438)</f>
        <v>997.146848776533</v>
      </c>
      <c r="AL438" s="0" t="n">
        <f aca="false">W_PH(AL$2,$A438)</f>
        <v>997.756335069999</v>
      </c>
      <c r="AM438" s="0" t="n">
        <f aca="false">W_PH(AM$2,$A438)</f>
        <v>998.370545877004</v>
      </c>
      <c r="AN438" s="0" t="n">
        <f aca="false">W_PH(AN$2,$A438)</f>
        <v>998.990194181244</v>
      </c>
      <c r="AO438" s="0" t="n">
        <f aca="false">W_PH(AO$2,$A438)</f>
        <v>999.615992856953</v>
      </c>
      <c r="AP438" s="0" t="n">
        <f aca="false">W_PH(AP$2,$A438)</f>
        <v>2015</v>
      </c>
      <c r="AQ438" s="0" t="n">
        <f aca="false">W_PH(AQ$2,$A438)</f>
        <v>2015</v>
      </c>
      <c r="AR438" s="0" t="n">
        <f aca="false">W_PH(AR$2,$A438)</f>
        <v>2015</v>
      </c>
      <c r="AS438" s="0" t="n">
        <f aca="false">W_PH(AS$2,$A438)</f>
        <v>2015</v>
      </c>
    </row>
    <row r="439" customFormat="false" ht="13.8" hidden="false" customHeight="false" outlineLevel="0" collapsed="false">
      <c r="A439" s="0" t="n">
        <v>5990</v>
      </c>
      <c r="B439" s="0" t="n">
        <f aca="false">W_PH(B$2,$A439)</f>
        <v>995.099940518255</v>
      </c>
      <c r="C439" s="0" t="n">
        <f aca="false">W_PH(C$2,$A439)</f>
        <v>995.100000153602</v>
      </c>
      <c r="D439" s="0" t="n">
        <f aca="false">W_PH(D$2,$A439)</f>
        <v>995.100059788956</v>
      </c>
      <c r="E439" s="0" t="n">
        <f aca="false">W_PH(E$2,$A439)</f>
        <v>995.100119424314</v>
      </c>
      <c r="F439" s="0" t="n">
        <f aca="false">W_PH(F$2,$A439)</f>
        <v>995.100179059679</v>
      </c>
      <c r="G439" s="0" t="n">
        <f aca="false">W_PH(G$2,$A439)</f>
        <v>995.100776588384</v>
      </c>
      <c r="H439" s="0" t="n">
        <f aca="false">W_PH(H$2,$A439)</f>
        <v>995.101374117653</v>
      </c>
      <c r="I439" s="0" t="n">
        <f aca="false">W_PH(I$2,$A439)</f>
        <v>995.101970472732</v>
      </c>
      <c r="J439" s="0" t="n">
        <f aca="false">W_PH(J$2,$A439)</f>
        <v>995.102566828374</v>
      </c>
      <c r="K439" s="0" t="n">
        <f aca="false">W_PH(K$2,$A439)</f>
        <v>995.103163184581</v>
      </c>
      <c r="L439" s="0" t="n">
        <f aca="false">W_PH(L$2,$A439)</f>
        <v>995.103759541352</v>
      </c>
      <c r="M439" s="0" t="n">
        <f aca="false">W_PH(M$2,$A439)</f>
        <v>995.104355898688</v>
      </c>
      <c r="N439" s="0" t="n">
        <f aca="false">W_PH(N$2,$A439)</f>
        <v>995.104953431353</v>
      </c>
      <c r="O439" s="0" t="n">
        <f aca="false">W_PH(O$2,$A439)</f>
        <v>995.105549789824</v>
      </c>
      <c r="P439" s="0" t="n">
        <f aca="false">W_PH(P$2,$A439)</f>
        <v>995.111516930207</v>
      </c>
      <c r="Q439" s="0" t="n">
        <f aca="false">W_PH(Q$2,$A439)</f>
        <v>995.117482953386</v>
      </c>
      <c r="R439" s="0" t="n">
        <f aca="false">W_PH(R$2,$A439)</f>
        <v>995.12345020968</v>
      </c>
      <c r="S439" s="0" t="n">
        <f aca="false">W_PH(S$2,$A439)</f>
        <v>995.129417525053</v>
      </c>
      <c r="T439" s="0" t="n">
        <f aca="false">W_PH(T$2,$A439)</f>
        <v>995.135383725405</v>
      </c>
      <c r="U439" s="0" t="n">
        <f aca="false">W_PH(U$2,$A439)</f>
        <v>995.141349986291</v>
      </c>
      <c r="V439" s="0" t="n">
        <f aca="false">W_PH(V$2,$A439)</f>
        <v>995.147318658199</v>
      </c>
      <c r="W439" s="0" t="n">
        <f aca="false">W_PH(W$2,$A439)</f>
        <v>995.153285042415</v>
      </c>
      <c r="X439" s="0" t="n">
        <f aca="false">W_PH(X$2,$A439)</f>
        <v>995.159251489396</v>
      </c>
      <c r="Y439" s="0" t="n">
        <f aca="false">W_PH(Y$2,$A439)</f>
        <v>995.218925450113</v>
      </c>
      <c r="Z439" s="0" t="n">
        <f aca="false">W_PH(Z$2,$A439)</f>
        <v>995.278604156234</v>
      </c>
      <c r="AA439" s="0" t="n">
        <f aca="false">W_PH(AA$2,$A439)</f>
        <v>995.338290701007</v>
      </c>
      <c r="AB439" s="0" t="n">
        <f aca="false">W_PH(AB$2,$A439)</f>
        <v>995.39798347682</v>
      </c>
      <c r="AC439" s="0" t="n">
        <f aca="false">W_PH(AC$2,$A439)</f>
        <v>995.457684401817</v>
      </c>
      <c r="AD439" s="0" t="n">
        <f aca="false">W_PH(AD$2,$A439)</f>
        <v>995.517394218912</v>
      </c>
      <c r="AE439" s="0" t="n">
        <f aca="false">W_PH(AE$2,$A439)</f>
        <v>995.577112495021</v>
      </c>
      <c r="AF439" s="0" t="n">
        <f aca="false">W_PH(AF$2,$A439)</f>
        <v>995.636841148679</v>
      </c>
      <c r="AG439" s="0" t="n">
        <f aca="false">W_PH(AG$2,$A439)</f>
        <v>995.696582099008</v>
      </c>
      <c r="AH439" s="0" t="n">
        <f aca="false">W_PH(AH$2,$A439)</f>
        <v>996.294723071939</v>
      </c>
      <c r="AI439" s="0" t="n">
        <f aca="false">W_PH(AI$2,$A439)</f>
        <v>996.894722211193</v>
      </c>
      <c r="AJ439" s="0" t="n">
        <f aca="false">W_PH(AJ$2,$A439)</f>
        <v>997.497285144798</v>
      </c>
      <c r="AK439" s="0" t="n">
        <f aca="false">W_PH(AK$2,$A439)</f>
        <v>998.103125425738</v>
      </c>
      <c r="AL439" s="0" t="n">
        <f aca="false">W_PH(AL$2,$A439)</f>
        <v>998.712951606083</v>
      </c>
      <c r="AM439" s="0" t="n">
        <f aca="false">W_PH(AM$2,$A439)</f>
        <v>999.327476741599</v>
      </c>
      <c r="AN439" s="0" t="n">
        <f aca="false">W_PH(AN$2,$A439)</f>
        <v>999.947407803765</v>
      </c>
      <c r="AO439" s="0" t="n">
        <f aca="false">W_PH(AO$2,$A439)</f>
        <v>1000.57345759486</v>
      </c>
      <c r="AP439" s="0" t="n">
        <f aca="false">W_PH(AP$2,$A439)</f>
        <v>2015</v>
      </c>
      <c r="AQ439" s="0" t="n">
        <f aca="false">W_PH(AQ$2,$A439)</f>
        <v>2015</v>
      </c>
      <c r="AR439" s="0" t="n">
        <f aca="false">W_PH(AR$2,$A439)</f>
        <v>2015</v>
      </c>
      <c r="AS439" s="0" t="n">
        <f aca="false">W_PH(AS$2,$A439)</f>
        <v>2015</v>
      </c>
    </row>
    <row r="440" customFormat="false" ht="13.8" hidden="false" customHeight="false" outlineLevel="0" collapsed="false">
      <c r="A440" s="0" t="n">
        <v>6000</v>
      </c>
      <c r="B440" s="0" t="n">
        <f aca="false">W_PH(B$2,$A440)</f>
        <v>996.052824090847</v>
      </c>
      <c r="C440" s="0" t="n">
        <f aca="false">W_PH(C$2,$A440)</f>
        <v>996.052883849859</v>
      </c>
      <c r="D440" s="0" t="n">
        <f aca="false">W_PH(D$2,$A440)</f>
        <v>996.052943608877</v>
      </c>
      <c r="E440" s="0" t="n">
        <f aca="false">W_PH(E$2,$A440)</f>
        <v>996.053003367901</v>
      </c>
      <c r="F440" s="0" t="n">
        <f aca="false">W_PH(F$2,$A440)</f>
        <v>996.05306312693</v>
      </c>
      <c r="G440" s="0" t="n">
        <f aca="false">W_PH(G$2,$A440)</f>
        <v>996.053659543856</v>
      </c>
      <c r="H440" s="0" t="n">
        <f aca="false">W_PH(H$2,$A440)</f>
        <v>996.054257135007</v>
      </c>
      <c r="I440" s="0" t="n">
        <f aca="false">W_PH(I$2,$A440)</f>
        <v>996.054854726716</v>
      </c>
      <c r="J440" s="0" t="n">
        <f aca="false">W_PH(J$2,$A440)</f>
        <v>996.055451145308</v>
      </c>
      <c r="K440" s="0" t="n">
        <f aca="false">W_PH(K$2,$A440)</f>
        <v>996.056047564457</v>
      </c>
      <c r="L440" s="0" t="n">
        <f aca="false">W_PH(L$2,$A440)</f>
        <v>996.05664515784</v>
      </c>
      <c r="M440" s="0" t="n">
        <f aca="false">W_PH(M$2,$A440)</f>
        <v>996.057242751783</v>
      </c>
      <c r="N440" s="0" t="n">
        <f aca="false">W_PH(N$2,$A440)</f>
        <v>996.057840346288</v>
      </c>
      <c r="O440" s="0" t="n">
        <f aca="false">W_PH(O$2,$A440)</f>
        <v>996.058436767672</v>
      </c>
      <c r="P440" s="0" t="n">
        <f aca="false">W_PH(P$2,$A440)</f>
        <v>996.064406880907</v>
      </c>
      <c r="Q440" s="0" t="n">
        <f aca="false">W_PH(Q$2,$A440)</f>
        <v>996.070378224713</v>
      </c>
      <c r="R440" s="0" t="n">
        <f aca="false">W_PH(R$2,$A440)</f>
        <v>996.076349626147</v>
      </c>
      <c r="S440" s="0" t="n">
        <f aca="false">W_PH(S$2,$A440)</f>
        <v>996.08232108595</v>
      </c>
      <c r="T440" s="0" t="n">
        <f aca="false">W_PH(T$2,$A440)</f>
        <v>996.088291431102</v>
      </c>
      <c r="U440" s="0" t="n">
        <f aca="false">W_PH(U$2,$A440)</f>
        <v>996.094261836072</v>
      </c>
      <c r="V440" s="0" t="n">
        <f aca="false">W_PH(V$2,$A440)</f>
        <v>996.100233475388</v>
      </c>
      <c r="W440" s="0" t="n">
        <f aca="false">W_PH(W$2,$A440)</f>
        <v>996.106205176031</v>
      </c>
      <c r="X440" s="0" t="n">
        <f aca="false">W_PH(X$2,$A440)</f>
        <v>996.112175764922</v>
      </c>
      <c r="Y440" s="0" t="n">
        <f aca="false">W_PH(Y$2,$A440)</f>
        <v>996.171891098441</v>
      </c>
      <c r="Z440" s="0" t="n">
        <f aca="false">W_PH(Z$2,$A440)</f>
        <v>996.231612276704</v>
      </c>
      <c r="AA440" s="0" t="n">
        <f aca="false">W_PH(AA$2,$A440)</f>
        <v>996.291338864673</v>
      </c>
      <c r="AB440" s="0" t="n">
        <f aca="false">W_PH(AB$2,$A440)</f>
        <v>996.351072775535</v>
      </c>
      <c r="AC440" s="0" t="n">
        <f aca="false">W_PH(AC$2,$A440)</f>
        <v>996.41081474848</v>
      </c>
      <c r="AD440" s="0" t="n">
        <f aca="false">W_PH(AD$2,$A440)</f>
        <v>996.470565522679</v>
      </c>
      <c r="AE440" s="0" t="n">
        <f aca="false">W_PH(AE$2,$A440)</f>
        <v>996.530324662404</v>
      </c>
      <c r="AF440" s="0" t="n">
        <f aca="false">W_PH(AF$2,$A440)</f>
        <v>996.590095256386</v>
      </c>
      <c r="AG440" s="0" t="n">
        <f aca="false">W_PH(AG$2,$A440)</f>
        <v>996.649874518647</v>
      </c>
      <c r="AH440" s="0" t="n">
        <f aca="false">W_PH(AH$2,$A440)</f>
        <v>997.248420424769</v>
      </c>
      <c r="AI440" s="0" t="n">
        <f aca="false">W_PH(AI$2,$A440)</f>
        <v>997.848807914462</v>
      </c>
      <c r="AJ440" s="0" t="n">
        <f aca="false">W_PH(AJ$2,$A440)</f>
        <v>998.451747187611</v>
      </c>
      <c r="AK440" s="0" t="n">
        <f aca="false">W_PH(AK$2,$A440)</f>
        <v>999.057942244004</v>
      </c>
      <c r="AL440" s="0" t="n">
        <f aca="false">W_PH(AL$2,$A440)</f>
        <v>999.668101532492</v>
      </c>
      <c r="AM440" s="0" t="n">
        <f aca="false">W_PH(AM$2,$A440)</f>
        <v>1000.28293329599</v>
      </c>
      <c r="AN440" s="0" t="n">
        <f aca="false">W_PH(AN$2,$A440)</f>
        <v>1000.90314326197</v>
      </c>
      <c r="AO440" s="0" t="n">
        <f aca="false">W_PH(AO$2,$A440)</f>
        <v>1001.52943825911</v>
      </c>
      <c r="AP440" s="0" t="n">
        <f aca="false">W_PH(AP$2,$A440)</f>
        <v>2015</v>
      </c>
      <c r="AQ440" s="0" t="n">
        <f aca="false">W_PH(AQ$2,$A440)</f>
        <v>2015</v>
      </c>
      <c r="AR440" s="0" t="n">
        <f aca="false">W_PH(AR$2,$A440)</f>
        <v>2015</v>
      </c>
      <c r="AS440" s="0" t="n">
        <f aca="false">W_PH(AS$2,$A440)</f>
        <v>2015</v>
      </c>
    </row>
    <row r="441" customFormat="false" ht="13.8" hidden="false" customHeight="false" outlineLevel="0" collapsed="false">
      <c r="A441" s="0" t="n">
        <v>6010</v>
      </c>
      <c r="B441" s="0" t="n">
        <f aca="false">W_PH(B$2,$A441)</f>
        <v>997.004288703389</v>
      </c>
      <c r="C441" s="0" t="n">
        <f aca="false">W_PH(C$2,$A441)</f>
        <v>997.004348584569</v>
      </c>
      <c r="D441" s="0" t="n">
        <f aca="false">W_PH(D$2,$A441)</f>
        <v>997.004408465753</v>
      </c>
      <c r="E441" s="0" t="n">
        <f aca="false">W_PH(E$2,$A441)</f>
        <v>997.004468346943</v>
      </c>
      <c r="F441" s="0" t="n">
        <f aca="false">W_PH(F$2,$A441)</f>
        <v>997.004528228139</v>
      </c>
      <c r="G441" s="0" t="n">
        <f aca="false">W_PH(G$2,$A441)</f>
        <v>997.005124695216</v>
      </c>
      <c r="H441" s="0" t="n">
        <f aca="false">W_PH(H$2,$A441)</f>
        <v>997.005722335431</v>
      </c>
      <c r="I441" s="0" t="n">
        <f aca="false">W_PH(I$2,$A441)</f>
        <v>997.006319976197</v>
      </c>
      <c r="J441" s="0" t="n">
        <f aca="false">W_PH(J$2,$A441)</f>
        <v>997.006916444917</v>
      </c>
      <c r="K441" s="0" t="n">
        <f aca="false">W_PH(K$2,$A441)</f>
        <v>997.00751525938</v>
      </c>
      <c r="L441" s="0" t="n">
        <f aca="false">W_PH(L$2,$A441)</f>
        <v>997.0081117292</v>
      </c>
      <c r="M441" s="0" t="n">
        <f aca="false">W_PH(M$2,$A441)</f>
        <v>997.008710544771</v>
      </c>
      <c r="N441" s="0" t="n">
        <f aca="false">W_PH(N$2,$A441)</f>
        <v>997.009307015694</v>
      </c>
      <c r="O441" s="0" t="n">
        <f aca="false">W_PH(O$2,$A441)</f>
        <v>997.009904659772</v>
      </c>
      <c r="P441" s="0" t="n">
        <f aca="false">W_PH(P$2,$A441)</f>
        <v>997.015879958573</v>
      </c>
      <c r="Q441" s="0" t="n">
        <f aca="false">W_PH(Q$2,$A441)</f>
        <v>997.021854140936</v>
      </c>
      <c r="R441" s="0" t="n">
        <f aca="false">W_PH(R$2,$A441)</f>
        <v>997.027829552849</v>
      </c>
      <c r="S441" s="0" t="n">
        <f aca="false">W_PH(S$2,$A441)</f>
        <v>997.033805022429</v>
      </c>
      <c r="T441" s="0" t="n">
        <f aca="false">W_PH(T$2,$A441)</f>
        <v>997.039779377735</v>
      </c>
      <c r="U441" s="0" t="n">
        <f aca="false">W_PH(U$2,$A441)</f>
        <v>997.045754964843</v>
      </c>
      <c r="V441" s="0" t="n">
        <f aca="false">W_PH(V$2,$A441)</f>
        <v>997.051730611827</v>
      </c>
      <c r="W441" s="0" t="n">
        <f aca="false">W_PH(W$2,$A441)</f>
        <v>997.057705146699</v>
      </c>
      <c r="X441" s="0" t="n">
        <f aca="false">W_PH(X$2,$A441)</f>
        <v>997.063679742889</v>
      </c>
      <c r="Y441" s="0" t="n">
        <f aca="false">W_PH(Y$2,$A441)</f>
        <v>997.123436276497</v>
      </c>
      <c r="Z441" s="0" t="n">
        <f aca="false">W_PH(Z$2,$A441)</f>
        <v>997.183197407167</v>
      </c>
      <c r="AA441" s="0" t="n">
        <f aca="false">W_PH(AA$2,$A441)</f>
        <v>997.242963869967</v>
      </c>
      <c r="AB441" s="0" t="n">
        <f aca="false">W_PH(AB$2,$A441)</f>
        <v>997.302738746621</v>
      </c>
      <c r="AC441" s="0" t="n">
        <f aca="false">W_PH(AC$2,$A441)</f>
        <v>997.362521599568</v>
      </c>
      <c r="AD441" s="0" t="n">
        <f aca="false">W_PH(AD$2,$A441)</f>
        <v>997.422311990628</v>
      </c>
      <c r="AE441" s="0" t="n">
        <f aca="false">W_PH(AE$2,$A441)</f>
        <v>997.482111828574</v>
      </c>
      <c r="AF441" s="0" t="n">
        <f aca="false">W_PH(AF$2,$A441)</f>
        <v>997.541923022759</v>
      </c>
      <c r="AG441" s="0" t="n">
        <f aca="false">W_PH(AG$2,$A441)</f>
        <v>997.601742786774</v>
      </c>
      <c r="AH441" s="0" t="n">
        <f aca="false">W_PH(AH$2,$A441)</f>
        <v>998.20068267266</v>
      </c>
      <c r="AI441" s="0" t="n">
        <f aca="false">W_PH(AI$2,$A441)</f>
        <v>998.801453597869</v>
      </c>
      <c r="AJ441" s="0" t="n">
        <f aca="false">W_PH(AJ$2,$A441)</f>
        <v>999.404760939936</v>
      </c>
      <c r="AK441" s="0" t="n">
        <f aca="false">W_PH(AK$2,$A441)</f>
        <v>1000.01130625045</v>
      </c>
      <c r="AL441" s="0" t="n">
        <f aca="false">W_PH(AL$2,$A441)</f>
        <v>1000.62179200114</v>
      </c>
      <c r="AM441" s="0" t="n">
        <f aca="false">W_PH(AM$2,$A441)</f>
        <v>1001.23692519063</v>
      </c>
      <c r="AN441" s="0" t="n">
        <f aca="false">W_PH(AN$2,$A441)</f>
        <v>1001.85740677587</v>
      </c>
      <c r="AO441" s="0" t="n">
        <f aca="false">W_PH(AO$2,$A441)</f>
        <v>1002.4839400055</v>
      </c>
      <c r="AP441" s="0" t="n">
        <f aca="false">W_PH(AP$2,$A441)</f>
        <v>2015</v>
      </c>
      <c r="AQ441" s="0" t="n">
        <f aca="false">W_PH(AQ$2,$A441)</f>
        <v>2015</v>
      </c>
      <c r="AR441" s="0" t="n">
        <f aca="false">W_PH(AR$2,$A441)</f>
        <v>2015</v>
      </c>
      <c r="AS441" s="0" t="n">
        <f aca="false">W_PH(AS$2,$A441)</f>
        <v>2015</v>
      </c>
    </row>
    <row r="442" customFormat="false" ht="13.8" hidden="false" customHeight="false" outlineLevel="0" collapsed="false">
      <c r="A442" s="0" t="n">
        <v>6020</v>
      </c>
      <c r="B442" s="0" t="n">
        <f aca="false">W_PH(B$2,$A442)</f>
        <v>997.954341810586</v>
      </c>
      <c r="C442" s="0" t="n">
        <f aca="false">W_PH(C$2,$A442)</f>
        <v>997.954400640937</v>
      </c>
      <c r="D442" s="0" t="n">
        <f aca="false">W_PH(D$2,$A442)</f>
        <v>997.954460642807</v>
      </c>
      <c r="E442" s="0" t="n">
        <f aca="false">W_PH(E$2,$A442)</f>
        <v>997.954519473168</v>
      </c>
      <c r="F442" s="0" t="n">
        <f aca="false">W_PH(F$2,$A442)</f>
        <v>997.954579475048</v>
      </c>
      <c r="G442" s="0" t="n">
        <f aca="false">W_PH(G$2,$A442)</f>
        <v>997.955177151124</v>
      </c>
      <c r="H442" s="0" t="n">
        <f aca="false">W_PH(H$2,$A442)</f>
        <v>997.955775999259</v>
      </c>
      <c r="I442" s="0" t="n">
        <f aca="false">W_PH(I$2,$A442)</f>
        <v>997.95637367642</v>
      </c>
      <c r="J442" s="0" t="n">
        <f aca="false">W_PH(J$2,$A442)</f>
        <v>997.956972525644</v>
      </c>
      <c r="K442" s="0" t="n">
        <f aca="false">W_PH(K$2,$A442)</f>
        <v>997.957570203893</v>
      </c>
      <c r="L442" s="0" t="n">
        <f aca="false">W_PH(L$2,$A442)</f>
        <v>997.958167882686</v>
      </c>
      <c r="M442" s="0" t="n">
        <f aca="false">W_PH(M$2,$A442)</f>
        <v>997.958765562024</v>
      </c>
      <c r="N442" s="0" t="n">
        <f aca="false">W_PH(N$2,$A442)</f>
        <v>997.959363241907</v>
      </c>
      <c r="O442" s="0" t="n">
        <f aca="false">W_PH(O$2,$A442)</f>
        <v>997.959960922337</v>
      </c>
      <c r="P442" s="0" t="n">
        <f aca="false">W_PH(P$2,$A442)</f>
        <v>997.96594009994</v>
      </c>
      <c r="Q442" s="0" t="n">
        <f aca="false">W_PH(Q$2,$A442)</f>
        <v>997.971919333054</v>
      </c>
      <c r="R442" s="0" t="n">
        <f aca="false">W_PH(R$2,$A442)</f>
        <v>997.97789862241</v>
      </c>
      <c r="S442" s="0" t="n">
        <f aca="false">W_PH(S$2,$A442)</f>
        <v>997.983876797155</v>
      </c>
      <c r="T442" s="0" t="n">
        <f aca="false">W_PH(T$2,$A442)</f>
        <v>997.989855029578</v>
      </c>
      <c r="U442" s="0" t="n">
        <f aca="false">W_PH(U$2,$A442)</f>
        <v>997.995834492028</v>
      </c>
      <c r="V442" s="0" t="n">
        <f aca="false">W_PH(V$2,$A442)</f>
        <v>998.00181401365</v>
      </c>
      <c r="W442" s="0" t="n">
        <f aca="false">W_PH(W$2,$A442)</f>
        <v>998.007793595176</v>
      </c>
      <c r="X442" s="0" t="n">
        <f aca="false">W_PH(X$2,$A442)</f>
        <v>998.01377323734</v>
      </c>
      <c r="Y442" s="0" t="n">
        <f aca="false">W_PH(Y$2,$A442)</f>
        <v>998.073568467874</v>
      </c>
      <c r="Z442" s="0" t="n">
        <f aca="false">W_PH(Z$2,$A442)</f>
        <v>998.133368222516</v>
      </c>
      <c r="AA442" s="0" t="n">
        <f aca="false">W_PH(AA$2,$A442)</f>
        <v>998.193175576863</v>
      </c>
      <c r="AB442" s="0" t="n">
        <f aca="false">W_PH(AB$2,$A442)</f>
        <v>998.252991263168</v>
      </c>
      <c r="AC442" s="0" t="n">
        <f aca="false">W_PH(AC$2,$A442)</f>
        <v>998.312812496459</v>
      </c>
      <c r="AD442" s="0" t="n">
        <f aca="false">W_PH(AD$2,$A442)</f>
        <v>998.372643525268</v>
      </c>
      <c r="AE442" s="0" t="n">
        <f aca="false">W_PH(AE$2,$A442)</f>
        <v>998.432481563699</v>
      </c>
      <c r="AF442" s="0" t="n">
        <f aca="false">W_PH(AF$2,$A442)</f>
        <v>998.492330861134</v>
      </c>
      <c r="AG442" s="0" t="n">
        <f aca="false">W_PH(AG$2,$A442)</f>
        <v>998.55219214973</v>
      </c>
      <c r="AH442" s="0" t="n">
        <f aca="false">W_PH(AH$2,$A442)</f>
        <v>999.151519909218</v>
      </c>
      <c r="AI442" s="0" t="n">
        <f aca="false">W_PH(AI$2,$A442)</f>
        <v>999.75266831566</v>
      </c>
      <c r="AJ442" s="0" t="n">
        <f aca="false">W_PH(AJ$2,$A442)</f>
        <v>1000.35633559882</v>
      </c>
      <c r="AK442" s="0" t="n">
        <f aca="false">W_PH(AK$2,$A442)</f>
        <v>1000.96322323563</v>
      </c>
      <c r="AL442" s="0" t="n">
        <f aca="false">W_PH(AL$2,$A442)</f>
        <v>1001.57403011225</v>
      </c>
      <c r="AM442" s="0" t="n">
        <f aca="false">W_PH(AM$2,$A442)</f>
        <v>1002.18945728696</v>
      </c>
      <c r="AN442" s="0" t="n">
        <f aca="false">W_PH(AN$2,$A442)</f>
        <v>1002.81020451501</v>
      </c>
      <c r="AO442" s="0" t="n">
        <f aca="false">W_PH(AO$2,$A442)</f>
        <v>1003.43697031074</v>
      </c>
      <c r="AP442" s="0" t="n">
        <f aca="false">W_PH(AP$2,$A442)</f>
        <v>2015</v>
      </c>
      <c r="AQ442" s="0" t="n">
        <f aca="false">W_PH(AQ$2,$A442)</f>
        <v>2015</v>
      </c>
      <c r="AR442" s="0" t="n">
        <f aca="false">W_PH(AR$2,$A442)</f>
        <v>2015</v>
      </c>
      <c r="AS442" s="0" t="n">
        <f aca="false">W_PH(AS$2,$A442)</f>
        <v>2015</v>
      </c>
    </row>
    <row r="443" customFormat="false" ht="13.8" hidden="false" customHeight="false" outlineLevel="0" collapsed="false">
      <c r="A443" s="0" t="n">
        <v>6030</v>
      </c>
      <c r="B443" s="0" t="n">
        <f aca="false">W_PH(B$2,$A443)</f>
        <v>998.90298848242</v>
      </c>
      <c r="C443" s="0" t="n">
        <f aca="false">W_PH(C$2,$A443)</f>
        <v>998.903048603505</v>
      </c>
      <c r="D443" s="0" t="n">
        <f aca="false">W_PH(D$2,$A443)</f>
        <v>998.903107554153</v>
      </c>
      <c r="E443" s="0" t="n">
        <f aca="false">W_PH(E$2,$A443)</f>
        <v>998.903167675249</v>
      </c>
      <c r="F443" s="0" t="n">
        <f aca="false">W_PH(F$2,$A443)</f>
        <v>998.903226625908</v>
      </c>
      <c r="G443" s="0" t="n">
        <f aca="false">W_PH(G$2,$A443)</f>
        <v>998.90382549633</v>
      </c>
      <c r="H443" s="0" t="n">
        <f aca="false">W_PH(H$2,$A443)</f>
        <v>998.90442436729</v>
      </c>
      <c r="I443" s="0" t="n">
        <f aca="false">W_PH(I$2,$A443)</f>
        <v>998.905022068339</v>
      </c>
      <c r="J443" s="0" t="n">
        <f aca="false">W_PH(J$2,$A443)</f>
        <v>998.905619769924</v>
      </c>
      <c r="K443" s="0" t="n">
        <f aca="false">W_PH(K$2,$A443)</f>
        <v>998.906218642495</v>
      </c>
      <c r="L443" s="0" t="n">
        <f aca="false">W_PH(L$2,$A443)</f>
        <v>998.906817515605</v>
      </c>
      <c r="M443" s="0" t="n">
        <f aca="false">W_PH(M$2,$A443)</f>
        <v>998.907415218803</v>
      </c>
      <c r="N443" s="0" t="n">
        <f aca="false">W_PH(N$2,$A443)</f>
        <v>998.908012922539</v>
      </c>
      <c r="O443" s="0" t="n">
        <f aca="false">W_PH(O$2,$A443)</f>
        <v>998.90861179727</v>
      </c>
      <c r="P443" s="0" t="n">
        <f aca="false">W_PH(P$2,$A443)</f>
        <v>998.914594722183</v>
      </c>
      <c r="Q443" s="0" t="n">
        <f aca="false">W_PH(Q$2,$A443)</f>
        <v>998.92057770193</v>
      </c>
      <c r="R443" s="0" t="n">
        <f aca="false">W_PH(R$2,$A443)</f>
        <v>998.926559566741</v>
      </c>
      <c r="S443" s="0" t="n">
        <f aca="false">W_PH(S$2,$A443)</f>
        <v>998.932543828844</v>
      </c>
      <c r="T443" s="0" t="n">
        <f aca="false">W_PH(T$2,$A443)</f>
        <v>998.938525806938</v>
      </c>
      <c r="U443" s="0" t="n">
        <f aca="false">W_PH(U$2,$A443)</f>
        <v>998.94451018384</v>
      </c>
      <c r="V443" s="0" t="n">
        <f aca="false">W_PH(V$2,$A443)</f>
        <v>998.950492278131</v>
      </c>
      <c r="W443" s="0" t="n">
        <f aca="false">W_PH(W$2,$A443)</f>
        <v>998.956475602173</v>
      </c>
      <c r="X443" s="0" t="n">
        <f aca="false">W_PH(X$2,$A443)</f>
        <v>998.96245898615</v>
      </c>
      <c r="Y443" s="0" t="n">
        <f aca="false">W_PH(Y$2,$A443)</f>
        <v>999.022293941177</v>
      </c>
      <c r="Z443" s="0" t="n">
        <f aca="false">W_PH(Z$2,$A443)</f>
        <v>999.082133348846</v>
      </c>
      <c r="AA443" s="0" t="n">
        <f aca="false">W_PH(AA$2,$A443)</f>
        <v>999.141980278939</v>
      </c>
      <c r="AB443" s="0" t="n">
        <f aca="false">W_PH(AB$2,$A443)</f>
        <v>999.201833117695</v>
      </c>
      <c r="AC443" s="0" t="n">
        <f aca="false">W_PH(AC$2,$A443)</f>
        <v>999.261694935447</v>
      </c>
      <c r="AD443" s="0" t="n">
        <f aca="false">W_PH(AD$2,$A443)</f>
        <v>999.321564117812</v>
      </c>
      <c r="AE443" s="0" t="n">
        <f aca="false">W_PH(AE$2,$A443)</f>
        <v>999.381441392448</v>
      </c>
      <c r="AF443" s="0" t="n">
        <f aca="false">W_PH(AF$2,$A443)</f>
        <v>999.441329830511</v>
      </c>
      <c r="AG443" s="0" t="n">
        <f aca="false">W_PH(AG$2,$A443)</f>
        <v>999.501227816691</v>
      </c>
      <c r="AH443" s="0" t="n">
        <f aca="false">W_PH(AH$2,$A443)</f>
        <v>1000.10093747781</v>
      </c>
      <c r="AI443" s="0" t="n">
        <f aca="false">W_PH(AI$2,$A443)</f>
        <v>1000.70245519367</v>
      </c>
      <c r="AJ443" s="0" t="n">
        <f aca="false">W_PH(AJ$2,$A443)</f>
        <v>1001.30647677617</v>
      </c>
      <c r="AK443" s="0" t="n">
        <f aca="false">W_PH(AK$2,$A443)</f>
        <v>1001.91370130066</v>
      </c>
      <c r="AL443" s="0" t="n">
        <f aca="false">W_PH(AL$2,$A443)</f>
        <v>1002.52482291497</v>
      </c>
      <c r="AM443" s="0" t="n">
        <f aca="false">W_PH(AM$2,$A443)</f>
        <v>1003.14053912427</v>
      </c>
      <c r="AN443" s="0" t="n">
        <f aca="false">W_PH(AN$2,$A443)</f>
        <v>1003.76154496232</v>
      </c>
      <c r="AO443" s="0" t="n">
        <f aca="false">W_PH(AO$2,$A443)</f>
        <v>1004.38853896092</v>
      </c>
      <c r="AP443" s="0" t="n">
        <f aca="false">W_PH(AP$2,$A443)</f>
        <v>2015</v>
      </c>
      <c r="AQ443" s="0" t="n">
        <f aca="false">W_PH(AQ$2,$A443)</f>
        <v>2015</v>
      </c>
      <c r="AR443" s="0" t="n">
        <f aca="false">W_PH(AR$2,$A443)</f>
        <v>2015</v>
      </c>
      <c r="AS443" s="0" t="n">
        <f aca="false">W_PH(AS$2,$A443)</f>
        <v>2015</v>
      </c>
    </row>
    <row r="444" customFormat="false" ht="13.8" hidden="false" customHeight="false" outlineLevel="0" collapsed="false">
      <c r="A444" s="0" t="n">
        <v>6040</v>
      </c>
      <c r="B444" s="0" t="n">
        <f aca="false">W_PH(B$2,$A444)</f>
        <v>999.850237262135</v>
      </c>
      <c r="C444" s="0" t="n">
        <f aca="false">W_PH(C$2,$A444)</f>
        <v>999.850296331619</v>
      </c>
      <c r="D444" s="0" t="n">
        <f aca="false">W_PH(D$2,$A444)</f>
        <v>999.850355401107</v>
      </c>
      <c r="E444" s="0" t="n">
        <f aca="false">W_PH(E$2,$A444)</f>
        <v>999.850415639976</v>
      </c>
      <c r="F444" s="0" t="n">
        <f aca="false">W_PH(F$2,$A444)</f>
        <v>999.850475878849</v>
      </c>
      <c r="G444" s="0" t="n">
        <f aca="false">W_PH(G$2,$A444)</f>
        <v>999.851074759753</v>
      </c>
      <c r="H444" s="0" t="n">
        <f aca="false">W_PH(H$2,$A444)</f>
        <v>999.851673641186</v>
      </c>
      <c r="I444" s="0" t="n">
        <f aca="false">W_PH(I$2,$A444)</f>
        <v>999.852271353769</v>
      </c>
      <c r="J444" s="0" t="n">
        <f aca="false">W_PH(J$2,$A444)</f>
        <v>999.852871405642</v>
      </c>
      <c r="K444" s="0" t="n">
        <f aca="false">W_PH(K$2,$A444)</f>
        <v>999.853469119285</v>
      </c>
      <c r="L444" s="0" t="n">
        <f aca="false">W_PH(L$2,$A444)</f>
        <v>999.85406800284</v>
      </c>
      <c r="M444" s="0" t="n">
        <f aca="false">W_PH(M$2,$A444)</f>
        <v>999.854666886928</v>
      </c>
      <c r="N444" s="0" t="n">
        <f aca="false">W_PH(N$2,$A444)</f>
        <v>999.855264602164</v>
      </c>
      <c r="O444" s="0" t="n">
        <f aca="false">W_PH(O$2,$A444)</f>
        <v>999.855864656707</v>
      </c>
      <c r="P444" s="0" t="n">
        <f aca="false">W_PH(P$2,$A444)</f>
        <v>999.861851199007</v>
      </c>
      <c r="Q444" s="0" t="n">
        <f aca="false">W_PH(Q$2,$A444)</f>
        <v>999.867837795475</v>
      </c>
      <c r="R444" s="0" t="n">
        <f aca="false">W_PH(R$2,$A444)</f>
        <v>999.873824446835</v>
      </c>
      <c r="S444" s="0" t="n">
        <f aca="false">W_PH(S$2,$A444)</f>
        <v>999.879811153812</v>
      </c>
      <c r="T444" s="0" t="n">
        <f aca="false">W_PH(T$2,$A444)</f>
        <v>999.88579791713</v>
      </c>
      <c r="U444" s="0" t="n">
        <f aca="false">W_PH(U$2,$A444)</f>
        <v>999.891784737516</v>
      </c>
      <c r="V444" s="0" t="n">
        <f aca="false">W_PH(V$2,$A444)</f>
        <v>999.897771615693</v>
      </c>
      <c r="W444" s="0" t="n">
        <f aca="false">W_PH(W$2,$A444)</f>
        <v>999.903758552387</v>
      </c>
      <c r="X444" s="0" t="n">
        <f aca="false">W_PH(X$2,$A444)</f>
        <v>999.909745548323</v>
      </c>
      <c r="Y444" s="0" t="n">
        <f aca="false">W_PH(Y$2,$A444)</f>
        <v>999.969618925484</v>
      </c>
      <c r="Z444" s="0" t="n">
        <f aca="false">W_PH(Z$2,$A444)</f>
        <v>1000.0294966847</v>
      </c>
      <c r="AA444" s="0" t="n">
        <f aca="false">W_PH(AA$2,$A444)</f>
        <v>1000.08938188996</v>
      </c>
      <c r="AB444" s="0" t="n">
        <f aca="false">W_PH(AB$2,$A444)</f>
        <v>1000.14927292604</v>
      </c>
      <c r="AC444" s="0" t="n">
        <f aca="false">W_PH(AC$2,$A444)</f>
        <v>1000.20917285747</v>
      </c>
      <c r="AD444" s="0" t="n">
        <f aca="false">W_PH(AD$2,$A444)</f>
        <v>1000.2690800684</v>
      </c>
      <c r="AE444" s="0" t="n">
        <f aca="false">W_PH(AE$2,$A444)</f>
        <v>1000.32899528286</v>
      </c>
      <c r="AF444" s="0" t="n">
        <f aca="false">W_PH(AF$2,$A444)</f>
        <v>1000.38892156622</v>
      </c>
      <c r="AG444" s="0" t="n">
        <f aca="false">W_PH(AG$2,$A444)</f>
        <v>1000.44885847252</v>
      </c>
      <c r="AH444" s="0" t="n">
        <f aca="false">W_PH(AH$2,$A444)</f>
        <v>1001.04894302768</v>
      </c>
      <c r="AI444" s="0" t="n">
        <f aca="false">W_PH(AI$2,$A444)</f>
        <v>1001.65082319459</v>
      </c>
      <c r="AJ444" s="0" t="n">
        <f aca="false">W_PH(AJ$2,$A444)</f>
        <v>1002.25519356679</v>
      </c>
      <c r="AK444" s="0" t="n">
        <f aca="false">W_PH(AK$2,$A444)</f>
        <v>1002.8627473169</v>
      </c>
      <c r="AL444" s="0" t="n">
        <f aca="false">W_PH(AL$2,$A444)</f>
        <v>1003.47417623011</v>
      </c>
      <c r="AM444" s="0" t="n">
        <f aca="false">W_PH(AM$2,$A444)</f>
        <v>1004.09017428443</v>
      </c>
      <c r="AN444" s="0" t="n">
        <f aca="false">W_PH(AN$2,$A444)</f>
        <v>1004.71143536148</v>
      </c>
      <c r="AO444" s="0" t="n">
        <f aca="false">W_PH(AO$2,$A444)</f>
        <v>1005.33865095008</v>
      </c>
      <c r="AP444" s="0" t="n">
        <f aca="false">W_PH(AP$2,$A444)</f>
        <v>2015</v>
      </c>
      <c r="AQ444" s="0" t="n">
        <f aca="false">W_PH(AQ$2,$A444)</f>
        <v>2015</v>
      </c>
      <c r="AR444" s="0" t="n">
        <f aca="false">W_PH(AR$2,$A444)</f>
        <v>2015</v>
      </c>
      <c r="AS444" s="0" t="n">
        <f aca="false">W_PH(AS$2,$A444)</f>
        <v>2015</v>
      </c>
    </row>
    <row r="445" customFormat="false" ht="13.8" hidden="false" customHeight="false" outlineLevel="0" collapsed="false">
      <c r="A445" s="0" t="n">
        <v>6050</v>
      </c>
      <c r="B445" s="0" t="n">
        <f aca="false">W_PH(B$2,$A445)</f>
        <v>1000.79609197246</v>
      </c>
      <c r="C445" s="0" t="n">
        <f aca="false">W_PH(C$2,$A445)</f>
        <v>1000.79615232766</v>
      </c>
      <c r="D445" s="0" t="n">
        <f aca="false">W_PH(D$2,$A445)</f>
        <v>1000.79621268286</v>
      </c>
      <c r="E445" s="0" t="n">
        <f aca="false">W_PH(E$2,$A445)</f>
        <v>1000.79627303807</v>
      </c>
      <c r="F445" s="0" t="n">
        <f aca="false">W_PH(F$2,$A445)</f>
        <v>1000.79633222498</v>
      </c>
      <c r="G445" s="0" t="n">
        <f aca="false">W_PH(G$2,$A445)</f>
        <v>1000.79693110416</v>
      </c>
      <c r="H445" s="0" t="n">
        <f aca="false">W_PH(H$2,$A445)</f>
        <v>1000.79752998387</v>
      </c>
      <c r="I445" s="0" t="n">
        <f aca="false">W_PH(I$2,$A445)</f>
        <v>1000.79813003241</v>
      </c>
      <c r="J445" s="0" t="n">
        <f aca="false">W_PH(J$2,$A445)</f>
        <v>1000.79872891316</v>
      </c>
      <c r="K445" s="0" t="n">
        <f aca="false">W_PH(K$2,$A445)</f>
        <v>1000.79932779444</v>
      </c>
      <c r="L445" s="0" t="n">
        <f aca="false">W_PH(L$2,$A445)</f>
        <v>1000.79992667624</v>
      </c>
      <c r="M445" s="0" t="n">
        <f aca="false">W_PH(M$2,$A445)</f>
        <v>1000.80052555857</v>
      </c>
      <c r="N445" s="0" t="n">
        <f aca="false">W_PH(N$2,$A445)</f>
        <v>1000.80112444142</v>
      </c>
      <c r="O445" s="0" t="n">
        <f aca="false">W_PH(O$2,$A445)</f>
        <v>1000.8017233248</v>
      </c>
      <c r="P445" s="0" t="n">
        <f aca="false">W_PH(P$2,$A445)</f>
        <v>1000.80771452441</v>
      </c>
      <c r="Q445" s="0" t="n">
        <f aca="false">W_PH(Q$2,$A445)</f>
        <v>1000.8137046092</v>
      </c>
      <c r="R445" s="0" t="n">
        <f aca="false">W_PH(R$2,$A445)</f>
        <v>1000.81969474822</v>
      </c>
      <c r="S445" s="0" t="n">
        <f aca="false">W_PH(S$2,$A445)</f>
        <v>1000.82568611058</v>
      </c>
      <c r="T445" s="0" t="n">
        <f aca="false">W_PH(T$2,$A445)</f>
        <v>1000.83167636023</v>
      </c>
      <c r="U445" s="0" t="n">
        <f aca="false">W_PH(U$2,$A445)</f>
        <v>1000.83766666629</v>
      </c>
      <c r="V445" s="0" t="n">
        <f aca="false">W_PH(V$2,$A445)</f>
        <v>1000.84365819787</v>
      </c>
      <c r="W445" s="0" t="n">
        <f aca="false">W_PH(W$2,$A445)</f>
        <v>1000.84964745045</v>
      </c>
      <c r="X445" s="0" t="n">
        <f aca="false">W_PH(X$2,$A445)</f>
        <v>1000.85563909846</v>
      </c>
      <c r="Y445" s="0" t="n">
        <f aca="false">W_PH(Y$2,$A445)</f>
        <v>1000.91554961074</v>
      </c>
      <c r="Z445" s="0" t="n">
        <f aca="false">W_PH(Z$2,$A445)</f>
        <v>1000.97546677282</v>
      </c>
      <c r="AA445" s="0" t="n">
        <f aca="false">W_PH(AA$2,$A445)</f>
        <v>1001.0353889683</v>
      </c>
      <c r="AB445" s="0" t="n">
        <f aca="false">W_PH(AB$2,$A445)</f>
        <v>1001.09531691764</v>
      </c>
      <c r="AC445" s="0" t="n">
        <f aca="false">W_PH(AC$2,$A445)</f>
        <v>1001.15525367966</v>
      </c>
      <c r="AD445" s="0" t="n">
        <f aca="false">W_PH(AD$2,$A445)</f>
        <v>1001.21519997566</v>
      </c>
      <c r="AE445" s="0" t="n">
        <f aca="false">W_PH(AE$2,$A445)</f>
        <v>1001.27515301857</v>
      </c>
      <c r="AF445" s="0" t="n">
        <f aca="false">W_PH(AF$2,$A445)</f>
        <v>1001.33511703718</v>
      </c>
      <c r="AG445" s="0" t="n">
        <f aca="false">W_PH(AG$2,$A445)</f>
        <v>1001.39508924352</v>
      </c>
      <c r="AH445" s="0" t="n">
        <f aca="false">W_PH(AH$2,$A445)</f>
        <v>1001.99554181875</v>
      </c>
      <c r="AI445" s="0" t="n">
        <f aca="false">W_PH(AI$2,$A445)</f>
        <v>1002.59777888254</v>
      </c>
      <c r="AJ445" s="0" t="n">
        <f aca="false">W_PH(AJ$2,$A445)</f>
        <v>1003.20249031432</v>
      </c>
      <c r="AK445" s="0" t="n">
        <f aca="false">W_PH(AK$2,$A445)</f>
        <v>1003.8103669322</v>
      </c>
      <c r="AL445" s="0" t="n">
        <f aca="false">W_PH(AL$2,$A445)</f>
        <v>1004.42209818647</v>
      </c>
      <c r="AM445" s="0" t="n">
        <f aca="false">W_PH(AM$2,$A445)</f>
        <v>1005.03837337951</v>
      </c>
      <c r="AN445" s="0" t="n">
        <f aca="false">W_PH(AN$2,$A445)</f>
        <v>1005.65988172359</v>
      </c>
      <c r="AO445" s="0" t="n">
        <f aca="false">W_PH(AO$2,$A445)</f>
        <v>1006.28731358781</v>
      </c>
      <c r="AP445" s="0" t="n">
        <f aca="false">W_PH(AP$2,$A445)</f>
        <v>2015</v>
      </c>
      <c r="AQ445" s="0" t="n">
        <f aca="false">W_PH(AQ$2,$A445)</f>
        <v>2015</v>
      </c>
      <c r="AR445" s="0" t="n">
        <f aca="false">W_PH(AR$2,$A445)</f>
        <v>2015</v>
      </c>
      <c r="AS445" s="0" t="n">
        <f aca="false">W_PH(AS$2,$A445)</f>
        <v>2015</v>
      </c>
    </row>
    <row r="446" customFormat="false" ht="13.8" hidden="false" customHeight="false" outlineLevel="0" collapsed="false">
      <c r="A446" s="0" t="n">
        <v>6060</v>
      </c>
      <c r="B446" s="0" t="n">
        <f aca="false">W_PH(B$2,$A446)</f>
        <v>1001.74056340978</v>
      </c>
      <c r="C446" s="0" t="n">
        <f aca="false">W_PH(C$2,$A446)</f>
        <v>1001.7406215454</v>
      </c>
      <c r="D446" s="0" t="n">
        <f aca="false">W_PH(D$2,$A446)</f>
        <v>1001.74068201553</v>
      </c>
      <c r="E446" s="0" t="n">
        <f aca="false">W_PH(E$2,$A446)</f>
        <v>1001.74074248566</v>
      </c>
      <c r="F446" s="0" t="n">
        <f aca="false">W_PH(F$2,$A446)</f>
        <v>1001.7408029558</v>
      </c>
      <c r="G446" s="0" t="n">
        <f aca="false">W_PH(G$2,$A446)</f>
        <v>1001.74140182121</v>
      </c>
      <c r="H446" s="0" t="n">
        <f aca="false">W_PH(H$2,$A446)</f>
        <v>1001.74200068714</v>
      </c>
      <c r="I446" s="0" t="n">
        <f aca="false">W_PH(I$2,$A446)</f>
        <v>1001.74260072084</v>
      </c>
      <c r="J446" s="0" t="n">
        <f aca="false">W_PH(J$2,$A446)</f>
        <v>1001.74320075505</v>
      </c>
      <c r="K446" s="0" t="n">
        <f aca="false">W_PH(K$2,$A446)</f>
        <v>1001.74379845527</v>
      </c>
      <c r="L446" s="0" t="n">
        <f aca="false">W_PH(L$2,$A446)</f>
        <v>1001.74439849052</v>
      </c>
      <c r="M446" s="0" t="n">
        <f aca="false">W_PH(M$2,$A446)</f>
        <v>1001.74499852629</v>
      </c>
      <c r="N446" s="0" t="n">
        <f aca="false">W_PH(N$2,$A446)</f>
        <v>1001.74559739533</v>
      </c>
      <c r="O446" s="0" t="n">
        <f aca="false">W_PH(O$2,$A446)</f>
        <v>1001.74619626488</v>
      </c>
      <c r="P446" s="0" t="n">
        <f aca="false">W_PH(P$2,$A446)</f>
        <v>1001.7521919928</v>
      </c>
      <c r="Q446" s="0" t="n">
        <f aca="false">W_PH(Q$2,$A446)</f>
        <v>1001.75818543905</v>
      </c>
      <c r="R446" s="0" t="n">
        <f aca="false">W_PH(R$2,$A446)</f>
        <v>1001.76417893888</v>
      </c>
      <c r="S446" s="0" t="n">
        <f aca="false">W_PH(S$2,$A446)</f>
        <v>1001.77017482763</v>
      </c>
      <c r="T446" s="0" t="n">
        <f aca="false">W_PH(T$2,$A446)</f>
        <v>1001.77616843679</v>
      </c>
      <c r="U446" s="0" t="n">
        <f aca="false">W_PH(U$2,$A446)</f>
        <v>1001.78216210167</v>
      </c>
      <c r="V446" s="0" t="n">
        <f aca="false">W_PH(V$2,$A446)</f>
        <v>1001.78815699036</v>
      </c>
      <c r="W446" s="0" t="n">
        <f aca="false">W_PH(W$2,$A446)</f>
        <v>1001.79415193624</v>
      </c>
      <c r="X446" s="0" t="n">
        <f aca="false">W_PH(X$2,$A446)</f>
        <v>1001.80014577264</v>
      </c>
      <c r="Y446" s="0" t="n">
        <f aca="false">W_PH(Y$2,$A446)</f>
        <v>1001.86009448322</v>
      </c>
      <c r="Z446" s="0" t="n">
        <f aca="false">W_PH(Z$2,$A446)</f>
        <v>1001.92004743782</v>
      </c>
      <c r="AA446" s="0" t="n">
        <f aca="false">W_PH(AA$2,$A446)</f>
        <v>1001.98000652118</v>
      </c>
      <c r="AB446" s="0" t="n">
        <f aca="false">W_PH(AB$2,$A446)</f>
        <v>1002.03997361858</v>
      </c>
      <c r="AC446" s="0" t="n">
        <f aca="false">W_PH(AC$2,$A446)</f>
        <v>1002.09994594347</v>
      </c>
      <c r="AD446" s="0" t="n">
        <f aca="false">W_PH(AD$2,$A446)</f>
        <v>1002.15992771701</v>
      </c>
      <c r="AE446" s="0" t="n">
        <f aca="false">W_PH(AE$2,$A446)</f>
        <v>1002.21991848855</v>
      </c>
      <c r="AF446" s="0" t="n">
        <f aca="false">W_PH(AF$2,$A446)</f>
        <v>1002.27991780683</v>
      </c>
      <c r="AG446" s="0" t="n">
        <f aca="false">W_PH(AG$2,$A446)</f>
        <v>1002.33992755736</v>
      </c>
      <c r="AH446" s="0" t="n">
        <f aca="false">W_PH(AH$2,$A446)</f>
        <v>1002.94074141332</v>
      </c>
      <c r="AI446" s="0" t="n">
        <f aca="false">W_PH(AI$2,$A446)</f>
        <v>1003.54332760621</v>
      </c>
      <c r="AJ446" s="0" t="n">
        <f aca="false">W_PH(AJ$2,$A446)</f>
        <v>1004.14837367121</v>
      </c>
      <c r="AK446" s="0" t="n">
        <f aca="false">W_PH(AK$2,$A446)</f>
        <v>1004.75656692554</v>
      </c>
      <c r="AL446" s="0" t="n">
        <f aca="false">W_PH(AL$2,$A446)</f>
        <v>1005.36859450782</v>
      </c>
      <c r="AM446" s="0" t="n">
        <f aca="false">W_PH(AM$2,$A446)</f>
        <v>1005.98513989563</v>
      </c>
      <c r="AN446" s="0" t="n">
        <f aca="false">W_PH(AN$2,$A446)</f>
        <v>1006.60689118971</v>
      </c>
      <c r="AO446" s="0" t="n">
        <f aca="false">W_PH(AO$2,$A446)</f>
        <v>1007.2345364878</v>
      </c>
      <c r="AP446" s="0" t="n">
        <f aca="false">W_PH(AP$2,$A446)</f>
        <v>2015</v>
      </c>
      <c r="AQ446" s="0" t="n">
        <f aca="false">W_PH(AQ$2,$A446)</f>
        <v>2015</v>
      </c>
      <c r="AR446" s="0" t="n">
        <f aca="false">W_PH(AR$2,$A446)</f>
        <v>2015</v>
      </c>
      <c r="AS446" s="0" t="n">
        <f aca="false">W_PH(AS$2,$A446)</f>
        <v>2015</v>
      </c>
    </row>
    <row r="447" customFormat="false" ht="13.8" hidden="false" customHeight="false" outlineLevel="0" collapsed="false">
      <c r="A447" s="0" t="n">
        <v>6070</v>
      </c>
      <c r="B447" s="0" t="n">
        <f aca="false">W_PH(B$2,$A447)</f>
        <v>1002.68365298602</v>
      </c>
      <c r="C447" s="0" t="n">
        <f aca="false">W_PH(C$2,$A447)</f>
        <v>1002.68371356966</v>
      </c>
      <c r="D447" s="0" t="n">
        <f aca="false">W_PH(D$2,$A447)</f>
        <v>1002.68377298712</v>
      </c>
      <c r="E447" s="0" t="n">
        <f aca="false">W_PH(E$2,$A447)</f>
        <v>1002.68383240458</v>
      </c>
      <c r="F447" s="0" t="n">
        <f aca="false">W_PH(F$2,$A447)</f>
        <v>1002.68389298824</v>
      </c>
      <c r="G447" s="0" t="n">
        <f aca="false">W_PH(G$2,$A447)</f>
        <v>1002.68449182798</v>
      </c>
      <c r="H447" s="0" t="n">
        <f aca="false">W_PH(H$2,$A447)</f>
        <v>1002.68509300061</v>
      </c>
      <c r="I447" s="0" t="n">
        <f aca="false">W_PH(I$2,$A447)</f>
        <v>1002.68569184136</v>
      </c>
      <c r="J447" s="0" t="n">
        <f aca="false">W_PH(J$2,$A447)</f>
        <v>1002.68629184882</v>
      </c>
      <c r="K447" s="0" t="n">
        <f aca="false">W_PH(K$2,$A447)</f>
        <v>1002.68689185679</v>
      </c>
      <c r="L447" s="0" t="n">
        <f aca="false">W_PH(L$2,$A447)</f>
        <v>1002.68749069908</v>
      </c>
      <c r="M447" s="0" t="n">
        <f aca="false">W_PH(M$2,$A447)</f>
        <v>1002.68809187427</v>
      </c>
      <c r="N447" s="0" t="n">
        <f aca="false">W_PH(N$2,$A447)</f>
        <v>1002.68869071758</v>
      </c>
      <c r="O447" s="0" t="n">
        <f aca="false">W_PH(O$2,$A447)</f>
        <v>1002.68929072761</v>
      </c>
      <c r="P447" s="0" t="n">
        <f aca="false">W_PH(P$2,$A447)</f>
        <v>1002.69528852392</v>
      </c>
      <c r="Q447" s="0" t="n">
        <f aca="false">W_PH(Q$2,$A447)</f>
        <v>1002.70128637248</v>
      </c>
      <c r="R447" s="0" t="n">
        <f aca="false">W_PH(R$2,$A447)</f>
        <v>1002.70728427398</v>
      </c>
      <c r="S447" s="0" t="n">
        <f aca="false">W_PH(S$2,$A447)</f>
        <v>1002.71328222916</v>
      </c>
      <c r="T447" s="0" t="n">
        <f aca="false">W_PH(T$2,$A447)</f>
        <v>1002.71928023873</v>
      </c>
      <c r="U447" s="0" t="n">
        <f aca="false">W_PH(U$2,$A447)</f>
        <v>1002.72527830339</v>
      </c>
      <c r="V447" s="0" t="n">
        <f aca="false">W_PH(V$2,$A447)</f>
        <v>1002.73127642387</v>
      </c>
      <c r="W447" s="0" t="n">
        <f aca="false">W_PH(W$2,$A447)</f>
        <v>1002.73727460087</v>
      </c>
      <c r="X447" s="0" t="n">
        <f aca="false">W_PH(X$2,$A447)</f>
        <v>1002.74327283511</v>
      </c>
      <c r="Y447" s="0" t="n">
        <f aca="false">W_PH(Y$2,$A447)</f>
        <v>1002.80325731648</v>
      </c>
      <c r="Z447" s="0" t="n">
        <f aca="false">W_PH(Z$2,$A447)</f>
        <v>1002.86324714073</v>
      </c>
      <c r="AA447" s="0" t="n">
        <f aca="false">W_PH(AA$2,$A447)</f>
        <v>1002.9232418549</v>
      </c>
      <c r="AB447" s="0" t="n">
        <f aca="false">W_PH(AB$2,$A447)</f>
        <v>1002.98324450613</v>
      </c>
      <c r="AC447" s="0" t="n">
        <f aca="false">W_PH(AC$2,$A447)</f>
        <v>1003.04325347454</v>
      </c>
      <c r="AD447" s="0" t="n">
        <f aca="false">W_PH(AD$2,$A447)</f>
        <v>1003.10327180781</v>
      </c>
      <c r="AE447" s="0" t="n">
        <f aca="false">W_PH(AE$2,$A447)</f>
        <v>1003.16329788548</v>
      </c>
      <c r="AF447" s="0" t="n">
        <f aca="false">W_PH(AF$2,$A447)</f>
        <v>1003.22333475575</v>
      </c>
      <c r="AG447" s="0" t="n">
        <f aca="false">W_PH(AG$2,$A447)</f>
        <v>1003.28338079757</v>
      </c>
      <c r="AH447" s="0" t="n">
        <f aca="false">W_PH(AH$2,$A447)</f>
        <v>1003.88454698963</v>
      </c>
      <c r="AI447" s="0" t="n">
        <f aca="false">W_PH(AI$2,$A447)</f>
        <v>1004.48747701584</v>
      </c>
      <c r="AJ447" s="0" t="n">
        <f aca="false">W_PH(AJ$2,$A447)</f>
        <v>1005.09285258798</v>
      </c>
      <c r="AK447" s="0" t="n">
        <f aca="false">W_PH(AK$2,$A447)</f>
        <v>1005.70135637486</v>
      </c>
      <c r="AL447" s="0" t="n">
        <f aca="false">W_PH(AL$2,$A447)</f>
        <v>1006.31367204807</v>
      </c>
      <c r="AM447" s="0" t="n">
        <f aca="false">W_PH(AM$2,$A447)</f>
        <v>1006.9304819849</v>
      </c>
      <c r="AN447" s="0" t="n">
        <f aca="false">W_PH(AN$2,$A447)</f>
        <v>1007.55247084874</v>
      </c>
      <c r="AO447" s="0" t="n">
        <f aca="false">W_PH(AO$2,$A447)</f>
        <v>1008.18032213196</v>
      </c>
      <c r="AP447" s="0" t="n">
        <f aca="false">W_PH(AP$2,$A447)</f>
        <v>2015</v>
      </c>
      <c r="AQ447" s="0" t="n">
        <f aca="false">W_PH(AQ$2,$A447)</f>
        <v>2015</v>
      </c>
      <c r="AR447" s="0" t="n">
        <f aca="false">W_PH(AR$2,$A447)</f>
        <v>2015</v>
      </c>
      <c r="AS447" s="0" t="n">
        <f aca="false">W_PH(AS$2,$A447)</f>
        <v>2015</v>
      </c>
    </row>
    <row r="448" customFormat="false" ht="13.8" hidden="false" customHeight="false" outlineLevel="0" collapsed="false">
      <c r="A448" s="0" t="n">
        <v>6080</v>
      </c>
      <c r="B448" s="0" t="n">
        <f aca="false">W_PH(B$2,$A448)</f>
        <v>1003.62536908326</v>
      </c>
      <c r="C448" s="0" t="n">
        <f aca="false">W_PH(C$2,$A448)</f>
        <v>1003.62542977904</v>
      </c>
      <c r="D448" s="0" t="n">
        <f aca="false">W_PH(D$2,$A448)</f>
        <v>1003.62549047483</v>
      </c>
      <c r="E448" s="0" t="n">
        <f aca="false">W_PH(E$2,$A448)</f>
        <v>1003.62555000548</v>
      </c>
      <c r="F448" s="0" t="n">
        <f aca="false">W_PH(F$2,$A448)</f>
        <v>1003.62560953614</v>
      </c>
      <c r="G448" s="0" t="n">
        <f aca="false">W_PH(G$2,$A448)</f>
        <v>1003.62620950358</v>
      </c>
      <c r="H448" s="0" t="n">
        <f aca="false">W_PH(H$2,$A448)</f>
        <v>1003.62680947152</v>
      </c>
      <c r="I448" s="0" t="n">
        <f aca="false">W_PH(I$2,$A448)</f>
        <v>1003.6274106051</v>
      </c>
      <c r="J448" s="0" t="n">
        <f aca="false">W_PH(J$2,$A448)</f>
        <v>1003.62801057405</v>
      </c>
      <c r="K448" s="0" t="n">
        <f aca="false">W_PH(K$2,$A448)</f>
        <v>1003.6286105435</v>
      </c>
      <c r="L448" s="0" t="n">
        <f aca="false">W_PH(L$2,$A448)</f>
        <v>1003.62921167861</v>
      </c>
      <c r="M448" s="0" t="n">
        <f aca="false">W_PH(M$2,$A448)</f>
        <v>1003.62981164907</v>
      </c>
      <c r="N448" s="0" t="n">
        <f aca="false">W_PH(N$2,$A448)</f>
        <v>1003.63041162005</v>
      </c>
      <c r="O448" s="0" t="n">
        <f aca="false">W_PH(O$2,$A448)</f>
        <v>1003.63101159153</v>
      </c>
      <c r="P448" s="0" t="n">
        <f aca="false">W_PH(P$2,$A448)</f>
        <v>1003.6370124996</v>
      </c>
      <c r="Q448" s="0" t="n">
        <f aca="false">W_PH(Q$2,$A448)</f>
        <v>1003.64301345929</v>
      </c>
      <c r="R448" s="0" t="n">
        <f aca="false">W_PH(R$2,$A448)</f>
        <v>1003.64901563648</v>
      </c>
      <c r="S448" s="0" t="n">
        <f aca="false">W_PH(S$2,$A448)</f>
        <v>1003.65501786672</v>
      </c>
      <c r="T448" s="0" t="n">
        <f aca="false">W_PH(T$2,$A448)</f>
        <v>1003.6610178203</v>
      </c>
      <c r="U448" s="0" t="n">
        <f aca="false">W_PH(U$2,$A448)</f>
        <v>1003.66702015876</v>
      </c>
      <c r="V448" s="0" t="n">
        <f aca="false">W_PH(V$2,$A448)</f>
        <v>1003.67302255241</v>
      </c>
      <c r="W448" s="0" t="n">
        <f aca="false">W_PH(W$2,$A448)</f>
        <v>1003.6790238367</v>
      </c>
      <c r="X448" s="0" t="n">
        <f aca="false">W_PH(X$2,$A448)</f>
        <v>1003.68502517757</v>
      </c>
      <c r="Y448" s="0" t="n">
        <f aca="false">W_PH(Y$2,$A448)</f>
        <v>1003.74504535083</v>
      </c>
      <c r="Z448" s="0" t="n">
        <f aca="false">W_PH(Z$2,$A448)</f>
        <v>1003.80507079927</v>
      </c>
      <c r="AA448" s="0" t="n">
        <f aca="false">W_PH(AA$2,$A448)</f>
        <v>1003.86510223315</v>
      </c>
      <c r="AB448" s="0" t="n">
        <f aca="false">W_PH(AB$2,$A448)</f>
        <v>1003.92514036272</v>
      </c>
      <c r="AC448" s="0" t="n">
        <f aca="false">W_PH(AC$2,$A448)</f>
        <v>1003.98518473226</v>
      </c>
      <c r="AD448" s="0" t="n">
        <f aca="false">W_PH(AD$2,$A448)</f>
        <v>1004.04523838378</v>
      </c>
      <c r="AE448" s="0" t="n">
        <f aca="false">W_PH(AE$2,$A448)</f>
        <v>1004.10529969545</v>
      </c>
      <c r="AF448" s="0" t="n">
        <f aca="false">W_PH(AF$2,$A448)</f>
        <v>1004.1653717098</v>
      </c>
      <c r="AG448" s="0" t="n">
        <f aca="false">W_PH(AG$2,$A448)</f>
        <v>1004.2254528044</v>
      </c>
      <c r="AH448" s="0" t="n">
        <f aca="false">W_PH(AH$2,$A448)</f>
        <v>1004.8269683606</v>
      </c>
      <c r="AI448" s="0" t="n">
        <f aca="false">W_PH(AI$2,$A448)</f>
        <v>1005.43023354495</v>
      </c>
      <c r="AJ448" s="0" t="n">
        <f aca="false">W_PH(AJ$2,$A448)</f>
        <v>1006.03593010839</v>
      </c>
      <c r="AK448" s="0" t="n">
        <f aca="false">W_PH(AK$2,$A448)</f>
        <v>1006.64473961475</v>
      </c>
      <c r="AL448" s="0" t="n">
        <f aca="false">W_PH(AL$2,$A448)</f>
        <v>1007.25733878599</v>
      </c>
      <c r="AM448" s="0" t="n">
        <f aca="false">W_PH(AM$2,$A448)</f>
        <v>1007.87440891925</v>
      </c>
      <c r="AN448" s="0" t="n">
        <f aca="false">W_PH(AN$2,$A448)</f>
        <v>1008.49662891364</v>
      </c>
      <c r="AO448" s="0" t="n">
        <f aca="false">W_PH(AO$2,$A448)</f>
        <v>1009.1246800294</v>
      </c>
      <c r="AP448" s="0" t="n">
        <f aca="false">W_PH(AP$2,$A448)</f>
        <v>2015</v>
      </c>
      <c r="AQ448" s="0" t="n">
        <f aca="false">W_PH(AQ$2,$A448)</f>
        <v>2015</v>
      </c>
      <c r="AR448" s="0" t="n">
        <f aca="false">W_PH(AR$2,$A448)</f>
        <v>2015</v>
      </c>
      <c r="AS448" s="0" t="n">
        <f aca="false">W_PH(AS$2,$A448)</f>
        <v>2015</v>
      </c>
    </row>
    <row r="449" customFormat="false" ht="13.8" hidden="false" customHeight="false" outlineLevel="0" collapsed="false">
      <c r="A449" s="0" t="n">
        <v>6090</v>
      </c>
      <c r="B449" s="0" t="n">
        <f aca="false">W_PH(B$2,$A449)</f>
        <v>1004.56572003793</v>
      </c>
      <c r="C449" s="0" t="n">
        <f aca="false">W_PH(C$2,$A449)</f>
        <v>1004.56578084448</v>
      </c>
      <c r="D449" s="0" t="n">
        <f aca="false">W_PH(D$2,$A449)</f>
        <v>1004.56583932286</v>
      </c>
      <c r="E449" s="0" t="n">
        <f aca="false">W_PH(E$2,$A449)</f>
        <v>1004.56590012942</v>
      </c>
      <c r="F449" s="0" t="n">
        <f aca="false">W_PH(F$2,$A449)</f>
        <v>1004.56596093599</v>
      </c>
      <c r="G449" s="0" t="n">
        <f aca="false">W_PH(G$2,$A449)</f>
        <v>1004.56655968923</v>
      </c>
      <c r="H449" s="0" t="n">
        <f aca="false">W_PH(H$2,$A449)</f>
        <v>1004.56716077114</v>
      </c>
      <c r="I449" s="0" t="n">
        <f aca="false">W_PH(I$2,$A449)</f>
        <v>1004.56776185356</v>
      </c>
      <c r="J449" s="0" t="n">
        <f aca="false">W_PH(J$2,$A449)</f>
        <v>1004.56836293647</v>
      </c>
      <c r="K449" s="0" t="n">
        <f aca="false">W_PH(K$2,$A449)</f>
        <v>1004.5689616917</v>
      </c>
      <c r="L449" s="0" t="n">
        <f aca="false">W_PH(L$2,$A449)</f>
        <v>1004.56956277561</v>
      </c>
      <c r="M449" s="0" t="n">
        <f aca="false">W_PH(M$2,$A449)</f>
        <v>1004.57016386003</v>
      </c>
      <c r="N449" s="0" t="n">
        <f aca="false">W_PH(N$2,$A449)</f>
        <v>1004.57076494495</v>
      </c>
      <c r="O449" s="0" t="n">
        <f aca="false">W_PH(O$2,$A449)</f>
        <v>1004.57136370217</v>
      </c>
      <c r="P449" s="0" t="n">
        <f aca="false">W_PH(P$2,$A449)</f>
        <v>1004.57736992777</v>
      </c>
      <c r="Q449" s="0" t="n">
        <f aca="false">W_PH(Q$2,$A449)</f>
        <v>1004.58337387615</v>
      </c>
      <c r="R449" s="0" t="n">
        <f aca="false">W_PH(R$2,$A449)</f>
        <v>1004.5893802045</v>
      </c>
      <c r="S449" s="0" t="n">
        <f aca="false">W_PH(S$2,$A449)</f>
        <v>1004.59538425699</v>
      </c>
      <c r="T449" s="0" t="n">
        <f aca="false">W_PH(T$2,$A449)</f>
        <v>1004.60138952675</v>
      </c>
      <c r="U449" s="0" t="n">
        <f aca="false">W_PH(U$2,$A449)</f>
        <v>1004.60739485034</v>
      </c>
      <c r="V449" s="0" t="n">
        <f aca="false">W_PH(V$2,$A449)</f>
        <v>1004.61339906428</v>
      </c>
      <c r="W449" s="0" t="n">
        <f aca="false">W_PH(W$2,$A449)</f>
        <v>1004.61940566186</v>
      </c>
      <c r="X449" s="0" t="n">
        <f aca="false">W_PH(X$2,$A449)</f>
        <v>1004.62540998698</v>
      </c>
      <c r="Y449" s="0" t="n">
        <f aca="false">W_PH(Y$2,$A449)</f>
        <v>1004.68546578478</v>
      </c>
      <c r="Z449" s="0" t="n">
        <f aca="false">W_PH(Z$2,$A449)</f>
        <v>1004.74552562664</v>
      </c>
      <c r="AA449" s="0" t="n">
        <f aca="false">W_PH(AA$2,$A449)</f>
        <v>1004.80559254819</v>
      </c>
      <c r="AB449" s="0" t="n">
        <f aca="false">W_PH(AB$2,$A449)</f>
        <v>1004.86566492705</v>
      </c>
      <c r="AC449" s="0" t="n">
        <f aca="false">W_PH(AC$2,$A449)</f>
        <v>1004.92574579936</v>
      </c>
      <c r="AD449" s="0" t="n">
        <f aca="false">W_PH(AD$2,$A449)</f>
        <v>1004.98583354217</v>
      </c>
      <c r="AE449" s="0" t="n">
        <f aca="false">W_PH(AE$2,$A449)</f>
        <v>1005.0459288618</v>
      </c>
      <c r="AF449" s="0" t="n">
        <f aca="false">W_PH(AF$2,$A449)</f>
        <v>1005.10603479519</v>
      </c>
      <c r="AG449" s="0" t="n">
        <f aca="false">W_PH(AG$2,$A449)</f>
        <v>1005.16615204943</v>
      </c>
      <c r="AH449" s="0" t="n">
        <f aca="false">W_PH(AH$2,$A449)</f>
        <v>1005.76800711759</v>
      </c>
      <c r="AI449" s="0" t="n">
        <f aca="false">W_PH(AI$2,$A449)</f>
        <v>1006.37160358442</v>
      </c>
      <c r="AJ449" s="0" t="n">
        <f aca="false">W_PH(AJ$2,$A449)</f>
        <v>1006.97761743157</v>
      </c>
      <c r="AK449" s="0" t="n">
        <f aca="false">W_PH(AK$2,$A449)</f>
        <v>1007.58672328438</v>
      </c>
      <c r="AL449" s="0" t="n">
        <f aca="false">W_PH(AL$2,$A449)</f>
        <v>1008.19960030387</v>
      </c>
      <c r="AM449" s="0" t="n">
        <f aca="false">W_PH(AM$2,$A449)</f>
        <v>1008.81692287207</v>
      </c>
      <c r="AN449" s="0" t="n">
        <f aca="false">W_PH(AN$2,$A449)</f>
        <v>1009.43937001812</v>
      </c>
      <c r="AO449" s="0" t="n">
        <f aca="false">W_PH(AO$2,$A449)</f>
        <v>1010.06761492431</v>
      </c>
      <c r="AP449" s="0" t="n">
        <f aca="false">W_PH(AP$2,$A449)</f>
        <v>2015</v>
      </c>
      <c r="AQ449" s="0" t="n">
        <f aca="false">W_PH(AQ$2,$A449)</f>
        <v>2015</v>
      </c>
      <c r="AR449" s="0" t="n">
        <f aca="false">W_PH(AR$2,$A449)</f>
        <v>2015</v>
      </c>
      <c r="AS449" s="0" t="n">
        <f aca="false">W_PH(AS$2,$A449)</f>
        <v>2015</v>
      </c>
    </row>
    <row r="450" customFormat="false" ht="13.8" hidden="false" customHeight="false" outlineLevel="0" collapsed="false">
      <c r="A450" s="0" t="n">
        <v>6100</v>
      </c>
      <c r="B450" s="0" t="n">
        <f aca="false">W_PH(B$2,$A450)</f>
        <v>1005.50470948907</v>
      </c>
      <c r="C450" s="0" t="n">
        <f aca="false">W_PH(C$2,$A450)</f>
        <v>1005.50476807896</v>
      </c>
      <c r="D450" s="0" t="n">
        <f aca="false">W_PH(D$2,$A450)</f>
        <v>1005.50482899493</v>
      </c>
      <c r="E450" s="0" t="n">
        <f aca="false">W_PH(E$2,$A450)</f>
        <v>1005.5048899109</v>
      </c>
      <c r="F450" s="0" t="n">
        <f aca="false">W_PH(F$2,$A450)</f>
        <v>1005.50494850081</v>
      </c>
      <c r="G450" s="0" t="n">
        <f aca="false">W_PH(G$2,$A450)</f>
        <v>1005.50555068263</v>
      </c>
      <c r="H450" s="0" t="n">
        <f aca="false">W_PH(H$2,$A450)</f>
        <v>1005.50615053887</v>
      </c>
      <c r="I450" s="0" t="n">
        <f aca="false">W_PH(I$2,$A450)</f>
        <v>1005.50675155865</v>
      </c>
      <c r="J450" s="0" t="n">
        <f aca="false">W_PH(J$2,$A450)</f>
        <v>1005.50735257891</v>
      </c>
      <c r="K450" s="0" t="n">
        <f aca="false">W_PH(K$2,$A450)</f>
        <v>1005.50795243663</v>
      </c>
      <c r="L450" s="0" t="n">
        <f aca="false">W_PH(L$2,$A450)</f>
        <v>1005.50855462093</v>
      </c>
      <c r="M450" s="0" t="n">
        <f aca="false">W_PH(M$2,$A450)</f>
        <v>1005.50915447963</v>
      </c>
      <c r="N450" s="0" t="n">
        <f aca="false">W_PH(N$2,$A450)</f>
        <v>1005.50975666492</v>
      </c>
      <c r="O450" s="0" t="n">
        <f aca="false">W_PH(O$2,$A450)</f>
        <v>1005.51035652461</v>
      </c>
      <c r="P450" s="0" t="n">
        <f aca="false">W_PH(P$2,$A450)</f>
        <v>1005.51636445336</v>
      </c>
      <c r="Q450" s="0" t="n">
        <f aca="false">W_PH(Q$2,$A450)</f>
        <v>1005.52237359558</v>
      </c>
      <c r="R450" s="0" t="n">
        <f aca="false">W_PH(R$2,$A450)</f>
        <v>1005.52838162582</v>
      </c>
      <c r="S450" s="0" t="n">
        <f aca="false">W_PH(S$2,$A450)</f>
        <v>1005.53439087096</v>
      </c>
      <c r="T450" s="0" t="n">
        <f aca="false">W_PH(T$2,$A450)</f>
        <v>1005.54039900551</v>
      </c>
      <c r="U450" s="0" t="n">
        <f aca="false">W_PH(U$2,$A450)</f>
        <v>1005.54640719326</v>
      </c>
      <c r="V450" s="0" t="n">
        <f aca="false">W_PH(V$2,$A450)</f>
        <v>1005.55241543491</v>
      </c>
      <c r="W450" s="0" t="n">
        <f aca="false">W_PH(W$2,$A450)</f>
        <v>1005.55842373118</v>
      </c>
      <c r="X450" s="0" t="n">
        <f aca="false">W_PH(X$2,$A450)</f>
        <v>1005.56443324593</v>
      </c>
      <c r="Y450" s="0" t="n">
        <f aca="false">W_PH(Y$2,$A450)</f>
        <v>1005.62452344881</v>
      </c>
      <c r="Z450" s="0" t="n">
        <f aca="false">W_PH(Z$2,$A450)</f>
        <v>1005.684617631</v>
      </c>
      <c r="AA450" s="0" t="n">
        <f aca="false">W_PH(AA$2,$A450)</f>
        <v>1005.74471882254</v>
      </c>
      <c r="AB450" s="0" t="n">
        <f aca="false">W_PH(AB$2,$A450)</f>
        <v>1005.80482539967</v>
      </c>
      <c r="AC450" s="0" t="n">
        <f aca="false">W_PH(AC$2,$A450)</f>
        <v>1005.86494039298</v>
      </c>
      <c r="AD450" s="0" t="n">
        <f aca="false">W_PH(AD$2,$A450)</f>
        <v>1005.92506101415</v>
      </c>
      <c r="AE450" s="0" t="n">
        <f aca="false">W_PH(AE$2,$A450)</f>
        <v>1005.98519262212</v>
      </c>
      <c r="AF450" s="0" t="n">
        <f aca="false">W_PH(AF$2,$A450)</f>
        <v>1006.04533242816</v>
      </c>
      <c r="AG450" s="0" t="n">
        <f aca="false">W_PH(AG$2,$A450)</f>
        <v>1006.10548229951</v>
      </c>
      <c r="AH450" s="0" t="n">
        <f aca="false">W_PH(AH$2,$A450)</f>
        <v>1006.70767182326</v>
      </c>
      <c r="AI450" s="0" t="n">
        <f aca="false">W_PH(AI$2,$A450)</f>
        <v>1007.3115923159</v>
      </c>
      <c r="AJ450" s="0" t="n">
        <f aca="false">W_PH(AJ$2,$A450)</f>
        <v>1007.91791634797</v>
      </c>
      <c r="AK450" s="0" t="n">
        <f aca="false">W_PH(AK$2,$A450)</f>
        <v>1008.52731397727</v>
      </c>
      <c r="AL450" s="0" t="n">
        <f aca="false">W_PH(AL$2,$A450)</f>
        <v>1009.14046331226</v>
      </c>
      <c r="AM450" s="0" t="n">
        <f aca="false">W_PH(AM$2,$A450)</f>
        <v>1009.75803419148</v>
      </c>
      <c r="AN450" s="0" t="n">
        <f aca="false">W_PH(AN$2,$A450)</f>
        <v>1010.3807011015</v>
      </c>
      <c r="AO450" s="0" t="n">
        <f aca="false">W_PH(AO$2,$A450)</f>
        <v>1011.00913621646</v>
      </c>
      <c r="AP450" s="0" t="n">
        <f aca="false">W_PH(AP$2,$A450)</f>
        <v>2015</v>
      </c>
      <c r="AQ450" s="0" t="n">
        <f aca="false">W_PH(AQ$2,$A450)</f>
        <v>2015</v>
      </c>
      <c r="AR450" s="0" t="n">
        <f aca="false">W_PH(AR$2,$A450)</f>
        <v>2015</v>
      </c>
      <c r="AS450" s="0" t="n">
        <f aca="false">W_PH(AS$2,$A450)</f>
        <v>2015</v>
      </c>
    </row>
    <row r="451" customFormat="false" ht="13.8" hidden="false" customHeight="false" outlineLevel="0" collapsed="false">
      <c r="A451" s="0" t="n">
        <v>6110</v>
      </c>
      <c r="B451" s="0" t="n">
        <f aca="false">W_PH(B$2,$A451)</f>
        <v>1006.44234337164</v>
      </c>
      <c r="C451" s="0" t="n">
        <f aca="false">W_PH(C$2,$A451)</f>
        <v>1006.44240207169</v>
      </c>
      <c r="D451" s="0" t="n">
        <f aca="false">W_PH(D$2,$A451)</f>
        <v>1006.44246309573</v>
      </c>
      <c r="E451" s="0" t="n">
        <f aca="false">W_PH(E$2,$A451)</f>
        <v>1006.44252295778</v>
      </c>
      <c r="F451" s="0" t="n">
        <f aca="false">W_PH(F$2,$A451)</f>
        <v>1006.44258281984</v>
      </c>
      <c r="G451" s="0" t="n">
        <f aca="false">W_PH(G$2,$A451)</f>
        <v>1006.44318376467</v>
      </c>
      <c r="H451" s="0" t="n">
        <f aca="false">W_PH(H$2,$A451)</f>
        <v>1006.44378470998</v>
      </c>
      <c r="I451" s="0" t="n">
        <f aca="false">W_PH(I$2,$A451)</f>
        <v>1006.44438681778</v>
      </c>
      <c r="J451" s="0" t="n">
        <f aca="false">W_PH(J$2,$A451)</f>
        <v>1006.44498776407</v>
      </c>
      <c r="K451" s="0" t="n">
        <f aca="false">W_PH(K$2,$A451)</f>
        <v>1006.44558987284</v>
      </c>
      <c r="L451" s="0" t="n">
        <f aca="false">W_PH(L$2,$A451)</f>
        <v>1006.44619082011</v>
      </c>
      <c r="M451" s="0" t="n">
        <f aca="false">W_PH(M$2,$A451)</f>
        <v>1006.44679176786</v>
      </c>
      <c r="N451" s="0" t="n">
        <f aca="false">W_PH(N$2,$A451)</f>
        <v>1006.4473927161</v>
      </c>
      <c r="O451" s="0" t="n">
        <f aca="false">W_PH(O$2,$A451)</f>
        <v>1006.44799366483</v>
      </c>
      <c r="P451" s="0" t="n">
        <f aca="false">W_PH(P$2,$A451)</f>
        <v>1006.45400550327</v>
      </c>
      <c r="Q451" s="0" t="n">
        <f aca="false">W_PH(Q$2,$A451)</f>
        <v>1006.4600173915</v>
      </c>
      <c r="R451" s="0" t="n">
        <f aca="false">W_PH(R$2,$A451)</f>
        <v>1006.46602933024</v>
      </c>
      <c r="S451" s="0" t="n">
        <f aca="false">W_PH(S$2,$A451)</f>
        <v>1006.47204132019</v>
      </c>
      <c r="T451" s="0" t="n">
        <f aca="false">W_PH(T$2,$A451)</f>
        <v>1006.47805336203</v>
      </c>
      <c r="U451" s="0" t="n">
        <f aca="false">W_PH(U$2,$A451)</f>
        <v>1006.48406545648</v>
      </c>
      <c r="V451" s="0" t="n">
        <f aca="false">W_PH(V$2,$A451)</f>
        <v>1006.49007760424</v>
      </c>
      <c r="W451" s="0" t="n">
        <f aca="false">W_PH(W$2,$A451)</f>
        <v>1006.49608980599</v>
      </c>
      <c r="X451" s="0" t="n">
        <f aca="false">W_PH(X$2,$A451)</f>
        <v>1006.50210090032</v>
      </c>
      <c r="Y451" s="0" t="n">
        <f aca="false">W_PH(Y$2,$A451)</f>
        <v>1006.56222430304</v>
      </c>
      <c r="Z451" s="0" t="n">
        <f aca="false">W_PH(Z$2,$A451)</f>
        <v>1006.62235278348</v>
      </c>
      <c r="AA451" s="0" t="n">
        <f aca="false">W_PH(AA$2,$A451)</f>
        <v>1006.6824870415</v>
      </c>
      <c r="AB451" s="0" t="n">
        <f aca="false">W_PH(AB$2,$A451)</f>
        <v>1006.74262777691</v>
      </c>
      <c r="AC451" s="0" t="n">
        <f aca="false">W_PH(AC$2,$A451)</f>
        <v>1006.80277568954</v>
      </c>
      <c r="AD451" s="0" t="n">
        <f aca="false">W_PH(AD$2,$A451)</f>
        <v>1006.8629314792</v>
      </c>
      <c r="AE451" s="0" t="n">
        <f aca="false">W_PH(AE$2,$A451)</f>
        <v>1006.92309584569</v>
      </c>
      <c r="AF451" s="0" t="n">
        <f aca="false">W_PH(AF$2,$A451)</f>
        <v>1006.98326832562</v>
      </c>
      <c r="AG451" s="0" t="n">
        <f aca="false">W_PH(AG$2,$A451)</f>
        <v>1007.04345194503</v>
      </c>
      <c r="AH451" s="0" t="n">
        <f aca="false">W_PH(AH$2,$A451)</f>
        <v>1007.6459709916</v>
      </c>
      <c r="AI451" s="0" t="n">
        <f aca="false">W_PH(AI$2,$A451)</f>
        <v>1008.25020838159</v>
      </c>
      <c r="AJ451" s="0" t="n">
        <f aca="false">W_PH(AJ$2,$A451)</f>
        <v>1008.85683445868</v>
      </c>
      <c r="AK451" s="0" t="n">
        <f aca="false">W_PH(AK$2,$A451)</f>
        <v>1009.46651941041</v>
      </c>
      <c r="AL451" s="0" t="n">
        <f aca="false">W_PH(AL$2,$A451)</f>
        <v>1010.07993330515</v>
      </c>
      <c r="AM451" s="0" t="n">
        <f aca="false">W_PH(AM$2,$A451)</f>
        <v>1010.69774730838</v>
      </c>
      <c r="AN451" s="0" t="n">
        <f aca="false">W_PH(AN$2,$A451)</f>
        <v>1011.3206290532</v>
      </c>
      <c r="AO451" s="0" t="n">
        <f aca="false">W_PH(AO$2,$A451)</f>
        <v>1011.94924972473</v>
      </c>
      <c r="AP451" s="0" t="n">
        <f aca="false">W_PH(AP$2,$A451)</f>
        <v>2015</v>
      </c>
      <c r="AQ451" s="0" t="n">
        <f aca="false">W_PH(AQ$2,$A451)</f>
        <v>2015</v>
      </c>
      <c r="AR451" s="0" t="n">
        <f aca="false">W_PH(AR$2,$A451)</f>
        <v>2015</v>
      </c>
      <c r="AS451" s="0" t="n">
        <f aca="false">W_PH(AS$2,$A451)</f>
        <v>2015</v>
      </c>
    </row>
    <row r="452" customFormat="false" ht="13.8" hidden="false" customHeight="false" outlineLevel="0" collapsed="false">
      <c r="A452" s="0" t="n">
        <v>6120</v>
      </c>
      <c r="B452" s="0" t="n">
        <f aca="false">W_PH(B$2,$A452)</f>
        <v>1007.37862758443</v>
      </c>
      <c r="C452" s="0" t="n">
        <f aca="false">W_PH(C$2,$A452)</f>
        <v>1007.37868871522</v>
      </c>
      <c r="D452" s="0" t="n">
        <f aca="false">W_PH(D$2,$A452)</f>
        <v>1007.3787475241</v>
      </c>
      <c r="E452" s="0" t="n">
        <f aca="false">W_PH(E$2,$A452)</f>
        <v>1007.3788086549</v>
      </c>
      <c r="F452" s="0" t="n">
        <f aca="false">W_PH(F$2,$A452)</f>
        <v>1007.37886862474</v>
      </c>
      <c r="G452" s="0" t="n">
        <f aca="false">W_PH(G$2,$A452)</f>
        <v>1007.37946948442</v>
      </c>
      <c r="H452" s="0" t="n">
        <f aca="false">W_PH(H$2,$A452)</f>
        <v>1007.38007150553</v>
      </c>
      <c r="I452" s="0" t="n">
        <f aca="false">W_PH(I$2,$A452)</f>
        <v>1007.38067352712</v>
      </c>
      <c r="J452" s="0" t="n">
        <f aca="false">W_PH(J$2,$A452)</f>
        <v>1007.38127438823</v>
      </c>
      <c r="K452" s="0" t="n">
        <f aca="false">W_PH(K$2,$A452)</f>
        <v>1007.38187524983</v>
      </c>
      <c r="L452" s="0" t="n">
        <f aca="false">W_PH(L$2,$A452)</f>
        <v>1007.38247727286</v>
      </c>
      <c r="M452" s="0" t="n">
        <f aca="false">W_PH(M$2,$A452)</f>
        <v>1007.38307929639</v>
      </c>
      <c r="N452" s="0" t="n">
        <f aca="false">W_PH(N$2,$A452)</f>
        <v>1007.38368132039</v>
      </c>
      <c r="O452" s="0" t="n">
        <f aca="false">W_PH(O$2,$A452)</f>
        <v>1007.38428218392</v>
      </c>
      <c r="P452" s="0" t="n">
        <f aca="false">W_PH(P$2,$A452)</f>
        <v>1007.39029665079</v>
      </c>
      <c r="Q452" s="0" t="n">
        <f aca="false">W_PH(Q$2,$A452)</f>
        <v>1007.39631232786</v>
      </c>
      <c r="R452" s="0" t="n">
        <f aca="false">W_PH(R$2,$A452)</f>
        <v>1007.40232805484</v>
      </c>
      <c r="S452" s="0" t="n">
        <f aca="false">W_PH(S$2,$A452)</f>
        <v>1007.40834267143</v>
      </c>
      <c r="T452" s="0" t="n">
        <f aca="false">W_PH(T$2,$A452)</f>
        <v>1007.4143573393</v>
      </c>
      <c r="U452" s="0" t="n">
        <f aca="false">W_PH(U$2,$A452)</f>
        <v>1007.4203732202</v>
      </c>
      <c r="V452" s="0" t="n">
        <f aca="false">W_PH(V$2,$A452)</f>
        <v>1007.42638915381</v>
      </c>
      <c r="W452" s="0" t="n">
        <f aca="false">W_PH(W$2,$A452)</f>
        <v>1007.43240281869</v>
      </c>
      <c r="X452" s="0" t="n">
        <f aca="false">W_PH(X$2,$A452)</f>
        <v>1007.43841885978</v>
      </c>
      <c r="Y452" s="0" t="n">
        <f aca="false">W_PH(Y$2,$A452)</f>
        <v>1007.4985754323</v>
      </c>
      <c r="Z452" s="0" t="n">
        <f aca="false">W_PH(Z$2,$A452)</f>
        <v>1007.55873701858</v>
      </c>
      <c r="AA452" s="0" t="n">
        <f aca="false">W_PH(AA$2,$A452)</f>
        <v>1007.61890431503</v>
      </c>
      <c r="AB452" s="0" t="n">
        <f aca="false">W_PH(AB$2,$A452)</f>
        <v>1007.67907801806</v>
      </c>
      <c r="AC452" s="0" t="n">
        <f aca="false">W_PH(AC$2,$A452)</f>
        <v>1007.73925882406</v>
      </c>
      <c r="AD452" s="0" t="n">
        <f aca="false">W_PH(AD$2,$A452)</f>
        <v>1007.79944742942</v>
      </c>
      <c r="AE452" s="0" t="n">
        <f aca="false">W_PH(AE$2,$A452)</f>
        <v>1007.85964336853</v>
      </c>
      <c r="AF452" s="0" t="n">
        <f aca="false">W_PH(AF$2,$A452)</f>
        <v>1007.91985082378</v>
      </c>
      <c r="AG452" s="0" t="n">
        <f aca="false">W_PH(AG$2,$A452)</f>
        <v>1007.98006700553</v>
      </c>
      <c r="AH452" s="0" t="n">
        <f aca="false">W_PH(AH$2,$A452)</f>
        <v>1008.5829061069</v>
      </c>
      <c r="AI452" s="0" t="n">
        <f aca="false">W_PH(AI$2,$A452)</f>
        <v>1009.18745571412</v>
      </c>
      <c r="AJ452" s="0" t="n">
        <f aca="false">W_PH(AJ$2,$A452)</f>
        <v>1009.79437931739</v>
      </c>
      <c r="AK452" s="0" t="n">
        <f aca="false">W_PH(AK$2,$A452)</f>
        <v>1010.4043449168</v>
      </c>
      <c r="AL452" s="0" t="n">
        <f aca="false">W_PH(AL$2,$A452)</f>
        <v>1011.01802040953</v>
      </c>
      <c r="AM452" s="0" t="n">
        <f aca="false">W_PH(AM$2,$A452)</f>
        <v>1011.63606895476</v>
      </c>
      <c r="AN452" s="0" t="n">
        <f aca="false">W_PH(AN$2,$A452)</f>
        <v>1012.2591607133</v>
      </c>
      <c r="AO452" s="0" t="n">
        <f aca="false">W_PH(AO$2,$A452)</f>
        <v>1012.88796122187</v>
      </c>
      <c r="AP452" s="0" t="n">
        <f aca="false">W_PH(AP$2,$A452)</f>
        <v>2015</v>
      </c>
      <c r="AQ452" s="0" t="n">
        <f aca="false">W_PH(AQ$2,$A452)</f>
        <v>2015</v>
      </c>
      <c r="AR452" s="0" t="n">
        <f aca="false">W_PH(AR$2,$A452)</f>
        <v>2015</v>
      </c>
      <c r="AS452" s="0" t="n">
        <f aca="false">W_PH(AS$2,$A452)</f>
        <v>2015</v>
      </c>
    </row>
    <row r="453" customFormat="false" ht="13.8" hidden="false" customHeight="false" outlineLevel="0" collapsed="false">
      <c r="A453" s="0" t="n">
        <v>6130</v>
      </c>
      <c r="B453" s="0" t="n">
        <f aca="false">W_PH(B$2,$A453)</f>
        <v>1008.31357031031</v>
      </c>
      <c r="C453" s="0" t="n">
        <f aca="false">W_PH(C$2,$A453)</f>
        <v>1008.31363038662</v>
      </c>
      <c r="D453" s="0" t="n">
        <f aca="false">W_PH(D$2,$A453)</f>
        <v>1008.31369046293</v>
      </c>
      <c r="E453" s="0" t="n">
        <f aca="false">W_PH(E$2,$A453)</f>
        <v>1008.31375053924</v>
      </c>
      <c r="F453" s="0" t="n">
        <f aca="false">W_PH(F$2,$A453)</f>
        <v>1008.31381061556</v>
      </c>
      <c r="G453" s="0" t="n">
        <f aca="false">W_PH(G$2,$A453)</f>
        <v>1008.31441253894</v>
      </c>
      <c r="H453" s="0" t="n">
        <f aca="false">W_PH(H$2,$A453)</f>
        <v>1008.31501446279</v>
      </c>
      <c r="I453" s="0" t="n">
        <f aca="false">W_PH(I$2,$A453)</f>
        <v>1008.31561638712</v>
      </c>
      <c r="J453" s="0" t="n">
        <f aca="false">W_PH(J$2,$A453)</f>
        <v>1008.31621831192</v>
      </c>
      <c r="K453" s="0" t="n">
        <f aca="false">W_PH(K$2,$A453)</f>
        <v>1008.3168202372</v>
      </c>
      <c r="L453" s="0" t="n">
        <f aca="false">W_PH(L$2,$A453)</f>
        <v>1008.31742216296</v>
      </c>
      <c r="M453" s="0" t="n">
        <f aca="false">W_PH(M$2,$A453)</f>
        <v>1008.31802292926</v>
      </c>
      <c r="N453" s="0" t="n">
        <f aca="false">W_PH(N$2,$A453)</f>
        <v>1008.3186260159</v>
      </c>
      <c r="O453" s="0" t="n">
        <f aca="false">W_PH(O$2,$A453)</f>
        <v>1008.31922678316</v>
      </c>
      <c r="P453" s="0" t="n">
        <f aca="false">W_PH(P$2,$A453)</f>
        <v>1008.32524608154</v>
      </c>
      <c r="Q453" s="0" t="n">
        <f aca="false">W_PH(Q$2,$A453)</f>
        <v>1008.33126426862</v>
      </c>
      <c r="R453" s="0" t="n">
        <f aca="false">W_PH(R$2,$A453)</f>
        <v>1008.33728250502</v>
      </c>
      <c r="S453" s="0" t="n">
        <f aca="false">W_PH(S$2,$A453)</f>
        <v>1008.34330079143</v>
      </c>
      <c r="T453" s="0" t="n">
        <f aca="false">W_PH(T$2,$A453)</f>
        <v>1008.34931912855</v>
      </c>
      <c r="U453" s="0" t="n">
        <f aca="false">W_PH(U$2,$A453)</f>
        <v>1008.35533867707</v>
      </c>
      <c r="V453" s="0" t="n">
        <f aca="false">W_PH(V$2,$A453)</f>
        <v>1008.36135595768</v>
      </c>
      <c r="W453" s="0" t="n">
        <f aca="false">W_PH(W$2,$A453)</f>
        <v>1008.36737561111</v>
      </c>
      <c r="X453" s="0" t="n">
        <f aca="false">W_PH(X$2,$A453)</f>
        <v>1008.37339299797</v>
      </c>
      <c r="Y453" s="0" t="n">
        <f aca="false">W_PH(Y$2,$A453)</f>
        <v>1008.43358272098</v>
      </c>
      <c r="Z453" s="0" t="n">
        <f aca="false">W_PH(Z$2,$A453)</f>
        <v>1008.4937762345</v>
      </c>
      <c r="AA453" s="0" t="n">
        <f aca="false">W_PH(AA$2,$A453)</f>
        <v>1008.55397539158</v>
      </c>
      <c r="AB453" s="0" t="n">
        <f aca="false">W_PH(AB$2,$A453)</f>
        <v>1008.61418204579</v>
      </c>
      <c r="AC453" s="0" t="n">
        <f aca="false">W_PH(AC$2,$A453)</f>
        <v>1008.67439456915</v>
      </c>
      <c r="AD453" s="0" t="n">
        <f aca="false">W_PH(AD$2,$A453)</f>
        <v>1008.7346159759</v>
      </c>
      <c r="AE453" s="0" t="n">
        <f aca="false">W_PH(AE$2,$A453)</f>
        <v>1008.79484463751</v>
      </c>
      <c r="AF453" s="0" t="n">
        <f aca="false">W_PH(AF$2,$A453)</f>
        <v>1008.85508356876</v>
      </c>
      <c r="AG453" s="0" t="n">
        <f aca="false">W_PH(AG$2,$A453)</f>
        <v>1008.91533114057</v>
      </c>
      <c r="AH453" s="0" t="n">
        <f aca="false">W_PH(AH$2,$A453)</f>
        <v>1009.51848793156</v>
      </c>
      <c r="AI453" s="0" t="n">
        <f aca="false">W_PH(AI$2,$A453)</f>
        <v>1010.12334170536</v>
      </c>
      <c r="AJ453" s="0" t="n">
        <f aca="false">W_PH(AJ$2,$A453)</f>
        <v>1010.7305572658</v>
      </c>
      <c r="AK453" s="0" t="n">
        <f aca="false">W_PH(AK$2,$A453)</f>
        <v>1011.34079695612</v>
      </c>
      <c r="AL453" s="0" t="n">
        <f aca="false">W_PH(AL$2,$A453)</f>
        <v>1011.95472535273</v>
      </c>
      <c r="AM453" s="0" t="n">
        <f aca="false">W_PH(AM$2,$A453)</f>
        <v>1012.57300581537</v>
      </c>
      <c r="AN453" s="0" t="n">
        <f aca="false">W_PH(AN$2,$A453)</f>
        <v>1013.19630287307</v>
      </c>
      <c r="AO453" s="0" t="n">
        <f aca="false">W_PH(AO$2,$A453)</f>
        <v>1013.82527877709</v>
      </c>
      <c r="AP453" s="0" t="n">
        <f aca="false">W_PH(AP$2,$A453)</f>
        <v>2015</v>
      </c>
      <c r="AQ453" s="0" t="n">
        <f aca="false">W_PH(AQ$2,$A453)</f>
        <v>2015</v>
      </c>
      <c r="AR453" s="0" t="n">
        <f aca="false">W_PH(AR$2,$A453)</f>
        <v>2015</v>
      </c>
      <c r="AS453" s="0" t="n">
        <f aca="false">W_PH(AS$2,$A453)</f>
        <v>2015</v>
      </c>
    </row>
    <row r="454" customFormat="false" ht="13.8" hidden="false" customHeight="false" outlineLevel="0" collapsed="false">
      <c r="A454" s="0" t="n">
        <v>6140</v>
      </c>
      <c r="B454" s="0" t="n">
        <f aca="false">W_PH(B$2,$A454)</f>
        <v>1009.24717505288</v>
      </c>
      <c r="C454" s="0" t="n">
        <f aca="false">W_PH(C$2,$A454)</f>
        <v>1009.24723639324</v>
      </c>
      <c r="D454" s="0" t="n">
        <f aca="false">W_PH(D$2,$A454)</f>
        <v>1009.24729541585</v>
      </c>
      <c r="E454" s="0" t="n">
        <f aca="false">W_PH(E$2,$A454)</f>
        <v>1009.24735675622</v>
      </c>
      <c r="F454" s="0" t="n">
        <f aca="false">W_PH(F$2,$A454)</f>
        <v>1009.24741577883</v>
      </c>
      <c r="G454" s="0" t="n">
        <f aca="false">W_PH(G$2,$A454)</f>
        <v>1009.24801875292</v>
      </c>
      <c r="H454" s="0" t="n">
        <f aca="false">W_PH(H$2,$A454)</f>
        <v>1009.24862056859</v>
      </c>
      <c r="I454" s="0" t="n">
        <f aca="false">W_PH(I$2,$A454)</f>
        <v>1009.24922354361</v>
      </c>
      <c r="J454" s="0" t="n">
        <f aca="false">W_PH(J$2,$A454)</f>
        <v>1009.24982536022</v>
      </c>
      <c r="K454" s="0" t="n">
        <f aca="false">W_PH(K$2,$A454)</f>
        <v>1009.2504271773</v>
      </c>
      <c r="L454" s="0" t="n">
        <f aca="false">W_PH(L$2,$A454)</f>
        <v>1009.25102899485</v>
      </c>
      <c r="M454" s="0" t="n">
        <f aca="false">W_PH(M$2,$A454)</f>
        <v>1009.25163081287</v>
      </c>
      <c r="N454" s="0" t="n">
        <f aca="false">W_PH(N$2,$A454)</f>
        <v>1009.25223379026</v>
      </c>
      <c r="O454" s="0" t="n">
        <f aca="false">W_PH(O$2,$A454)</f>
        <v>1009.25283560922</v>
      </c>
      <c r="P454" s="0" t="n">
        <f aca="false">W_PH(P$2,$A454)</f>
        <v>1009.25885730172</v>
      </c>
      <c r="Q454" s="0" t="n">
        <f aca="false">W_PH(Q$2,$A454)</f>
        <v>1009.26487788337</v>
      </c>
      <c r="R454" s="0" t="n">
        <f aca="false">W_PH(R$2,$A454)</f>
        <v>1009.27090083161</v>
      </c>
      <c r="S454" s="0" t="n">
        <f aca="false">W_PH(S$2,$A454)</f>
        <v>1009.27692151142</v>
      </c>
      <c r="T454" s="0" t="n">
        <f aca="false">W_PH(T$2,$A454)</f>
        <v>1009.28294455926</v>
      </c>
      <c r="U454" s="0" t="n">
        <f aca="false">W_PH(U$2,$A454)</f>
        <v>1009.28896534001</v>
      </c>
      <c r="V454" s="0" t="n">
        <f aca="false">W_PH(V$2,$A454)</f>
        <v>1009.29498733123</v>
      </c>
      <c r="W454" s="0" t="n">
        <f aca="false">W_PH(W$2,$A454)</f>
        <v>1009.30100937465</v>
      </c>
      <c r="X454" s="0" t="n">
        <f aca="false">W_PH(X$2,$A454)</f>
        <v>1009.30703031196</v>
      </c>
      <c r="Y454" s="0" t="n">
        <f aca="false">W_PH(Y$2,$A454)</f>
        <v>1009.36725201768</v>
      </c>
      <c r="Z454" s="0" t="n">
        <f aca="false">W_PH(Z$2,$A454)</f>
        <v>1009.42747745275</v>
      </c>
      <c r="AA454" s="0" t="n">
        <f aca="false">W_PH(AA$2,$A454)</f>
        <v>1009.48770962521</v>
      </c>
      <c r="AB454" s="0" t="n">
        <f aca="false">W_PH(AB$2,$A454)</f>
        <v>1009.54794690604</v>
      </c>
      <c r="AC454" s="0" t="n">
        <f aca="false">W_PH(AC$2,$A454)</f>
        <v>1009.60819114413</v>
      </c>
      <c r="AD454" s="0" t="n">
        <f aca="false">W_PH(AD$2,$A454)</f>
        <v>1009.66844418889</v>
      </c>
      <c r="AE454" s="0" t="n">
        <f aca="false">W_PH(AE$2,$A454)</f>
        <v>1009.7287044105</v>
      </c>
      <c r="AF454" s="0" t="n">
        <f aca="false">W_PH(AF$2,$A454)</f>
        <v>1009.78897365824</v>
      </c>
      <c r="AG454" s="0" t="n">
        <f aca="false">W_PH(AG$2,$A454)</f>
        <v>1009.84925262171</v>
      </c>
      <c r="AH454" s="0" t="n">
        <f aca="false">W_PH(AH$2,$A454)</f>
        <v>1010.45271904189</v>
      </c>
      <c r="AI454" s="0" t="n">
        <f aca="false">W_PH(AI$2,$A454)</f>
        <v>1011.0578713769</v>
      </c>
      <c r="AJ454" s="0" t="n">
        <f aca="false">W_PH(AJ$2,$A454)</f>
        <v>1011.66537343951</v>
      </c>
      <c r="AK454" s="0" t="n">
        <f aca="false">W_PH(AK$2,$A454)</f>
        <v>1012.27588194433</v>
      </c>
      <c r="AL454" s="0" t="n">
        <f aca="false">W_PH(AL$2,$A454)</f>
        <v>1012.89005933718</v>
      </c>
      <c r="AM454" s="0" t="n">
        <f aca="false">W_PH(AM$2,$A454)</f>
        <v>1013.50856569576</v>
      </c>
      <c r="AN454" s="0" t="n">
        <f aca="false">W_PH(AN$2,$A454)</f>
        <v>1014.13206110681</v>
      </c>
      <c r="AO454" s="0" t="n">
        <f aca="false">W_PH(AO$2,$A454)</f>
        <v>1014.7612057258</v>
      </c>
      <c r="AP454" s="0" t="n">
        <f aca="false">W_PH(AP$2,$A454)</f>
        <v>2015</v>
      </c>
      <c r="AQ454" s="0" t="n">
        <f aca="false">W_PH(AQ$2,$A454)</f>
        <v>2015</v>
      </c>
      <c r="AR454" s="0" t="n">
        <f aca="false">W_PH(AR$2,$A454)</f>
        <v>2015</v>
      </c>
      <c r="AS454" s="0" t="n">
        <f aca="false">W_PH(AS$2,$A454)</f>
        <v>2015</v>
      </c>
    </row>
    <row r="455" customFormat="false" ht="13.8" hidden="false" customHeight="false" outlineLevel="0" collapsed="false">
      <c r="A455" s="0" t="n">
        <v>6150</v>
      </c>
      <c r="B455" s="0" t="n">
        <f aca="false">W_PH(B$2,$A455)</f>
        <v>1010.17944992034</v>
      </c>
      <c r="C455" s="0" t="n">
        <f aca="false">W_PH(C$2,$A455)</f>
        <v>1010.17951020571</v>
      </c>
      <c r="D455" s="0" t="n">
        <f aca="false">W_PH(D$2,$A455)</f>
        <v>1010.17957049108</v>
      </c>
      <c r="E455" s="0" t="n">
        <f aca="false">W_PH(E$2,$A455)</f>
        <v>1010.17963077646</v>
      </c>
      <c r="F455" s="0" t="n">
        <f aca="false">W_PH(F$2,$A455)</f>
        <v>1010.17969106185</v>
      </c>
      <c r="G455" s="0" t="n">
        <f aca="false">W_PH(G$2,$A455)</f>
        <v>1010.18029391594</v>
      </c>
      <c r="H455" s="0" t="n">
        <f aca="false">W_PH(H$2,$A455)</f>
        <v>1010.18089561264</v>
      </c>
      <c r="I455" s="0" t="n">
        <f aca="false">W_PH(I$2,$A455)</f>
        <v>1010.1814973098</v>
      </c>
      <c r="J455" s="0" t="n">
        <f aca="false">W_PH(J$2,$A455)</f>
        <v>1010.18210016528</v>
      </c>
      <c r="K455" s="0" t="n">
        <f aca="false">W_PH(K$2,$A455)</f>
        <v>1010.18270302122</v>
      </c>
      <c r="L455" s="0" t="n">
        <f aca="false">W_PH(L$2,$A455)</f>
        <v>1010.18330587763</v>
      </c>
      <c r="M455" s="0" t="n">
        <f aca="false">W_PH(M$2,$A455)</f>
        <v>1010.18390873451</v>
      </c>
      <c r="N455" s="0" t="n">
        <f aca="false">W_PH(N$2,$A455)</f>
        <v>1010.18451043399</v>
      </c>
      <c r="O455" s="0" t="n">
        <f aca="false">W_PH(O$2,$A455)</f>
        <v>1010.18511213395</v>
      </c>
      <c r="P455" s="0" t="n">
        <f aca="false">W_PH(P$2,$A455)</f>
        <v>1010.19113842221</v>
      </c>
      <c r="Q455" s="0" t="n">
        <f aca="false">W_PH(Q$2,$A455)</f>
        <v>1010.19716244224</v>
      </c>
      <c r="R455" s="0" t="n">
        <f aca="false">W_PH(R$2,$A455)</f>
        <v>1010.20318651043</v>
      </c>
      <c r="S455" s="0" t="n">
        <f aca="false">W_PH(S$2,$A455)</f>
        <v>1010.20921178539</v>
      </c>
      <c r="T455" s="0" t="n">
        <f aca="false">W_PH(T$2,$A455)</f>
        <v>1010.21523710992</v>
      </c>
      <c r="U455" s="0" t="n">
        <f aca="false">W_PH(U$2,$A455)</f>
        <v>1010.22126132676</v>
      </c>
      <c r="V455" s="0" t="n">
        <f aca="false">W_PH(V$2,$A455)</f>
        <v>1010.22728559452</v>
      </c>
      <c r="W455" s="0" t="n">
        <f aca="false">W_PH(W$2,$A455)</f>
        <v>1010.23331107184</v>
      </c>
      <c r="X455" s="0" t="n">
        <f aca="false">W_PH(X$2,$A455)</f>
        <v>1010.23933660148</v>
      </c>
      <c r="Y455" s="0" t="n">
        <f aca="false">W_PH(Y$2,$A455)</f>
        <v>1010.2995879775</v>
      </c>
      <c r="Z455" s="0" t="n">
        <f aca="false">W_PH(Z$2,$A455)</f>
        <v>1010.35984533866</v>
      </c>
      <c r="AA455" s="0" t="n">
        <f aca="false">W_PH(AA$2,$A455)</f>
        <v>1010.42010705492</v>
      </c>
      <c r="AB455" s="0" t="n">
        <f aca="false">W_PH(AB$2,$A455)</f>
        <v>1010.48037612916</v>
      </c>
      <c r="AC455" s="0" t="n">
        <f aca="false">W_PH(AC$2,$A455)</f>
        <v>1010.54065324803</v>
      </c>
      <c r="AD455" s="0" t="n">
        <f aca="false">W_PH(AD$2,$A455)</f>
        <v>1010.60093562198</v>
      </c>
      <c r="AE455" s="0" t="n">
        <f aca="false">W_PH(AE$2,$A455)</f>
        <v>1010.66122741312</v>
      </c>
      <c r="AF455" s="0" t="n">
        <f aca="false">W_PH(AF$2,$A455)</f>
        <v>1010.72152814912</v>
      </c>
      <c r="AG455" s="0" t="n">
        <f aca="false">W_PH(AG$2,$A455)</f>
        <v>1010.7818373571</v>
      </c>
      <c r="AH455" s="0" t="n">
        <f aca="false">W_PH(AH$2,$A455)</f>
        <v>1011.38560663014</v>
      </c>
      <c r="AI455" s="0" t="n">
        <f aca="false">W_PH(AI$2,$A455)</f>
        <v>1011.99105436127</v>
      </c>
      <c r="AJ455" s="0" t="n">
        <f aca="false">W_PH(AJ$2,$A455)</f>
        <v>1012.5988340998</v>
      </c>
      <c r="AK455" s="0" t="n">
        <f aca="false">W_PH(AK$2,$A455)</f>
        <v>1013.20960625421</v>
      </c>
      <c r="AL455" s="0" t="n">
        <f aca="false">W_PH(AL$2,$A455)</f>
        <v>1013.82402651073</v>
      </c>
      <c r="AM455" s="0" t="n">
        <f aca="false">W_PH(AM$2,$A455)</f>
        <v>1014.44275285125</v>
      </c>
      <c r="AN455" s="0" t="n">
        <f aca="false">W_PH(AN$2,$A455)</f>
        <v>1015.06644328085</v>
      </c>
      <c r="AO455" s="0" t="n">
        <f aca="false">W_PH(AO$2,$A455)</f>
        <v>1015.69575354905</v>
      </c>
      <c r="AP455" s="0" t="n">
        <f aca="false">W_PH(AP$2,$A455)</f>
        <v>2015</v>
      </c>
      <c r="AQ455" s="0" t="n">
        <f aca="false">W_PH(AQ$2,$A455)</f>
        <v>2015</v>
      </c>
      <c r="AR455" s="0" t="n">
        <f aca="false">W_PH(AR$2,$A455)</f>
        <v>2015</v>
      </c>
      <c r="AS455" s="0" t="n">
        <f aca="false">W_PH(AS$2,$A455)</f>
        <v>2015</v>
      </c>
    </row>
    <row r="456" customFormat="false" ht="13.8" hidden="false" customHeight="false" outlineLevel="0" collapsed="false">
      <c r="A456" s="0" t="n">
        <v>6160</v>
      </c>
      <c r="B456" s="0" t="n">
        <f aca="false">W_PH(B$2,$A456)</f>
        <v>1011.11039835061</v>
      </c>
      <c r="C456" s="0" t="n">
        <f aca="false">W_PH(C$2,$A456)</f>
        <v>1011.11045989542</v>
      </c>
      <c r="D456" s="0" t="n">
        <f aca="false">W_PH(D$2,$A456)</f>
        <v>1011.11051912659</v>
      </c>
      <c r="E456" s="0" t="n">
        <f aca="false">W_PH(E$2,$A456)</f>
        <v>1011.11057951458</v>
      </c>
      <c r="F456" s="0" t="n">
        <f aca="false">W_PH(F$2,$A456)</f>
        <v>1011.11063990258</v>
      </c>
      <c r="G456" s="0" t="n">
        <f aca="false">W_PH(G$2,$A456)</f>
        <v>1011.11124262602</v>
      </c>
      <c r="H456" s="0" t="n">
        <f aca="false">W_PH(H$2,$A456)</f>
        <v>1011.11184534991</v>
      </c>
      <c r="I456" s="0" t="n">
        <f aca="false">W_PH(I$2,$A456)</f>
        <v>1011.11244807425</v>
      </c>
      <c r="J456" s="0" t="n">
        <f aca="false">W_PH(J$2,$A456)</f>
        <v>1011.11305079906</v>
      </c>
      <c r="K456" s="0" t="n">
        <f aca="false">W_PH(K$2,$A456)</f>
        <v>1011.11365468115</v>
      </c>
      <c r="L456" s="0" t="n">
        <f aca="false">W_PH(L$2,$A456)</f>
        <v>1011.11425625005</v>
      </c>
      <c r="M456" s="0" t="n">
        <f aca="false">W_PH(M$2,$A456)</f>
        <v>1011.11486013306</v>
      </c>
      <c r="N456" s="0" t="n">
        <f aca="false">W_PH(N$2,$A456)</f>
        <v>1011.11546170288</v>
      </c>
      <c r="O456" s="0" t="n">
        <f aca="false">W_PH(O$2,$A456)</f>
        <v>1011.11606558682</v>
      </c>
      <c r="P456" s="0" t="n">
        <f aca="false">W_PH(P$2,$A456)</f>
        <v>1011.12209288346</v>
      </c>
      <c r="Q456" s="0" t="n">
        <f aca="false">W_PH(Q$2,$A456)</f>
        <v>1011.12812022704</v>
      </c>
      <c r="R456" s="0" t="n">
        <f aca="false">W_PH(R$2,$A456)</f>
        <v>1011.13414761823</v>
      </c>
      <c r="S456" s="0" t="n">
        <f aca="false">W_PH(S$2,$A456)</f>
        <v>1011.14017505771</v>
      </c>
      <c r="T456" s="0" t="n">
        <f aca="false">W_PH(T$2,$A456)</f>
        <v>1011.14620370307</v>
      </c>
      <c r="U456" s="0" t="n">
        <f aca="false">W_PH(U$2,$A456)</f>
        <v>1011.15223239813</v>
      </c>
      <c r="V456" s="0" t="n">
        <f aca="false">W_PH(V$2,$A456)</f>
        <v>1011.15825998663</v>
      </c>
      <c r="W456" s="0" t="n">
        <f aca="false">W_PH(W$2,$A456)</f>
        <v>1011.16428762617</v>
      </c>
      <c r="X456" s="0" t="n">
        <f aca="false">W_PH(X$2,$A456)</f>
        <v>1011.17031531742</v>
      </c>
      <c r="Y456" s="0" t="n">
        <f aca="false">W_PH(Y$2,$A456)</f>
        <v>1011.23059753871</v>
      </c>
      <c r="Z456" s="0" t="n">
        <f aca="false">W_PH(Z$2,$A456)</f>
        <v>1011.29088568366</v>
      </c>
      <c r="AA456" s="0" t="n">
        <f aca="false">W_PH(AA$2,$A456)</f>
        <v>1011.35117927827</v>
      </c>
      <c r="AB456" s="0" t="n">
        <f aca="false">W_PH(AB$2,$A456)</f>
        <v>1011.41147784806</v>
      </c>
      <c r="AC456" s="0" t="n">
        <f aca="false">W_PH(AC$2,$A456)</f>
        <v>1011.47178439076</v>
      </c>
      <c r="AD456" s="0" t="n">
        <f aca="false">W_PH(AD$2,$A456)</f>
        <v>1011.53209843201</v>
      </c>
      <c r="AE456" s="0" t="n">
        <f aca="false">W_PH(AE$2,$A456)</f>
        <v>1011.59242065476</v>
      </c>
      <c r="AF456" s="0" t="n">
        <f aca="false">W_PH(AF$2,$A456)</f>
        <v>1011.65275174196</v>
      </c>
      <c r="AG456" s="0" t="n">
        <f aca="false">W_PH(AG$2,$A456)</f>
        <v>1011.71309121848</v>
      </c>
      <c r="AH456" s="0" t="n">
        <f aca="false">W_PH(AH$2,$A456)</f>
        <v>1012.31715784629</v>
      </c>
      <c r="AI456" s="0" t="n">
        <f aca="false">W_PH(AI$2,$A456)</f>
        <v>1012.92289095375</v>
      </c>
      <c r="AJ456" s="0" t="n">
        <f aca="false">W_PH(AJ$2,$A456)</f>
        <v>1013.53094546668</v>
      </c>
      <c r="AK456" s="0" t="n">
        <f aca="false">W_PH(AK$2,$A456)</f>
        <v>1014.14197505273</v>
      </c>
      <c r="AL456" s="0" t="n">
        <f aca="false">W_PH(AL$2,$A456)</f>
        <v>1014.75663331431</v>
      </c>
      <c r="AM456" s="0" t="n">
        <f aca="false">W_PH(AM$2,$A456)</f>
        <v>1015.37557383117</v>
      </c>
      <c r="AN456" s="0" t="n">
        <f aca="false">W_PH(AN$2,$A456)</f>
        <v>1015.99945254387</v>
      </c>
      <c r="AO456" s="0" t="n">
        <f aca="false">W_PH(AO$2,$A456)</f>
        <v>1016.62892315285</v>
      </c>
      <c r="AP456" s="0" t="n">
        <f aca="false">W_PH(AP$2,$A456)</f>
        <v>2015</v>
      </c>
      <c r="AQ456" s="0" t="n">
        <f aca="false">W_PH(AQ$2,$A456)</f>
        <v>2015</v>
      </c>
      <c r="AR456" s="0" t="n">
        <f aca="false">W_PH(AR$2,$A456)</f>
        <v>2015</v>
      </c>
      <c r="AS456" s="0" t="n">
        <f aca="false">W_PH(AS$2,$A456)</f>
        <v>2015</v>
      </c>
    </row>
    <row r="457" customFormat="false" ht="13.8" hidden="false" customHeight="false" outlineLevel="0" collapsed="false">
      <c r="A457" s="0" t="n">
        <v>6170</v>
      </c>
      <c r="B457" s="0" t="n">
        <f aca="false">W_PH(B$2,$A457)</f>
        <v>1012.04002837859</v>
      </c>
      <c r="C457" s="0" t="n">
        <f aca="false">W_PH(C$2,$A457)</f>
        <v>1012.04008886793</v>
      </c>
      <c r="D457" s="0" t="n">
        <f aca="false">W_PH(D$2,$A457)</f>
        <v>1012.04014935728</v>
      </c>
      <c r="E457" s="0" t="n">
        <f aca="false">W_PH(E$2,$A457)</f>
        <v>1012.04020869084</v>
      </c>
      <c r="F457" s="0" t="n">
        <f aca="false">W_PH(F$2,$A457)</f>
        <v>1012.040270336</v>
      </c>
      <c r="G457" s="0" t="n">
        <f aca="false">W_PH(G$2,$A457)</f>
        <v>1012.04087291824</v>
      </c>
      <c r="H457" s="0" t="n">
        <f aca="false">W_PH(H$2,$A457)</f>
        <v>1012.04147550094</v>
      </c>
      <c r="I457" s="0" t="n">
        <f aca="false">W_PH(I$2,$A457)</f>
        <v>1012.04207808409</v>
      </c>
      <c r="J457" s="0" t="n">
        <f aca="false">W_PH(J$2,$A457)</f>
        <v>1012.04268182349</v>
      </c>
      <c r="K457" s="0" t="n">
        <f aca="false">W_PH(K$2,$A457)</f>
        <v>1012.04328556335</v>
      </c>
      <c r="L457" s="0" t="n">
        <f aca="false">W_PH(L$2,$A457)</f>
        <v>1012.04388814786</v>
      </c>
      <c r="M457" s="0" t="n">
        <f aca="false">W_PH(M$2,$A457)</f>
        <v>1012.04449073283</v>
      </c>
      <c r="N457" s="0" t="n">
        <f aca="false">W_PH(N$2,$A457)</f>
        <v>1012.04509447405</v>
      </c>
      <c r="O457" s="0" t="n">
        <f aca="false">W_PH(O$2,$A457)</f>
        <v>1012.04569821573</v>
      </c>
      <c r="P457" s="0" t="n">
        <f aca="false">W_PH(P$2,$A457)</f>
        <v>1012.05172872298</v>
      </c>
      <c r="Q457" s="0" t="n">
        <f aca="false">W_PH(Q$2,$A457)</f>
        <v>1012.05775927661</v>
      </c>
      <c r="R457" s="0" t="n">
        <f aca="false">W_PH(R$2,$A457)</f>
        <v>1012.06378987731</v>
      </c>
      <c r="S457" s="0" t="n">
        <f aca="false">W_PH(S$2,$A457)</f>
        <v>1012.06982052576</v>
      </c>
      <c r="T457" s="0" t="n">
        <f aca="false">W_PH(T$2,$A457)</f>
        <v>1012.07585122264</v>
      </c>
      <c r="U457" s="0" t="n">
        <f aca="false">W_PH(U$2,$A457)</f>
        <v>1012.08188196862</v>
      </c>
      <c r="V457" s="0" t="n">
        <f aca="false">W_PH(V$2,$A457)</f>
        <v>1012.08791276439</v>
      </c>
      <c r="W457" s="0" t="n">
        <f aca="false">W_PH(W$2,$A457)</f>
        <v>1012.09394361063</v>
      </c>
      <c r="X457" s="0" t="n">
        <f aca="false">W_PH(X$2,$A457)</f>
        <v>1012.09997450802</v>
      </c>
      <c r="Y457" s="0" t="n">
        <f aca="false">W_PH(Y$2,$A457)</f>
        <v>1012.16028875678</v>
      </c>
      <c r="Z457" s="0" t="n">
        <f aca="false">W_PH(Z$2,$A457)</f>
        <v>1012.2206054004</v>
      </c>
      <c r="AA457" s="0" t="n">
        <f aca="false">W_PH(AA$2,$A457)</f>
        <v>1012.2809285867</v>
      </c>
      <c r="AB457" s="0" t="n">
        <f aca="false">W_PH(AB$2,$A457)</f>
        <v>1012.34125783928</v>
      </c>
      <c r="AC457" s="0" t="n">
        <f aca="false">W_PH(AC$2,$A457)</f>
        <v>1012.4015938378</v>
      </c>
      <c r="AD457" s="0" t="n">
        <f aca="false">W_PH(AD$2,$A457)</f>
        <v>1012.46193726194</v>
      </c>
      <c r="AE457" s="0" t="n">
        <f aca="false">W_PH(AE$2,$A457)</f>
        <v>1012.52228879133</v>
      </c>
      <c r="AF457" s="0" t="n">
        <f aca="false">W_PH(AF$2,$A457)</f>
        <v>1012.58264910564</v>
      </c>
      <c r="AG457" s="0" t="n">
        <f aca="false">W_PH(AG$2,$A457)</f>
        <v>1012.64301888453</v>
      </c>
      <c r="AH457" s="0" t="n">
        <f aca="false">W_PH(AH$2,$A457)</f>
        <v>1013.24737748186</v>
      </c>
      <c r="AI457" s="0" t="n">
        <f aca="false">W_PH(AI$2,$A457)</f>
        <v>1013.85339186752</v>
      </c>
      <c r="AJ457" s="0" t="n">
        <f aca="false">W_PH(AJ$2,$A457)</f>
        <v>1014.46171488013</v>
      </c>
      <c r="AK457" s="0" t="n">
        <f aca="false">W_PH(AK$2,$A457)</f>
        <v>1015.07299579281</v>
      </c>
      <c r="AL457" s="0" t="n">
        <f aca="false">W_PH(AL$2,$A457)</f>
        <v>1015.68788614504</v>
      </c>
      <c r="AM457" s="0" t="n">
        <f aca="false">W_PH(AM$2,$A457)</f>
        <v>1016.30703630376</v>
      </c>
      <c r="AN457" s="0" t="n">
        <f aca="false">W_PH(AN$2,$A457)</f>
        <v>1016.93109900354</v>
      </c>
      <c r="AO457" s="0" t="n">
        <f aca="false">W_PH(AO$2,$A457)</f>
        <v>1017.56072474938</v>
      </c>
      <c r="AP457" s="0" t="n">
        <f aca="false">W_PH(AP$2,$A457)</f>
        <v>2015</v>
      </c>
      <c r="AQ457" s="0" t="n">
        <f aca="false">W_PH(AQ$2,$A457)</f>
        <v>2015</v>
      </c>
      <c r="AR457" s="0" t="n">
        <f aca="false">W_PH(AR$2,$A457)</f>
        <v>2015</v>
      </c>
      <c r="AS457" s="0" t="n">
        <f aca="false">W_PH(AS$2,$A457)</f>
        <v>2015</v>
      </c>
    </row>
    <row r="458" customFormat="false" ht="13.8" hidden="false" customHeight="false" outlineLevel="0" collapsed="false">
      <c r="A458" s="0" t="n">
        <v>6180</v>
      </c>
      <c r="B458" s="0" t="n">
        <f aca="false">W_PH(B$2,$A458)</f>
        <v>1012.96834453256</v>
      </c>
      <c r="C458" s="0" t="n">
        <f aca="false">W_PH(C$2,$A458)</f>
        <v>1012.96840512202</v>
      </c>
      <c r="D458" s="0" t="n">
        <f aca="false">W_PH(D$2,$A458)</f>
        <v>1012.96846455671</v>
      </c>
      <c r="E458" s="0" t="n">
        <f aca="false">W_PH(E$2,$A458)</f>
        <v>1012.96852630095</v>
      </c>
      <c r="F458" s="0" t="n">
        <f aca="false">W_PH(F$2,$A458)</f>
        <v>1012.96858573565</v>
      </c>
      <c r="G458" s="0" t="n">
        <f aca="false">W_PH(G$2,$A458)</f>
        <v>1012.96918932108</v>
      </c>
      <c r="H458" s="0" t="n">
        <f aca="false">W_PH(H$2,$A458)</f>
        <v>1012.96979290696</v>
      </c>
      <c r="I458" s="0" t="n">
        <f aca="false">W_PH(I$2,$A458)</f>
        <v>1012.97039649329</v>
      </c>
      <c r="J458" s="0" t="n">
        <f aca="false">W_PH(J$2,$A458)</f>
        <v>1012.97100008006</v>
      </c>
      <c r="K458" s="0" t="n">
        <f aca="false">W_PH(K$2,$A458)</f>
        <v>1012.97160251251</v>
      </c>
      <c r="L458" s="0" t="n">
        <f aca="false">W_PH(L$2,$A458)</f>
        <v>1012.97220610018</v>
      </c>
      <c r="M458" s="0" t="n">
        <f aca="false">W_PH(M$2,$A458)</f>
        <v>1012.97280853352</v>
      </c>
      <c r="N458" s="0" t="n">
        <f aca="false">W_PH(N$2,$A458)</f>
        <v>1012.97341212209</v>
      </c>
      <c r="O458" s="0" t="n">
        <f aca="false">W_PH(O$2,$A458)</f>
        <v>1012.97401571111</v>
      </c>
      <c r="P458" s="0" t="n">
        <f aca="false">W_PH(P$2,$A458)</f>
        <v>1012.98004931674</v>
      </c>
      <c r="Q458" s="0" t="n">
        <f aca="false">W_PH(Q$2,$A458)</f>
        <v>1012.98608296822</v>
      </c>
      <c r="R458" s="0" t="n">
        <f aca="false">W_PH(R$2,$A458)</f>
        <v>1012.99211666623</v>
      </c>
      <c r="S458" s="0" t="n">
        <f aca="false">W_PH(S$2,$A458)</f>
        <v>1012.99815041144</v>
      </c>
      <c r="T458" s="0" t="n">
        <f aca="false">W_PH(T$2,$A458)</f>
        <v>1013.00418420453</v>
      </c>
      <c r="U458" s="0" t="n">
        <f aca="false">W_PH(U$2,$A458)</f>
        <v>1013.01021804618</v>
      </c>
      <c r="V458" s="0" t="n">
        <f aca="false">W_PH(V$2,$A458)</f>
        <v>1013.01625193707</v>
      </c>
      <c r="W458" s="0" t="n">
        <f aca="false">W_PH(W$2,$A458)</f>
        <v>1013.02228587787</v>
      </c>
      <c r="X458" s="0" t="n">
        <f aca="false">W_PH(X$2,$A458)</f>
        <v>1013.02831986926</v>
      </c>
      <c r="Y458" s="0" t="n">
        <f aca="false">W_PH(Y$2,$A458)</f>
        <v>1013.08866271441</v>
      </c>
      <c r="Z458" s="0" t="n">
        <f aca="false">W_PH(Z$2,$A458)</f>
        <v>1013.1490090526</v>
      </c>
      <c r="AA458" s="0" t="n">
        <f aca="false">W_PH(AA$2,$A458)</f>
        <v>1013.20936187037</v>
      </c>
      <c r="AB458" s="0" t="n">
        <f aca="false">W_PH(AB$2,$A458)</f>
        <v>1013.26971953369</v>
      </c>
      <c r="AC458" s="0" t="n">
        <f aca="false">W_PH(AC$2,$A458)</f>
        <v>1013.33008502963</v>
      </c>
      <c r="AD458" s="0" t="n">
        <f aca="false">W_PH(AD$2,$A458)</f>
        <v>1013.39045903492</v>
      </c>
      <c r="AE458" s="0" t="n">
        <f aca="false">W_PH(AE$2,$A458)</f>
        <v>1013.45083875903</v>
      </c>
      <c r="AF458" s="0" t="n">
        <f aca="false">W_PH(AF$2,$A458)</f>
        <v>1013.51122834528</v>
      </c>
      <c r="AG458" s="0" t="n">
        <f aca="false">W_PH(AG$2,$A458)</f>
        <v>1013.57162731439</v>
      </c>
      <c r="AH458" s="0" t="n">
        <f aca="false">W_PH(AH$2,$A458)</f>
        <v>1014.17627029532</v>
      </c>
      <c r="AI458" s="0" t="n">
        <f aca="false">W_PH(AI$2,$A458)</f>
        <v>1014.78256080905</v>
      </c>
      <c r="AJ458" s="0" t="n">
        <f aca="false">W_PH(AJ$2,$A458)</f>
        <v>1015.39114615647</v>
      </c>
      <c r="AK458" s="0" t="n">
        <f aca="false">W_PH(AK$2,$A458)</f>
        <v>1016.00267239858</v>
      </c>
      <c r="AL458" s="0" t="n">
        <f aca="false">W_PH(AL$2,$A458)</f>
        <v>1016.61778903267</v>
      </c>
      <c r="AM458" s="0" t="n">
        <f aca="false">W_PH(AM$2,$A458)</f>
        <v>1017.23714556177</v>
      </c>
      <c r="AN458" s="0" t="n">
        <f aca="false">W_PH(AN$2,$A458)</f>
        <v>1017.86138688663</v>
      </c>
      <c r="AO458" s="0" t="n">
        <f aca="false">W_PH(AO$2,$A458)</f>
        <v>1018.49116149787</v>
      </c>
      <c r="AP458" s="0" t="n">
        <f aca="false">W_PH(AP$2,$A458)</f>
        <v>2015</v>
      </c>
      <c r="AQ458" s="0" t="n">
        <f aca="false">W_PH(AQ$2,$A458)</f>
        <v>2015</v>
      </c>
      <c r="AR458" s="0" t="n">
        <f aca="false">W_PH(AR$2,$A458)</f>
        <v>2015</v>
      </c>
      <c r="AS458" s="0" t="n">
        <f aca="false">W_PH(AS$2,$A458)</f>
        <v>2015</v>
      </c>
    </row>
    <row r="459" customFormat="false" ht="13.8" hidden="false" customHeight="false" outlineLevel="0" collapsed="false">
      <c r="A459" s="0" t="n">
        <v>6190</v>
      </c>
      <c r="B459" s="0" t="n">
        <f aca="false">W_PH(B$2,$A459)</f>
        <v>1013.89535131112</v>
      </c>
      <c r="C459" s="0" t="n">
        <f aca="false">W_PH(C$2,$A459)</f>
        <v>1013.89541315322</v>
      </c>
      <c r="D459" s="0" t="n">
        <f aca="false">W_PH(D$2,$A459)</f>
        <v>1013.89547268781</v>
      </c>
      <c r="E459" s="0" t="n">
        <f aca="false">W_PH(E$2,$A459)</f>
        <v>1013.89553337616</v>
      </c>
      <c r="F459" s="0" t="n">
        <f aca="false">W_PH(F$2,$A459)</f>
        <v>1013.89559406452</v>
      </c>
      <c r="G459" s="0" t="n">
        <f aca="false">W_PH(G$2,$A459)</f>
        <v>1013.89619748707</v>
      </c>
      <c r="H459" s="0" t="n">
        <f aca="false">W_PH(H$2,$A459)</f>
        <v>1013.89680091005</v>
      </c>
      <c r="I459" s="0" t="n">
        <f aca="false">W_PH(I$2,$A459)</f>
        <v>1013.89740548724</v>
      </c>
      <c r="J459" s="0" t="n">
        <f aca="false">W_PH(J$2,$A459)</f>
        <v>1013.89800775735</v>
      </c>
      <c r="K459" s="0" t="n">
        <f aca="false">W_PH(K$2,$A459)</f>
        <v>1013.89861233542</v>
      </c>
      <c r="L459" s="0" t="n">
        <f aca="false">W_PH(L$2,$A459)</f>
        <v>1013.89921576018</v>
      </c>
      <c r="M459" s="0" t="n">
        <f aca="false">W_PH(M$2,$A459)</f>
        <v>1013.89981918538</v>
      </c>
      <c r="N459" s="0" t="n">
        <f aca="false">W_PH(N$2,$A459)</f>
        <v>1013.90042376479</v>
      </c>
      <c r="O459" s="0" t="n">
        <f aca="false">W_PH(O$2,$A459)</f>
        <v>1013.90102603711</v>
      </c>
      <c r="P459" s="0" t="n">
        <f aca="false">W_PH(P$2,$A459)</f>
        <v>1013.90706263021</v>
      </c>
      <c r="Q459" s="0" t="n">
        <f aca="false">W_PH(Q$2,$A459)</f>
        <v>1013.91309926863</v>
      </c>
      <c r="R459" s="0" t="n">
        <f aca="false">W_PH(R$2,$A459)</f>
        <v>1013.91913595305</v>
      </c>
      <c r="S459" s="0" t="n">
        <f aca="false">W_PH(S$2,$A459)</f>
        <v>1013.92517268413</v>
      </c>
      <c r="T459" s="0" t="n">
        <f aca="false">W_PH(T$2,$A459)</f>
        <v>1013.93120946256</v>
      </c>
      <c r="U459" s="0" t="n">
        <f aca="false">W_PH(U$2,$A459)</f>
        <v>1013.937246289</v>
      </c>
      <c r="V459" s="0" t="n">
        <f aca="false">W_PH(V$2,$A459)</f>
        <v>1013.94328316413</v>
      </c>
      <c r="W459" s="0" t="n">
        <f aca="false">W_PH(W$2,$A459)</f>
        <v>1013.94932008863</v>
      </c>
      <c r="X459" s="0" t="n">
        <f aca="false">W_PH(X$2,$A459)</f>
        <v>1013.95535706316</v>
      </c>
      <c r="Y459" s="0" t="n">
        <f aca="false">W_PH(Y$2,$A459)</f>
        <v>1014.01572740061</v>
      </c>
      <c r="Z459" s="0" t="n">
        <f aca="false">W_PH(Z$2,$A459)</f>
        <v>1014.07610348203</v>
      </c>
      <c r="AA459" s="0" t="n">
        <f aca="false">W_PH(AA$2,$A459)</f>
        <v>1014.13648482667</v>
      </c>
      <c r="AB459" s="0" t="n">
        <f aca="false">W_PH(AB$2,$A459)</f>
        <v>1014.1968709533</v>
      </c>
      <c r="AC459" s="0" t="n">
        <f aca="false">W_PH(AC$2,$A459)</f>
        <v>1014.25726599816</v>
      </c>
      <c r="AD459" s="0" t="n">
        <f aca="false">W_PH(AD$2,$A459)</f>
        <v>1014.31766717128</v>
      </c>
      <c r="AE459" s="0" t="n">
        <f aca="false">W_PH(AE$2,$A459)</f>
        <v>1014.37807630016</v>
      </c>
      <c r="AF459" s="0" t="n">
        <f aca="false">W_PH(AF$2,$A459)</f>
        <v>1014.43849405794</v>
      </c>
      <c r="AG459" s="0" t="n">
        <f aca="false">W_PH(AG$2,$A459)</f>
        <v>1014.49892111775</v>
      </c>
      <c r="AH459" s="0" t="n">
        <f aca="false">W_PH(AH$2,$A459)</f>
        <v>1015.10384332481</v>
      </c>
      <c r="AI459" s="0" t="n">
        <f aca="false">W_PH(AI$2,$A459)</f>
        <v>1015.71040376972</v>
      </c>
      <c r="AJ459" s="0" t="n">
        <f aca="false">W_PH(AJ$2,$A459)</f>
        <v>1016.31924539783</v>
      </c>
      <c r="AK459" s="0" t="n">
        <f aca="false">W_PH(AK$2,$A459)</f>
        <v>1016.93101340045</v>
      </c>
      <c r="AL459" s="0" t="n">
        <f aca="false">W_PH(AL$2,$A459)</f>
        <v>1017.54635061646</v>
      </c>
      <c r="AM459" s="0" t="n">
        <f aca="false">W_PH(AM$2,$A459)</f>
        <v>1018.1659068581</v>
      </c>
      <c r="AN459" s="0" t="n">
        <f aca="false">W_PH(AN$2,$A459)</f>
        <v>1018.79032154638</v>
      </c>
      <c r="AO459" s="0" t="n">
        <f aca="false">W_PH(AO$2,$A459)</f>
        <v>1019.42024350898</v>
      </c>
      <c r="AP459" s="0" t="n">
        <f aca="false">W_PH(AP$2,$A459)</f>
        <v>2015</v>
      </c>
      <c r="AQ459" s="0" t="n">
        <f aca="false">W_PH(AQ$2,$A459)</f>
        <v>2015</v>
      </c>
      <c r="AR459" s="0" t="n">
        <f aca="false">W_PH(AR$2,$A459)</f>
        <v>2015</v>
      </c>
      <c r="AS459" s="0" t="n">
        <f aca="false">W_PH(AS$2,$A459)</f>
        <v>2015</v>
      </c>
    </row>
    <row r="460" customFormat="false" ht="13.8" hidden="false" customHeight="false" outlineLevel="0" collapsed="false">
      <c r="A460" s="0" t="n">
        <v>6200</v>
      </c>
      <c r="B460" s="0" t="n">
        <f aca="false">W_PH(B$2,$A460)</f>
        <v>1014.82105779444</v>
      </c>
      <c r="C460" s="0" t="n">
        <f aca="false">W_PH(C$2,$A460)</f>
        <v>1014.82111742771</v>
      </c>
      <c r="D460" s="0" t="n">
        <f aca="false">W_PH(D$2,$A460)</f>
        <v>1014.82117821372</v>
      </c>
      <c r="E460" s="0" t="n">
        <f aca="false">W_PH(E$2,$A460)</f>
        <v>1014.82123899974</v>
      </c>
      <c r="F460" s="0" t="n">
        <f aca="false">W_PH(F$2,$A460)</f>
        <v>1014.82129863302</v>
      </c>
      <c r="G460" s="0" t="n">
        <f aca="false">W_PH(G$2,$A460)</f>
        <v>1014.82190303527</v>
      </c>
      <c r="H460" s="0" t="n">
        <f aca="false">W_PH(H$2,$A460)</f>
        <v>1014.82250743795</v>
      </c>
      <c r="I460" s="0" t="n">
        <f aca="false">W_PH(I$2,$A460)</f>
        <v>1014.82311068833</v>
      </c>
      <c r="J460" s="0" t="n">
        <f aca="false">W_PH(J$2,$A460)</f>
        <v>1014.82371509188</v>
      </c>
      <c r="K460" s="0" t="n">
        <f aca="false">W_PH(K$2,$A460)</f>
        <v>1014.82431949588</v>
      </c>
      <c r="L460" s="0" t="n">
        <f aca="false">W_PH(L$2,$A460)</f>
        <v>1014.82492274756</v>
      </c>
      <c r="M460" s="0" t="n">
        <f aca="false">W_PH(M$2,$A460)</f>
        <v>1014.82552599969</v>
      </c>
      <c r="N460" s="0" t="n">
        <f aca="false">W_PH(N$2,$A460)</f>
        <v>1014.82613155775</v>
      </c>
      <c r="O460" s="0" t="n">
        <f aca="false">W_PH(O$2,$A460)</f>
        <v>1014.82673481076</v>
      </c>
      <c r="P460" s="0" t="n">
        <f aca="false">W_PH(P$2,$A460)</f>
        <v>1014.83277428169</v>
      </c>
      <c r="Q460" s="0" t="n">
        <f aca="false">W_PH(Q$2,$A460)</f>
        <v>1014.83881379741</v>
      </c>
      <c r="R460" s="0" t="n">
        <f aca="false">W_PH(R$2,$A460)</f>
        <v>1014.84485335861</v>
      </c>
      <c r="S460" s="0" t="n">
        <f aca="false">W_PH(S$2,$A460)</f>
        <v>1014.85089296595</v>
      </c>
      <c r="T460" s="0" t="n">
        <f aca="false">W_PH(T$2,$A460)</f>
        <v>1014.85693262009</v>
      </c>
      <c r="U460" s="0" t="n">
        <f aca="false">W_PH(U$2,$A460)</f>
        <v>1014.86297232171</v>
      </c>
      <c r="V460" s="0" t="n">
        <f aca="false">W_PH(V$2,$A460)</f>
        <v>1014.86901091865</v>
      </c>
      <c r="W460" s="0" t="n">
        <f aca="false">W_PH(W$2,$A460)</f>
        <v>1014.87505071723</v>
      </c>
      <c r="X460" s="0" t="n">
        <f aca="false">W_PH(X$2,$A460)</f>
        <v>1014.8810905653</v>
      </c>
      <c r="Y460" s="0" t="n">
        <f aca="false">W_PH(Y$2,$A460)</f>
        <v>1014.94148960943</v>
      </c>
      <c r="Z460" s="0" t="n">
        <f aca="false">W_PH(Z$2,$A460)</f>
        <v>1015.00189318626</v>
      </c>
      <c r="AA460" s="0" t="n">
        <f aca="false">W_PH(AA$2,$A460)</f>
        <v>1015.06230196568</v>
      </c>
      <c r="AB460" s="0" t="n">
        <f aca="false">W_PH(AB$2,$A460)</f>
        <v>1015.12271777095</v>
      </c>
      <c r="AC460" s="0" t="n">
        <f aca="false">W_PH(AC$2,$A460)</f>
        <v>1015.18313896541</v>
      </c>
      <c r="AD460" s="0" t="n">
        <f aca="false">W_PH(AD$2,$A460)</f>
        <v>1015.24356852578</v>
      </c>
      <c r="AE460" s="0" t="n">
        <f aca="false">W_PH(AE$2,$A460)</f>
        <v>1015.30400712231</v>
      </c>
      <c r="AF460" s="0" t="n">
        <f aca="false">W_PH(AF$2,$A460)</f>
        <v>1015.36445196382</v>
      </c>
      <c r="AG460" s="0" t="n">
        <f aca="false">W_PH(AG$2,$A460)</f>
        <v>1015.42490718131</v>
      </c>
      <c r="AH460" s="0" t="n">
        <f aca="false">W_PH(AH$2,$A460)</f>
        <v>1016.03010356771</v>
      </c>
      <c r="AI460" s="0" t="n">
        <f aca="false">W_PH(AI$2,$A460)</f>
        <v>1016.6369267028</v>
      </c>
      <c r="AJ460" s="0" t="n">
        <f aca="false">W_PH(AJ$2,$A460)</f>
        <v>1017.24602098182</v>
      </c>
      <c r="AK460" s="0" t="n">
        <f aca="false">W_PH(AK$2,$A460)</f>
        <v>1017.85802264447</v>
      </c>
      <c r="AL460" s="0" t="n">
        <f aca="false">W_PH(AL$2,$A460)</f>
        <v>1018.4735771648</v>
      </c>
      <c r="AM460" s="0" t="n">
        <f aca="false">W_PH(AM$2,$A460)</f>
        <v>1019.09332540625</v>
      </c>
      <c r="AN460" s="0" t="n">
        <f aca="false">W_PH(AN$2,$A460)</f>
        <v>1019.7179106192</v>
      </c>
      <c r="AO460" s="0" t="n">
        <f aca="false">W_PH(AO$2,$A460)</f>
        <v>1020.34797269219</v>
      </c>
      <c r="AP460" s="0" t="n">
        <f aca="false">W_PH(AP$2,$A460)</f>
        <v>2015</v>
      </c>
      <c r="AQ460" s="0" t="n">
        <f aca="false">W_PH(AQ$2,$A460)</f>
        <v>2015</v>
      </c>
      <c r="AR460" s="0" t="n">
        <f aca="false">W_PH(AR$2,$A460)</f>
        <v>2015</v>
      </c>
      <c r="AS460" s="0" t="n">
        <f aca="false">W_PH(AS$2,$A460)</f>
        <v>2015</v>
      </c>
    </row>
    <row r="461" customFormat="false" ht="13.8" hidden="false" customHeight="false" outlineLevel="0" collapsed="false">
      <c r="A461" s="0" t="n">
        <v>6210</v>
      </c>
      <c r="B461" s="0" t="n">
        <f aca="false">W_PH(B$2,$A461)</f>
        <v>1015.745466107</v>
      </c>
      <c r="C461" s="0" t="n">
        <f aca="false">W_PH(C$2,$A461)</f>
        <v>1015.74552583774</v>
      </c>
      <c r="D461" s="0" t="n">
        <f aca="false">W_PH(D$2,$A461)</f>
        <v>1015.74558787194</v>
      </c>
      <c r="E461" s="0" t="n">
        <f aca="false">W_PH(E$2,$A461)</f>
        <v>1015.74564760269</v>
      </c>
      <c r="F461" s="0" t="n">
        <f aca="false">W_PH(F$2,$A461)</f>
        <v>1015.74570733345</v>
      </c>
      <c r="G461" s="0" t="n">
        <f aca="false">W_PH(G$2,$A461)</f>
        <v>1015.74631155161</v>
      </c>
      <c r="H461" s="0" t="n">
        <f aca="false">W_PH(H$2,$A461)</f>
        <v>1015.7469157702</v>
      </c>
      <c r="I461" s="0" t="n">
        <f aca="false">W_PH(I$2,$A461)</f>
        <v>1015.74751998922</v>
      </c>
      <c r="J461" s="0" t="n">
        <f aca="false">W_PH(J$2,$A461)</f>
        <v>1015.74812420867</v>
      </c>
      <c r="K461" s="0" t="n">
        <f aca="false">W_PH(K$2,$A461)</f>
        <v>1015.74872842856</v>
      </c>
      <c r="L461" s="0" t="n">
        <f aca="false">W_PH(L$2,$A461)</f>
        <v>1015.74933264888</v>
      </c>
      <c r="M461" s="0" t="n">
        <f aca="false">W_PH(M$2,$A461)</f>
        <v>1015.74993686964</v>
      </c>
      <c r="N461" s="0" t="n">
        <f aca="false">W_PH(N$2,$A461)</f>
        <v>1015.75054109083</v>
      </c>
      <c r="O461" s="0" t="n">
        <f aca="false">W_PH(O$2,$A461)</f>
        <v>1015.75114531245</v>
      </c>
      <c r="P461" s="0" t="n">
        <f aca="false">W_PH(P$2,$A461)</f>
        <v>1015.7571875528</v>
      </c>
      <c r="Q461" s="0" t="n">
        <f aca="false">W_PH(Q$2,$A461)</f>
        <v>1015.76322983742</v>
      </c>
      <c r="R461" s="0" t="n">
        <f aca="false">W_PH(R$2,$A461)</f>
        <v>1015.769272167</v>
      </c>
      <c r="S461" s="0" t="n">
        <f aca="false">W_PH(S$2,$A461)</f>
        <v>1015.77531454219</v>
      </c>
      <c r="T461" s="0" t="n">
        <f aca="false">W_PH(T$2,$A461)</f>
        <v>1015.78135696366</v>
      </c>
      <c r="U461" s="0" t="n">
        <f aca="false">W_PH(U$2,$A461)</f>
        <v>1015.78739943208</v>
      </c>
      <c r="V461" s="0" t="n">
        <f aca="false">W_PH(V$2,$A461)</f>
        <v>1015.79344194812</v>
      </c>
      <c r="W461" s="0" t="n">
        <f aca="false">W_PH(W$2,$A461)</f>
        <v>1015.79948451244</v>
      </c>
      <c r="X461" s="0" t="n">
        <f aca="false">W_PH(X$2,$A461)</f>
        <v>1015.80552712571</v>
      </c>
      <c r="Y461" s="0" t="n">
        <f aca="false">W_PH(Y$2,$A461)</f>
        <v>1015.86595379349</v>
      </c>
      <c r="Z461" s="0" t="n">
        <f aca="false">W_PH(Z$2,$A461)</f>
        <v>1015.9263849375</v>
      </c>
      <c r="AA461" s="0" t="n">
        <f aca="false">W_PH(AA$2,$A461)</f>
        <v>1015.98682237663</v>
      </c>
      <c r="AB461" s="0" t="n">
        <f aca="false">W_PH(AB$2,$A461)</f>
        <v>1016.04726447329</v>
      </c>
      <c r="AC461" s="0" t="n">
        <f aca="false">W_PH(AC$2,$A461)</f>
        <v>1016.10771419871</v>
      </c>
      <c r="AD461" s="0" t="n">
        <f aca="false">W_PH(AD$2,$A461)</f>
        <v>1016.16817106739</v>
      </c>
      <c r="AE461" s="0" t="n">
        <f aca="false">W_PH(AE$2,$A461)</f>
        <v>1016.22863459335</v>
      </c>
      <c r="AF461" s="0" t="n">
        <f aca="false">W_PH(AF$2,$A461)</f>
        <v>1016.28910774855</v>
      </c>
      <c r="AG461" s="0" t="n">
        <f aca="false">W_PH(AG$2,$A461)</f>
        <v>1016.34959004714</v>
      </c>
      <c r="AH461" s="0" t="n">
        <f aca="false">W_PH(AH$2,$A461)</f>
        <v>1016.95505567282</v>
      </c>
      <c r="AI461" s="0" t="n">
        <f aca="false">W_PH(AI$2,$A461)</f>
        <v>1017.56213783445</v>
      </c>
      <c r="AJ461" s="0" t="n">
        <f aca="false">W_PH(AJ$2,$A461)</f>
        <v>1018.17147429963</v>
      </c>
      <c r="AK461" s="0" t="n">
        <f aca="false">W_PH(AK$2,$A461)</f>
        <v>1018.78370741748</v>
      </c>
      <c r="AL461" s="0" t="n">
        <f aca="false">W_PH(AL$2,$A461)</f>
        <v>1019.3994725867</v>
      </c>
      <c r="AM461" s="0" t="n">
        <f aca="false">W_PH(AM$2,$A461)</f>
        <v>1020.01940986008</v>
      </c>
      <c r="AN461" s="0" t="n">
        <f aca="false">W_PH(AN$2,$A461)</f>
        <v>1020.64415937056</v>
      </c>
      <c r="AO461" s="0" t="n">
        <f aca="false">W_PH(AO$2,$A461)</f>
        <v>1021.27435906213</v>
      </c>
      <c r="AP461" s="0" t="n">
        <f aca="false">W_PH(AP$2,$A461)</f>
        <v>2015</v>
      </c>
      <c r="AQ461" s="0" t="n">
        <f aca="false">W_PH(AQ$2,$A461)</f>
        <v>2015</v>
      </c>
      <c r="AR461" s="0" t="n">
        <f aca="false">W_PH(AR$2,$A461)</f>
        <v>2015</v>
      </c>
      <c r="AS461" s="0" t="n">
        <f aca="false">W_PH(AS$2,$A461)</f>
        <v>2015</v>
      </c>
    </row>
    <row r="462" customFormat="false" ht="13.8" hidden="false" customHeight="false" outlineLevel="0" collapsed="false">
      <c r="A462" s="0" t="n">
        <v>6220</v>
      </c>
      <c r="B462" s="0" t="n">
        <f aca="false">W_PH(B$2,$A462)</f>
        <v>1016.66858410616</v>
      </c>
      <c r="C462" s="0" t="n">
        <f aca="false">W_PH(C$2,$A462)</f>
        <v>1016.66864393318</v>
      </c>
      <c r="D462" s="0" t="n">
        <f aca="false">W_PH(D$2,$A462)</f>
        <v>1016.66870376021</v>
      </c>
      <c r="E462" s="0" t="n">
        <f aca="false">W_PH(E$2,$A462)</f>
        <v>1016.66876473795</v>
      </c>
      <c r="F462" s="0" t="n">
        <f aca="false">W_PH(F$2,$A462)</f>
        <v>1016.66882571571</v>
      </c>
      <c r="G462" s="0" t="n">
        <f aca="false">W_PH(G$2,$A462)</f>
        <v>1016.66942973987</v>
      </c>
      <c r="H462" s="0" t="n">
        <f aca="false">W_PH(H$2,$A462)</f>
        <v>1016.67003376447</v>
      </c>
      <c r="I462" s="0" t="n">
        <f aca="false">W_PH(I$2,$A462)</f>
        <v>1016.6706389402</v>
      </c>
      <c r="J462" s="0" t="n">
        <f aca="false">W_PH(J$2,$A462)</f>
        <v>1016.67124296565</v>
      </c>
      <c r="K462" s="0" t="n">
        <f aca="false">W_PH(K$2,$A462)</f>
        <v>1016.67184699152</v>
      </c>
      <c r="L462" s="0" t="n">
        <f aca="false">W_PH(L$2,$A462)</f>
        <v>1016.67245216855</v>
      </c>
      <c r="M462" s="0" t="n">
        <f aca="false">W_PH(M$2,$A462)</f>
        <v>1016.673057346</v>
      </c>
      <c r="N462" s="0" t="n">
        <f aca="false">W_PH(N$2,$A462)</f>
        <v>1016.67366022243</v>
      </c>
      <c r="O462" s="0" t="n">
        <f aca="false">W_PH(O$2,$A462)</f>
        <v>1016.67426540075</v>
      </c>
      <c r="P462" s="0" t="n">
        <f aca="false">W_PH(P$2,$A462)</f>
        <v>1016.68031030335</v>
      </c>
      <c r="Q462" s="0" t="n">
        <f aca="false">W_PH(Q$2,$A462)</f>
        <v>1016.68635524973</v>
      </c>
      <c r="R462" s="0" t="n">
        <f aca="false">W_PH(R$2,$A462)</f>
        <v>1016.69240024054</v>
      </c>
      <c r="S462" s="0" t="n">
        <f aca="false">W_PH(S$2,$A462)</f>
        <v>1016.69844527645</v>
      </c>
      <c r="T462" s="0" t="n">
        <f aca="false">W_PH(T$2,$A462)</f>
        <v>1016.70449035812</v>
      </c>
      <c r="U462" s="0" t="n">
        <f aca="false">W_PH(U$2,$A462)</f>
        <v>1016.71053548622</v>
      </c>
      <c r="V462" s="0" t="n">
        <f aca="false">W_PH(V$2,$A462)</f>
        <v>1016.71658066141</v>
      </c>
      <c r="W462" s="0" t="n">
        <f aca="false">W_PH(W$2,$A462)</f>
        <v>1016.72262588434</v>
      </c>
      <c r="X462" s="0" t="n">
        <f aca="false">W_PH(X$2,$A462)</f>
        <v>1016.7286711557</v>
      </c>
      <c r="Y462" s="0" t="n">
        <f aca="false">W_PH(Y$2,$A462)</f>
        <v>1016.78912437634</v>
      </c>
      <c r="Z462" s="0" t="n">
        <f aca="false">W_PH(Z$2,$A462)</f>
        <v>1016.84958316846</v>
      </c>
      <c r="AA462" s="0" t="n">
        <f aca="false">W_PH(AA$2,$A462)</f>
        <v>1016.91004589356</v>
      </c>
      <c r="AB462" s="0" t="n">
        <f aca="false">W_PH(AB$2,$A462)</f>
        <v>1016.97051666871</v>
      </c>
      <c r="AC462" s="0" t="n">
        <f aca="false">W_PH(AC$2,$A462)</f>
        <v>1017.03099270388</v>
      </c>
      <c r="AD462" s="0" t="n">
        <f aca="false">W_PH(AD$2,$A462)</f>
        <v>1017.09147581377</v>
      </c>
      <c r="AE462" s="0" t="n">
        <f aca="false">W_PH(AE$2,$A462)</f>
        <v>1017.15196781357</v>
      </c>
      <c r="AF462" s="0" t="n">
        <f aca="false">W_PH(AF$2,$A462)</f>
        <v>1017.2124670636</v>
      </c>
      <c r="AG462" s="0" t="n">
        <f aca="false">W_PH(AG$2,$A462)</f>
        <v>1017.27297653085</v>
      </c>
      <c r="AH462" s="0" t="n">
        <f aca="false">W_PH(AH$2,$A462)</f>
        <v>1017.87870310422</v>
      </c>
      <c r="AI462" s="0" t="n">
        <f aca="false">W_PH(AI$2,$A462)</f>
        <v>1018.48603841969</v>
      </c>
      <c r="AJ462" s="0" t="n">
        <f aca="false">W_PH(AJ$2,$A462)</f>
        <v>1019.09561596382</v>
      </c>
      <c r="AK462" s="0" t="n">
        <f aca="false">W_PH(AK$2,$A462)</f>
        <v>1019.70807380532</v>
      </c>
      <c r="AL462" s="0" t="n">
        <f aca="false">W_PH(AL$2,$A462)</f>
        <v>1020.32404423115</v>
      </c>
      <c r="AM462" s="0" t="n">
        <f aca="false">W_PH(AM$2,$A462)</f>
        <v>1020.94416650431</v>
      </c>
      <c r="AN462" s="0" t="n">
        <f aca="false">W_PH(AN$2,$A462)</f>
        <v>1021.56907418589</v>
      </c>
      <c r="AO462" s="0" t="n">
        <f aca="false">W_PH(AO$2,$A462)</f>
        <v>1022.19940560987</v>
      </c>
      <c r="AP462" s="0" t="n">
        <f aca="false">W_PH(AP$2,$A462)</f>
        <v>2015</v>
      </c>
      <c r="AQ462" s="0" t="n">
        <f aca="false">W_PH(AQ$2,$A462)</f>
        <v>2015</v>
      </c>
      <c r="AR462" s="0" t="n">
        <f aca="false">W_PH(AR$2,$A462)</f>
        <v>2015</v>
      </c>
      <c r="AS462" s="0" t="n">
        <f aca="false">W_PH(AS$2,$A462)</f>
        <v>2015</v>
      </c>
    </row>
    <row r="463" customFormat="false" ht="13.8" hidden="false" customHeight="false" outlineLevel="0" collapsed="false">
      <c r="A463" s="0" t="n">
        <v>6230</v>
      </c>
      <c r="B463" s="0" t="n">
        <f aca="false">W_PH(B$2,$A463)</f>
        <v>1017.59041500984</v>
      </c>
      <c r="C463" s="0" t="n">
        <f aca="false">W_PH(C$2,$A463)</f>
        <v>1017.59047493196</v>
      </c>
      <c r="D463" s="0" t="n">
        <f aca="false">W_PH(D$2,$A463)</f>
        <v>1017.59053485408</v>
      </c>
      <c r="E463" s="0" t="n">
        <f aca="false">W_PH(E$2,$A463)</f>
        <v>1017.59059592592</v>
      </c>
      <c r="F463" s="0" t="n">
        <f aca="false">W_PH(F$2,$A463)</f>
        <v>1017.59065699776</v>
      </c>
      <c r="G463" s="0" t="n">
        <f aca="false">W_PH(G$2,$A463)</f>
        <v>1017.59126081815</v>
      </c>
      <c r="H463" s="0" t="n">
        <f aca="false">W_PH(H$2,$A463)</f>
        <v>1017.59186693838</v>
      </c>
      <c r="I463" s="0" t="n">
        <f aca="false">W_PH(I$2,$A463)</f>
        <v>1017.5924707596</v>
      </c>
      <c r="J463" s="0" t="n">
        <f aca="false">W_PH(J$2,$A463)</f>
        <v>1017.59307573096</v>
      </c>
      <c r="K463" s="0" t="n">
        <f aca="false">W_PH(K$2,$A463)</f>
        <v>1017.59368070275</v>
      </c>
      <c r="L463" s="0" t="n">
        <f aca="false">W_PH(L$2,$A463)</f>
        <v>1017.59428452524</v>
      </c>
      <c r="M463" s="0" t="n">
        <f aca="false">W_PH(M$2,$A463)</f>
        <v>1017.59489064759</v>
      </c>
      <c r="N463" s="0" t="n">
        <f aca="false">W_PH(N$2,$A463)</f>
        <v>1017.59549447092</v>
      </c>
      <c r="O463" s="0" t="n">
        <f aca="false">W_PH(O$2,$A463)</f>
        <v>1017.59609944441</v>
      </c>
      <c r="P463" s="0" t="n">
        <f aca="false">W_PH(P$2,$A463)</f>
        <v>1017.60214690333</v>
      </c>
      <c r="Q463" s="0" t="n">
        <f aca="false">W_PH(Q$2,$A463)</f>
        <v>1017.60819440552</v>
      </c>
      <c r="R463" s="0" t="n">
        <f aca="false">W_PH(R$2,$A463)</f>
        <v>1017.61424195163</v>
      </c>
      <c r="S463" s="0" t="n">
        <f aca="false">W_PH(S$2,$A463)</f>
        <v>1017.62028954233</v>
      </c>
      <c r="T463" s="0" t="n">
        <f aca="false">W_PH(T$2,$A463)</f>
        <v>1017.62633717828</v>
      </c>
      <c r="U463" s="0" t="n">
        <f aca="false">W_PH(U$2,$A463)</f>
        <v>1017.63238486014</v>
      </c>
      <c r="V463" s="0" t="n">
        <f aca="false">W_PH(V$2,$A463)</f>
        <v>1017.63843258856</v>
      </c>
      <c r="W463" s="0" t="n">
        <f aca="false">W_PH(W$2,$A463)</f>
        <v>1017.64448036422</v>
      </c>
      <c r="X463" s="0" t="n">
        <f aca="false">W_PH(X$2,$A463)</f>
        <v>1017.65052818776</v>
      </c>
      <c r="Y463" s="0" t="n">
        <f aca="false">W_PH(Y$2,$A463)</f>
        <v>1017.71100805258</v>
      </c>
      <c r="Z463" s="0" t="n">
        <f aca="false">W_PH(Z$2,$A463)</f>
        <v>1017.77149458303</v>
      </c>
      <c r="AA463" s="0" t="n">
        <f aca="false">W_PH(AA$2,$A463)</f>
        <v>1017.83198383944</v>
      </c>
      <c r="AB463" s="0" t="n">
        <f aca="false">W_PH(AB$2,$A463)</f>
        <v>1017.89247993236</v>
      </c>
      <c r="AC463" s="0" t="n">
        <f aca="false">W_PH(AC$2,$A463)</f>
        <v>1017.95298237209</v>
      </c>
      <c r="AD463" s="0" t="n">
        <f aca="false">W_PH(AD$2,$A463)</f>
        <v>1018.01349296951</v>
      </c>
      <c r="AE463" s="0" t="n">
        <f aca="false">W_PH(AE$2,$A463)</f>
        <v>1018.07401008406</v>
      </c>
      <c r="AF463" s="0" t="n">
        <f aca="false">W_PH(AF$2,$A463)</f>
        <v>1018.13453552653</v>
      </c>
      <c r="AG463" s="0" t="n">
        <f aca="false">W_PH(AG$2,$A463)</f>
        <v>1018.19507110816</v>
      </c>
      <c r="AH463" s="0" t="n">
        <f aca="false">W_PH(AH$2,$A463)</f>
        <v>1018.80105390689</v>
      </c>
      <c r="AI463" s="0" t="n">
        <f aca="false">W_PH(AI$2,$A463)</f>
        <v>1019.40863661253</v>
      </c>
      <c r="AJ463" s="0" t="n">
        <f aca="false">W_PH(AJ$2,$A463)</f>
        <v>1020.01844960564</v>
      </c>
      <c r="AK463" s="0" t="n">
        <f aca="false">W_PH(AK$2,$A463)</f>
        <v>1020.63112554319</v>
      </c>
      <c r="AL463" s="0" t="n">
        <f aca="false">W_PH(AL$2,$A463)</f>
        <v>1021.24729708858</v>
      </c>
      <c r="AM463" s="0" t="n">
        <f aca="false">W_PH(AM$2,$A463)</f>
        <v>1021.86759810842</v>
      </c>
      <c r="AN463" s="0" t="n">
        <f aca="false">W_PH(AN$2,$A463)</f>
        <v>1022.49266024817</v>
      </c>
      <c r="AO463" s="0" t="n">
        <f aca="false">W_PH(AO$2,$A463)</f>
        <v>1023.12311993338</v>
      </c>
      <c r="AP463" s="0" t="n">
        <f aca="false">W_PH(AP$2,$A463)</f>
        <v>2015</v>
      </c>
      <c r="AQ463" s="0" t="n">
        <f aca="false">W_PH(AQ$2,$A463)</f>
        <v>2015</v>
      </c>
      <c r="AR463" s="0" t="n">
        <f aca="false">W_PH(AR$2,$A463)</f>
        <v>2015</v>
      </c>
      <c r="AS463" s="0" t="n">
        <f aca="false">W_PH(AS$2,$A463)</f>
        <v>2015</v>
      </c>
    </row>
    <row r="464" customFormat="false" ht="13.8" hidden="false" customHeight="false" outlineLevel="0" collapsed="false">
      <c r="A464" s="0" t="n">
        <v>6240</v>
      </c>
      <c r="B464" s="0" t="n">
        <f aca="false">W_PH(B$2,$A464)</f>
        <v>1018.51096545789</v>
      </c>
      <c r="C464" s="0" t="n">
        <f aca="false">W_PH(C$2,$A464)</f>
        <v>1018.51102662264</v>
      </c>
      <c r="D464" s="0" t="n">
        <f aca="false">W_PH(D$2,$A464)</f>
        <v>1018.51108663869</v>
      </c>
      <c r="E464" s="0" t="n">
        <f aca="false">W_PH(E$2,$A464)</f>
        <v>1018.51114665475</v>
      </c>
      <c r="F464" s="0" t="n">
        <f aca="false">W_PH(F$2,$A464)</f>
        <v>1018.51120667081</v>
      </c>
      <c r="G464" s="0" t="n">
        <f aca="false">W_PH(G$2,$A464)</f>
        <v>1018.51181257515</v>
      </c>
      <c r="H464" s="0" t="n">
        <f aca="false">W_PH(H$2,$A464)</f>
        <v>1018.51241847991</v>
      </c>
      <c r="I464" s="0" t="n">
        <f aca="false">W_PH(I$2,$A464)</f>
        <v>1018.51302323638</v>
      </c>
      <c r="J464" s="0" t="n">
        <f aca="false">W_PH(J$2,$A464)</f>
        <v>1018.51362799326</v>
      </c>
      <c r="K464" s="0" t="n">
        <f aca="false">W_PH(K$2,$A464)</f>
        <v>1018.51423275056</v>
      </c>
      <c r="L464" s="0" t="n">
        <f aca="false">W_PH(L$2,$A464)</f>
        <v>1018.51483750828</v>
      </c>
      <c r="M464" s="0" t="n">
        <f aca="false">W_PH(M$2,$A464)</f>
        <v>1018.51544226642</v>
      </c>
      <c r="N464" s="0" t="n">
        <f aca="false">W_PH(N$2,$A464)</f>
        <v>1018.51604702498</v>
      </c>
      <c r="O464" s="0" t="n">
        <f aca="false">W_PH(O$2,$A464)</f>
        <v>1018.51665178396</v>
      </c>
      <c r="P464" s="0" t="n">
        <f aca="false">W_PH(P$2,$A464)</f>
        <v>1018.52270284317</v>
      </c>
      <c r="Q464" s="0" t="n">
        <f aca="false">W_PH(Q$2,$A464)</f>
        <v>1018.52875279644</v>
      </c>
      <c r="R464" s="0" t="n">
        <f aca="false">W_PH(R$2,$A464)</f>
        <v>1018.53480394187</v>
      </c>
      <c r="S464" s="0" t="n">
        <f aca="false">W_PH(S$2,$A464)</f>
        <v>1018.54085398266</v>
      </c>
      <c r="T464" s="0" t="n">
        <f aca="false">W_PH(T$2,$A464)</f>
        <v>1018.54690406818</v>
      </c>
      <c r="U464" s="0" t="n">
        <f aca="false">W_PH(U$2,$A464)</f>
        <v>1018.55295419909</v>
      </c>
      <c r="V464" s="0" t="n">
        <f aca="false">W_PH(V$2,$A464)</f>
        <v>1018.55900437607</v>
      </c>
      <c r="W464" s="0" t="n">
        <f aca="false">W_PH(W$2,$A464)</f>
        <v>1018.56505459975</v>
      </c>
      <c r="X464" s="0" t="n">
        <f aca="false">W_PH(X$2,$A464)</f>
        <v>1018.5711048708</v>
      </c>
      <c r="Y464" s="0" t="n">
        <f aca="false">W_PH(Y$2,$A464)</f>
        <v>1018.63161148028</v>
      </c>
      <c r="Z464" s="0" t="n">
        <f aca="false">W_PH(Z$2,$A464)</f>
        <v>1018.69212240122</v>
      </c>
      <c r="AA464" s="0" t="n">
        <f aca="false">W_PH(AA$2,$A464)</f>
        <v>1018.75263829085</v>
      </c>
      <c r="AB464" s="0" t="n">
        <f aca="false">W_PH(AB$2,$A464)</f>
        <v>1018.81315980638</v>
      </c>
      <c r="AC464" s="0" t="n">
        <f aca="false">W_PH(AC$2,$A464)</f>
        <v>1018.87368875444</v>
      </c>
      <c r="AD464" s="0" t="n">
        <f aca="false">W_PH(AD$2,$A464)</f>
        <v>1018.93422349357</v>
      </c>
      <c r="AE464" s="0" t="n">
        <f aca="false">W_PH(AE$2,$A464)</f>
        <v>1018.99476697992</v>
      </c>
      <c r="AF464" s="0" t="n">
        <f aca="false">W_PH(AF$2,$A464)</f>
        <v>1019.05531757159</v>
      </c>
      <c r="AG464" s="0" t="n">
        <f aca="false">W_PH(AG$2,$A464)</f>
        <v>1019.11587822519</v>
      </c>
      <c r="AH464" s="0" t="n">
        <f aca="false">W_PH(AH$2,$A464)</f>
        <v>1019.72211378039</v>
      </c>
      <c r="AI464" s="0" t="n">
        <f aca="false">W_PH(AI$2,$A464)</f>
        <v>1020.3299382177</v>
      </c>
      <c r="AJ464" s="0" t="n">
        <f aca="false">W_PH(AJ$2,$A464)</f>
        <v>1020.93997998007</v>
      </c>
      <c r="AK464" s="0" t="n">
        <f aca="false">W_PH(AK$2,$A464)</f>
        <v>1021.55286979857</v>
      </c>
      <c r="AL464" s="0" t="n">
        <f aca="false">W_PH(AL$2,$A464)</f>
        <v>1022.16923726848</v>
      </c>
      <c r="AM464" s="0" t="n">
        <f aca="false">W_PH(AM$2,$A464)</f>
        <v>1022.78971203896</v>
      </c>
      <c r="AN464" s="0" t="n">
        <f aca="false">W_PH(AN$2,$A464)</f>
        <v>1023.41492501651</v>
      </c>
      <c r="AO464" s="0" t="n">
        <f aca="false">W_PH(AO$2,$A464)</f>
        <v>1024.04550610602</v>
      </c>
      <c r="AP464" s="0" t="n">
        <f aca="false">W_PH(AP$2,$A464)</f>
        <v>2015</v>
      </c>
      <c r="AQ464" s="0" t="n">
        <f aca="false">W_PH(AQ$2,$A464)</f>
        <v>2015</v>
      </c>
      <c r="AR464" s="0" t="n">
        <f aca="false">W_PH(AR$2,$A464)</f>
        <v>2015</v>
      </c>
      <c r="AS464" s="0" t="n">
        <f aca="false">W_PH(AS$2,$A464)</f>
        <v>2015</v>
      </c>
    </row>
    <row r="465" customFormat="false" ht="13.8" hidden="false" customHeight="false" outlineLevel="0" collapsed="false">
      <c r="A465" s="0" t="n">
        <v>6250</v>
      </c>
      <c r="B465" s="0" t="n">
        <f aca="false">W_PH(B$2,$A465)</f>
        <v>1019.43024205417</v>
      </c>
      <c r="C465" s="0" t="n">
        <f aca="false">W_PH(C$2,$A465)</f>
        <v>1019.43030216299</v>
      </c>
      <c r="D465" s="0" t="n">
        <f aca="false">W_PH(D$2,$A465)</f>
        <v>1019.43036227181</v>
      </c>
      <c r="E465" s="0" t="n">
        <f aca="false">W_PH(E$2,$A465)</f>
        <v>1019.43042238063</v>
      </c>
      <c r="F465" s="0" t="n">
        <f aca="false">W_PH(F$2,$A465)</f>
        <v>1019.43048363717</v>
      </c>
      <c r="G465" s="0" t="n">
        <f aca="false">W_PH(G$2,$A465)</f>
        <v>1019.43108816879</v>
      </c>
      <c r="H465" s="0" t="n">
        <f aca="false">W_PH(H$2,$A465)</f>
        <v>1019.43169384853</v>
      </c>
      <c r="I465" s="0" t="n">
        <f aca="false">W_PH(I$2,$A465)</f>
        <v>1019.43229952868</v>
      </c>
      <c r="J465" s="0" t="n">
        <f aca="false">W_PH(J$2,$A465)</f>
        <v>1019.43290520924</v>
      </c>
      <c r="K465" s="0" t="n">
        <f aca="false">W_PH(K$2,$A465)</f>
        <v>1019.43350974251</v>
      </c>
      <c r="L465" s="0" t="n">
        <f aca="false">W_PH(L$2,$A465)</f>
        <v>1019.43411427619</v>
      </c>
      <c r="M465" s="0" t="n">
        <f aca="false">W_PH(M$2,$A465)</f>
        <v>1019.43471995799</v>
      </c>
      <c r="N465" s="0" t="n">
        <f aca="false">W_PH(N$2,$A465)</f>
        <v>1019.43532564021</v>
      </c>
      <c r="O465" s="0" t="n">
        <f aca="false">W_PH(O$2,$A465)</f>
        <v>1019.43593132285</v>
      </c>
      <c r="P465" s="0" t="n">
        <f aca="false">W_PH(P$2,$A465)</f>
        <v>1019.44198358137</v>
      </c>
      <c r="Q465" s="0" t="n">
        <f aca="false">W_PH(Q$2,$A465)</f>
        <v>1019.44803588216</v>
      </c>
      <c r="R465" s="0" t="n">
        <f aca="false">W_PH(R$2,$A465)</f>
        <v>1019.45408822588</v>
      </c>
      <c r="S465" s="0" t="n">
        <f aca="false">W_PH(S$2,$A465)</f>
        <v>1019.46014176094</v>
      </c>
      <c r="T465" s="0" t="n">
        <f aca="false">W_PH(T$2,$A465)</f>
        <v>1019.46619534027</v>
      </c>
      <c r="U465" s="0" t="n">
        <f aca="false">W_PH(U$2,$A465)</f>
        <v>1019.47224781673</v>
      </c>
      <c r="V465" s="0" t="n">
        <f aca="false">W_PH(V$2,$A465)</f>
        <v>1019.47830033873</v>
      </c>
      <c r="W465" s="0" t="n">
        <f aca="false">W_PH(W$2,$A465)</f>
        <v>1019.48435290693</v>
      </c>
      <c r="X465" s="0" t="n">
        <f aca="false">W_PH(X$2,$A465)</f>
        <v>1019.49040552199</v>
      </c>
      <c r="Y465" s="0" t="n">
        <f aca="false">W_PH(Y$2,$A465)</f>
        <v>1019.55093783742</v>
      </c>
      <c r="Z465" s="0" t="n">
        <f aca="false">W_PH(Z$2,$A465)</f>
        <v>1019.61147326286</v>
      </c>
      <c r="AA465" s="0" t="n">
        <f aca="false">W_PH(AA$2,$A465)</f>
        <v>1019.67201589658</v>
      </c>
      <c r="AB465" s="0" t="n">
        <f aca="false">W_PH(AB$2,$A465)</f>
        <v>1019.73256294852</v>
      </c>
      <c r="AC465" s="0" t="n">
        <f aca="false">W_PH(AC$2,$A465)</f>
        <v>1019.79311507245</v>
      </c>
      <c r="AD465" s="0" t="n">
        <f aca="false">W_PH(AD$2,$A465)</f>
        <v>1019.85367636767</v>
      </c>
      <c r="AE465" s="0" t="n">
        <f aca="false">W_PH(AE$2,$A465)</f>
        <v>1019.91424404311</v>
      </c>
      <c r="AF465" s="0" t="n">
        <f aca="false">W_PH(AF$2,$A465)</f>
        <v>1019.97482105005</v>
      </c>
      <c r="AG465" s="0" t="n">
        <f aca="false">W_PH(AG$2,$A465)</f>
        <v>1020.03540574524</v>
      </c>
      <c r="AH465" s="0" t="n">
        <f aca="false">W_PH(AH$2,$A465)</f>
        <v>1020.64188838943</v>
      </c>
      <c r="AI465" s="0" t="n">
        <f aca="false">W_PH(AI$2,$A465)</f>
        <v>1021.24994670148</v>
      </c>
      <c r="AJ465" s="0" t="n">
        <f aca="false">W_PH(AJ$2,$A465)</f>
        <v>1021.86021411313</v>
      </c>
      <c r="AK465" s="0" t="n">
        <f aca="false">W_PH(AK$2,$A465)</f>
        <v>1022.47331254239</v>
      </c>
      <c r="AL465" s="0" t="n">
        <f aca="false">W_PH(AL$2,$A465)</f>
        <v>1023.08986968562</v>
      </c>
      <c r="AM465" s="0" t="n">
        <f aca="false">W_PH(AM$2,$A465)</f>
        <v>1023.71051446108</v>
      </c>
      <c r="AN465" s="0" t="n">
        <f aca="false">W_PH(AN$2,$A465)</f>
        <v>1024.33587243344</v>
      </c>
      <c r="AO465" s="0" t="n">
        <f aca="false">W_PH(AO$2,$A465)</f>
        <v>1024.9665716381</v>
      </c>
      <c r="AP465" s="0" t="n">
        <f aca="false">W_PH(AP$2,$A465)</f>
        <v>2015</v>
      </c>
      <c r="AQ465" s="0" t="n">
        <f aca="false">W_PH(AQ$2,$A465)</f>
        <v>2015</v>
      </c>
      <c r="AR465" s="0" t="n">
        <f aca="false">W_PH(AR$2,$A465)</f>
        <v>2015</v>
      </c>
      <c r="AS465" s="0" t="n">
        <f aca="false">W_PH(AS$2,$A465)</f>
        <v>2015</v>
      </c>
    </row>
    <row r="466" customFormat="false" ht="13.8" hidden="false" customHeight="false" outlineLevel="0" collapsed="false">
      <c r="A466" s="0" t="n">
        <v>6260</v>
      </c>
      <c r="B466" s="0" t="n">
        <f aca="false">W_PH(B$2,$A466)</f>
        <v>1020.34824678008</v>
      </c>
      <c r="C466" s="0" t="n">
        <f aca="false">W_PH(C$2,$A466)</f>
        <v>1020.34830812723</v>
      </c>
      <c r="D466" s="0" t="n">
        <f aca="false">W_PH(D$2,$A466)</f>
        <v>1020.34836832767</v>
      </c>
      <c r="E466" s="0" t="n">
        <f aca="false">W_PH(E$2,$A466)</f>
        <v>1020.34842967483</v>
      </c>
      <c r="F466" s="0" t="n">
        <f aca="false">W_PH(F$2,$A466)</f>
        <v>1020.34848987528</v>
      </c>
      <c r="G466" s="0" t="n">
        <f aca="false">W_PH(G$2,$A466)</f>
        <v>1020.34909532016</v>
      </c>
      <c r="H466" s="0" t="n">
        <f aca="false">W_PH(H$2,$A466)</f>
        <v>1020.34970076544</v>
      </c>
      <c r="I466" s="0" t="n">
        <f aca="false">W_PH(I$2,$A466)</f>
        <v>1020.35030621112</v>
      </c>
      <c r="J466" s="0" t="n">
        <f aca="false">W_PH(J$2,$A466)</f>
        <v>1020.35091165722</v>
      </c>
      <c r="K466" s="0" t="n">
        <f aca="false">W_PH(K$2,$A466)</f>
        <v>1020.35151710372</v>
      </c>
      <c r="L466" s="0" t="n">
        <f aca="false">W_PH(L$2,$A466)</f>
        <v>1020.35212255063</v>
      </c>
      <c r="M466" s="0" t="n">
        <f aca="false">W_PH(M$2,$A466)</f>
        <v>1020.35272799795</v>
      </c>
      <c r="N466" s="0" t="n">
        <f aca="false">W_PH(N$2,$A466)</f>
        <v>1020.35333344568</v>
      </c>
      <c r="O466" s="0" t="n">
        <f aca="false">W_PH(O$2,$A466)</f>
        <v>1020.35394004054</v>
      </c>
      <c r="P466" s="0" t="n">
        <f aca="false">W_PH(P$2,$A466)</f>
        <v>1020.3599945447</v>
      </c>
      <c r="Q466" s="0" t="n">
        <f aca="false">W_PH(Q$2,$A466)</f>
        <v>1020.36604909065</v>
      </c>
      <c r="R466" s="0" t="n">
        <f aca="false">W_PH(R$2,$A466)</f>
        <v>1020.37210482579</v>
      </c>
      <c r="S466" s="0" t="n">
        <f aca="false">W_PH(S$2,$A466)</f>
        <v>1020.37816060404</v>
      </c>
      <c r="T466" s="0" t="n">
        <f aca="false">W_PH(T$2,$A466)</f>
        <v>1020.38421527928</v>
      </c>
      <c r="U466" s="0" t="n">
        <f aca="false">W_PH(U$2,$A466)</f>
        <v>1020.39026999892</v>
      </c>
      <c r="V466" s="0" t="n">
        <f aca="false">W_PH(V$2,$A466)</f>
        <v>1020.3963259104</v>
      </c>
      <c r="W466" s="0" t="n">
        <f aca="false">W_PH(W$2,$A466)</f>
        <v>1020.40238186759</v>
      </c>
      <c r="X466" s="0" t="n">
        <f aca="false">W_PH(X$2,$A466)</f>
        <v>1020.40843672434</v>
      </c>
      <c r="Y466" s="0" t="n">
        <f aca="false">W_PH(Y$2,$A466)</f>
        <v>1020.46899257194</v>
      </c>
      <c r="Z466" s="0" t="n">
        <f aca="false">W_PH(Z$2,$A466)</f>
        <v>1020.52955377166</v>
      </c>
      <c r="AA466" s="0" t="n">
        <f aca="false">W_PH(AA$2,$A466)</f>
        <v>1020.59012097484</v>
      </c>
      <c r="AB466" s="0" t="n">
        <f aca="false">W_PH(AB$2,$A466)</f>
        <v>1020.6506925383</v>
      </c>
      <c r="AC466" s="0" t="n">
        <f aca="false">W_PH(AC$2,$A466)</f>
        <v>1020.7112702601</v>
      </c>
      <c r="AD466" s="0" t="n">
        <f aca="false">W_PH(AD$2,$A466)</f>
        <v>1020.77185593875</v>
      </c>
      <c r="AE466" s="0" t="n">
        <f aca="false">W_PH(AE$2,$A466)</f>
        <v>1020.83244907803</v>
      </c>
      <c r="AF466" s="0" t="n">
        <f aca="false">W_PH(AF$2,$A466)</f>
        <v>1020.89304918123</v>
      </c>
      <c r="AG466" s="0" t="n">
        <f aca="false">W_PH(AG$2,$A466)</f>
        <v>1020.95365919475</v>
      </c>
      <c r="AH466" s="0" t="n">
        <f aca="false">W_PH(AH$2,$A466)</f>
        <v>1021.56038106635</v>
      </c>
      <c r="AI466" s="0" t="n">
        <f aca="false">W_PH(AI$2,$A466)</f>
        <v>1022.16867125295</v>
      </c>
      <c r="AJ466" s="0" t="n">
        <f aca="false">W_PH(AJ$2,$A466)</f>
        <v>1022.77915668705</v>
      </c>
      <c r="AK466" s="0" t="n">
        <f aca="false">W_PH(AK$2,$A466)</f>
        <v>1023.39245740249</v>
      </c>
      <c r="AL466" s="0" t="n">
        <f aca="false">W_PH(AL$2,$A466)</f>
        <v>1024.00920152578</v>
      </c>
      <c r="AM466" s="0" t="n">
        <f aca="false">W_PH(AM$2,$A466)</f>
        <v>1024.63001034439</v>
      </c>
      <c r="AN466" s="0" t="n">
        <f aca="false">W_PH(AN$2,$A466)</f>
        <v>1025.25550987381</v>
      </c>
      <c r="AO466" s="0" t="n">
        <f aca="false">W_PH(AO$2,$A466)</f>
        <v>1025.88632167924</v>
      </c>
      <c r="AP466" s="0" t="n">
        <f aca="false">W_PH(AP$2,$A466)</f>
        <v>2015</v>
      </c>
      <c r="AQ466" s="0" t="n">
        <f aca="false">W_PH(AQ$2,$A466)</f>
        <v>2015</v>
      </c>
      <c r="AR466" s="0" t="n">
        <f aca="false">W_PH(AR$2,$A466)</f>
        <v>2015</v>
      </c>
      <c r="AS466" s="0" t="n">
        <f aca="false">W_PH(AS$2,$A466)</f>
        <v>2015</v>
      </c>
    </row>
    <row r="467" customFormat="false" ht="13.8" hidden="false" customHeight="false" outlineLevel="0" collapsed="false">
      <c r="A467" s="0" t="n">
        <v>6270</v>
      </c>
      <c r="B467" s="0" t="n">
        <f aca="false">W_PH(B$2,$A467)</f>
        <v>1021.26498847186</v>
      </c>
      <c r="C467" s="0" t="n">
        <f aca="false">W_PH(C$2,$A467)</f>
        <v>1021.26504876279</v>
      </c>
      <c r="D467" s="0" t="n">
        <f aca="false">W_PH(D$2,$A467)</f>
        <v>1021.26511019944</v>
      </c>
      <c r="E467" s="0" t="n">
        <f aca="false">W_PH(E$2,$A467)</f>
        <v>1021.26517049038</v>
      </c>
      <c r="F467" s="0" t="n">
        <f aca="false">W_PH(F$2,$A467)</f>
        <v>1021.26523192704</v>
      </c>
      <c r="G467" s="0" t="n">
        <f aca="false">W_PH(G$2,$A467)</f>
        <v>1021.26583712813</v>
      </c>
      <c r="H467" s="0" t="n">
        <f aca="false">W_PH(H$2,$A467)</f>
        <v>1021.26644232963</v>
      </c>
      <c r="I467" s="0" t="n">
        <f aca="false">W_PH(I$2,$A467)</f>
        <v>1021.26704867724</v>
      </c>
      <c r="J467" s="0" t="n">
        <f aca="false">W_PH(J$2,$A467)</f>
        <v>1021.26765502525</v>
      </c>
      <c r="K467" s="0" t="n">
        <f aca="false">W_PH(K$2,$A467)</f>
        <v>1021.26826022796</v>
      </c>
      <c r="L467" s="0" t="n">
        <f aca="false">W_PH(L$2,$A467)</f>
        <v>1021.26886543107</v>
      </c>
      <c r="M467" s="0" t="n">
        <f aca="false">W_PH(M$2,$A467)</f>
        <v>1021.26947063458</v>
      </c>
      <c r="N467" s="0" t="n">
        <f aca="false">W_PH(N$2,$A467)</f>
        <v>1021.27007812993</v>
      </c>
      <c r="O467" s="0" t="n">
        <f aca="false">W_PH(O$2,$A467)</f>
        <v>1021.27068333425</v>
      </c>
      <c r="P467" s="0" t="n">
        <f aca="false">W_PH(P$2,$A467)</f>
        <v>1021.27673998283</v>
      </c>
      <c r="Q467" s="0" t="n">
        <f aca="false">W_PH(Q$2,$A467)</f>
        <v>1021.28279896419</v>
      </c>
      <c r="R467" s="0" t="n">
        <f aca="false">W_PH(R$2,$A467)</f>
        <v>1021.28885569605</v>
      </c>
      <c r="S467" s="0" t="n">
        <f aca="false">W_PH(S$2,$A467)</f>
        <v>1021.29491361628</v>
      </c>
      <c r="T467" s="0" t="n">
        <f aca="false">W_PH(T$2,$A467)</f>
        <v>1021.30097157979</v>
      </c>
      <c r="U467" s="0" t="n">
        <f aca="false">W_PH(U$2,$A467)</f>
        <v>1021.30702844143</v>
      </c>
      <c r="V467" s="0" t="n">
        <f aca="false">W_PH(V$2,$A467)</f>
        <v>1021.31308763921</v>
      </c>
      <c r="W467" s="0" t="n">
        <f aca="false">W_PH(W$2,$A467)</f>
        <v>1021.31914459062</v>
      </c>
      <c r="X467" s="0" t="n">
        <f aca="false">W_PH(X$2,$A467)</f>
        <v>1021.32520158787</v>
      </c>
      <c r="Y467" s="0" t="n">
        <f aca="false">W_PH(Y$2,$A467)</f>
        <v>1021.38578339198</v>
      </c>
      <c r="Z467" s="0" t="n">
        <f aca="false">W_PH(Z$2,$A467)</f>
        <v>1021.44636820342</v>
      </c>
      <c r="AA467" s="0" t="n">
        <f aca="false">W_PH(AA$2,$A467)</f>
        <v>1021.5069589621</v>
      </c>
      <c r="AB467" s="0" t="n">
        <f aca="false">W_PH(AB$2,$A467)</f>
        <v>1021.56755402377</v>
      </c>
      <c r="AC467" s="0" t="n">
        <f aca="false">W_PH(AC$2,$A467)</f>
        <v>1021.62815632879</v>
      </c>
      <c r="AD467" s="0" t="n">
        <f aca="false">W_PH(AD$2,$A467)</f>
        <v>1021.68876652546</v>
      </c>
      <c r="AE467" s="0" t="n">
        <f aca="false">W_PH(AE$2,$A467)</f>
        <v>1021.74938296886</v>
      </c>
      <c r="AF467" s="0" t="n">
        <f aca="false">W_PH(AF$2,$A467)</f>
        <v>1021.81000860006</v>
      </c>
      <c r="AG467" s="0" t="n">
        <f aca="false">W_PH(AG$2,$A467)</f>
        <v>1021.87064177373</v>
      </c>
      <c r="AH467" s="0" t="n">
        <f aca="false">W_PH(AH$2,$A467)</f>
        <v>1022.47759741337</v>
      </c>
      <c r="AI467" s="0" t="n">
        <f aca="false">W_PH(AI$2,$A467)</f>
        <v>1023.08611411897</v>
      </c>
      <c r="AJ467" s="0" t="n">
        <f aca="false">W_PH(AJ$2,$A467)</f>
        <v>1023.69681235134</v>
      </c>
      <c r="AK467" s="0" t="n">
        <f aca="false">W_PH(AK$2,$A467)</f>
        <v>1024.31031258171</v>
      </c>
      <c r="AL467" s="0" t="n">
        <f aca="false">W_PH(AL$2,$A467)</f>
        <v>1024.92723762648</v>
      </c>
      <c r="AM467" s="0" t="n">
        <f aca="false">W_PH(AM$2,$A467)</f>
        <v>1025.54820577532</v>
      </c>
      <c r="AN467" s="0" t="n">
        <f aca="false">W_PH(AN$2,$A467)</f>
        <v>1026.17384004916</v>
      </c>
      <c r="AO467" s="0" t="n">
        <f aca="false">W_PH(AO$2,$A467)</f>
        <v>1026.80476365061</v>
      </c>
      <c r="AP467" s="0" t="n">
        <f aca="false">W_PH(AP$2,$A467)</f>
        <v>2015</v>
      </c>
      <c r="AQ467" s="0" t="n">
        <f aca="false">W_PH(AQ$2,$A467)</f>
        <v>2015</v>
      </c>
      <c r="AR467" s="0" t="n">
        <f aca="false">W_PH(AR$2,$A467)</f>
        <v>2015</v>
      </c>
      <c r="AS467" s="0" t="n">
        <f aca="false">W_PH(AS$2,$A467)</f>
        <v>2015</v>
      </c>
    </row>
    <row r="468" customFormat="false" ht="13.8" hidden="false" customHeight="false" outlineLevel="0" collapsed="false">
      <c r="A468" s="0" t="n">
        <v>6280</v>
      </c>
      <c r="B468" s="0" t="n">
        <f aca="false">W_PH(B$2,$A468)</f>
        <v>1022.18047134384</v>
      </c>
      <c r="C468" s="0" t="n">
        <f aca="false">W_PH(C$2,$A468)</f>
        <v>1022.18053172414</v>
      </c>
      <c r="D468" s="0" t="n">
        <f aca="false">W_PH(D$2,$A468)</f>
        <v>1022.18059324917</v>
      </c>
      <c r="E468" s="0" t="n">
        <f aca="false">W_PH(E$2,$A468)</f>
        <v>1022.18065362948</v>
      </c>
      <c r="F468" s="0" t="n">
        <f aca="false">W_PH(F$2,$A468)</f>
        <v>1022.1807140098</v>
      </c>
      <c r="G468" s="0" t="n">
        <f aca="false">W_PH(G$2,$A468)</f>
        <v>1022.18132010262</v>
      </c>
      <c r="H468" s="0" t="n">
        <f aca="false">W_PH(H$2,$A468)</f>
        <v>1022.18192619584</v>
      </c>
      <c r="I468" s="0" t="n">
        <f aca="false">W_PH(I$2,$A468)</f>
        <v>1022.18253228946</v>
      </c>
      <c r="J468" s="0" t="n">
        <f aca="false">W_PH(J$2,$A468)</f>
        <v>1022.18313838347</v>
      </c>
      <c r="K468" s="0" t="n">
        <f aca="false">W_PH(K$2,$A468)</f>
        <v>1022.18374447789</v>
      </c>
      <c r="L468" s="0" t="n">
        <f aca="false">W_PH(L$2,$A468)</f>
        <v>1022.18434942797</v>
      </c>
      <c r="M468" s="0" t="n">
        <f aca="false">W_PH(M$2,$A468)</f>
        <v>1022.18495552319</v>
      </c>
      <c r="N468" s="0" t="n">
        <f aca="false">W_PH(N$2,$A468)</f>
        <v>1022.1855616188</v>
      </c>
      <c r="O468" s="0" t="n">
        <f aca="false">W_PH(O$2,$A468)</f>
        <v>1022.18616771482</v>
      </c>
      <c r="P468" s="0" t="n">
        <f aca="false">W_PH(P$2,$A468)</f>
        <v>1022.19222755247</v>
      </c>
      <c r="Q468" s="0" t="n">
        <f aca="false">W_PH(Q$2,$A468)</f>
        <v>1022.19828743098</v>
      </c>
      <c r="R468" s="0" t="n">
        <f aca="false">W_PH(R$2,$A468)</f>
        <v>1022.20434735098</v>
      </c>
      <c r="S468" s="0" t="n">
        <f aca="false">W_PH(S$2,$A468)</f>
        <v>1022.21040845791</v>
      </c>
      <c r="T468" s="0" t="n">
        <f aca="false">W_PH(T$2,$A468)</f>
        <v>1022.21646731808</v>
      </c>
      <c r="U468" s="0" t="n">
        <f aca="false">W_PH(U$2,$A468)</f>
        <v>1022.22252851126</v>
      </c>
      <c r="V468" s="0" t="n">
        <f aca="false">W_PH(V$2,$A468)</f>
        <v>1022.22858745892</v>
      </c>
      <c r="W468" s="0" t="n">
        <f aca="false">W_PH(W$2,$A468)</f>
        <v>1022.23464874093</v>
      </c>
      <c r="X468" s="0" t="n">
        <f aca="false">W_PH(X$2,$A468)</f>
        <v>1022.24070777867</v>
      </c>
      <c r="Y468" s="0" t="n">
        <f aca="false">W_PH(Y$2,$A468)</f>
        <v>1022.30131224165</v>
      </c>
      <c r="Z468" s="0" t="n">
        <f aca="false">W_PH(Z$2,$A468)</f>
        <v>1022.36192195151</v>
      </c>
      <c r="AA468" s="0" t="n">
        <f aca="false">W_PH(AA$2,$A468)</f>
        <v>1022.42253526315</v>
      </c>
      <c r="AB468" s="0" t="n">
        <f aca="false">W_PH(AB$2,$A468)</f>
        <v>1022.48315511168</v>
      </c>
      <c r="AC468" s="0" t="n">
        <f aca="false">W_PH(AC$2,$A468)</f>
        <v>1022.54378099694</v>
      </c>
      <c r="AD468" s="0" t="n">
        <f aca="false">W_PH(AD$2,$A468)</f>
        <v>1022.60441470934</v>
      </c>
      <c r="AE468" s="0" t="n">
        <f aca="false">W_PH(AE$2,$A468)</f>
        <v>1022.66505345731</v>
      </c>
      <c r="AF468" s="0" t="n">
        <f aca="false">W_PH(AF$2,$A468)</f>
        <v>1022.72570246796</v>
      </c>
      <c r="AG468" s="0" t="n">
        <f aca="false">W_PH(AG$2,$A468)</f>
        <v>1022.78635894943</v>
      </c>
      <c r="AH468" s="0" t="n">
        <f aca="false">W_PH(AH$2,$A468)</f>
        <v>1023.39354529268</v>
      </c>
      <c r="AI468" s="0" t="n">
        <f aca="false">W_PH(AI$2,$A468)</f>
        <v>1024.00228211564</v>
      </c>
      <c r="AJ468" s="0" t="n">
        <f aca="false">W_PH(AJ$2,$A468)</f>
        <v>1024.61318917042</v>
      </c>
      <c r="AK468" s="0" t="n">
        <f aca="false">W_PH(AK$2,$A468)</f>
        <v>1025.22688278622</v>
      </c>
      <c r="AL468" s="0" t="n">
        <f aca="false">W_PH(AL$2,$A468)</f>
        <v>1025.84398163922</v>
      </c>
      <c r="AM468" s="0" t="n">
        <f aca="false">W_PH(AM$2,$A468)</f>
        <v>1026.46510679991</v>
      </c>
      <c r="AN468" s="0" t="n">
        <f aca="false">W_PH(AN$2,$A468)</f>
        <v>1027.09087256135</v>
      </c>
      <c r="AO468" s="0" t="n">
        <f aca="false">W_PH(AO$2,$A468)</f>
        <v>1027.72190146397</v>
      </c>
      <c r="AP468" s="0" t="n">
        <f aca="false">W_PH(AP$2,$A468)</f>
        <v>2015</v>
      </c>
      <c r="AQ468" s="0" t="n">
        <f aca="false">W_PH(AQ$2,$A468)</f>
        <v>2015</v>
      </c>
      <c r="AR468" s="0" t="n">
        <f aca="false">W_PH(AR$2,$A468)</f>
        <v>2015</v>
      </c>
      <c r="AS468" s="0" t="n">
        <f aca="false">W_PH(AS$2,$A468)</f>
        <v>2015</v>
      </c>
    </row>
    <row r="469" customFormat="false" ht="13.8" hidden="false" customHeight="false" outlineLevel="0" collapsed="false">
      <c r="A469" s="0" t="n">
        <v>6290</v>
      </c>
      <c r="B469" s="0" t="n">
        <f aca="false">W_PH(B$2,$A469)</f>
        <v>1023.09469958353</v>
      </c>
      <c r="C469" s="0" t="n">
        <f aca="false">W_PH(C$2,$A469)</f>
        <v>1023.09476005209</v>
      </c>
      <c r="D469" s="0" t="n">
        <f aca="false">W_PH(D$2,$A469)</f>
        <v>1023.09482052066</v>
      </c>
      <c r="E469" s="0" t="n">
        <f aca="false">W_PH(E$2,$A469)</f>
        <v>1023.09488098924</v>
      </c>
      <c r="F469" s="0" t="n">
        <f aca="false">W_PH(F$2,$A469)</f>
        <v>1023.09494145782</v>
      </c>
      <c r="G469" s="0" t="n">
        <f aca="false">W_PH(G$2,$A469)</f>
        <v>1023.09554843128</v>
      </c>
      <c r="H469" s="0" t="n">
        <f aca="false">W_PH(H$2,$A469)</f>
        <v>1023.09615426141</v>
      </c>
      <c r="I469" s="0" t="n">
        <f aca="false">W_PH(I$2,$A469)</f>
        <v>1023.09676009192</v>
      </c>
      <c r="J469" s="0" t="n">
        <f aca="false">W_PH(J$2,$A469)</f>
        <v>1023.09736706657</v>
      </c>
      <c r="K469" s="0" t="n">
        <f aca="false">W_PH(K$2,$A469)</f>
        <v>1023.09797289787</v>
      </c>
      <c r="L469" s="0" t="n">
        <f aca="false">W_PH(L$2,$A469)</f>
        <v>1023.09857872957</v>
      </c>
      <c r="M469" s="0" t="n">
        <f aca="false">W_PH(M$2,$A469)</f>
        <v>1023.0991857054</v>
      </c>
      <c r="N469" s="0" t="n">
        <f aca="false">W_PH(N$2,$A469)</f>
        <v>1023.09979153789</v>
      </c>
      <c r="O469" s="0" t="n">
        <f aca="false">W_PH(O$2,$A469)</f>
        <v>1023.10039737078</v>
      </c>
      <c r="P469" s="0" t="n">
        <f aca="false">W_PH(P$2,$A469)</f>
        <v>1023.10646029658</v>
      </c>
      <c r="Q469" s="0" t="n">
        <f aca="false">W_PH(Q$2,$A469)</f>
        <v>1023.11252326278</v>
      </c>
      <c r="R469" s="0" t="n">
        <f aca="false">W_PH(R$2,$A469)</f>
        <v>1023.11858512627</v>
      </c>
      <c r="S469" s="0" t="n">
        <f aca="false">W_PH(S$2,$A469)</f>
        <v>1023.12464703142</v>
      </c>
      <c r="T469" s="0" t="n">
        <f aca="false">W_PH(T$2,$A469)</f>
        <v>1023.13071012268</v>
      </c>
      <c r="U469" s="0" t="n">
        <f aca="false">W_PH(U$2,$A469)</f>
        <v>1023.13677211312</v>
      </c>
      <c r="V469" s="0" t="n">
        <f aca="false">W_PH(V$2,$A469)</f>
        <v>1023.14283414715</v>
      </c>
      <c r="W469" s="0" t="n">
        <f aca="false">W_PH(W$2,$A469)</f>
        <v>1023.14889736924</v>
      </c>
      <c r="X469" s="0" t="n">
        <f aca="false">W_PH(X$2,$A469)</f>
        <v>1023.15495949241</v>
      </c>
      <c r="Y469" s="0" t="n">
        <f aca="false">W_PH(Y$2,$A469)</f>
        <v>1023.21558676561</v>
      </c>
      <c r="Z469" s="0" t="n">
        <f aca="false">W_PH(Z$2,$A469)</f>
        <v>1023.27622037805</v>
      </c>
      <c r="AA469" s="0" t="n">
        <f aca="false">W_PH(AA$2,$A469)</f>
        <v>1023.33685639558</v>
      </c>
      <c r="AB469" s="0" t="n">
        <f aca="false">W_PH(AB$2,$A469)</f>
        <v>1023.39749889223</v>
      </c>
      <c r="AC469" s="0" t="n">
        <f aca="false">W_PH(AC$2,$A469)</f>
        <v>1023.45814736581</v>
      </c>
      <c r="AD469" s="0" t="n">
        <f aca="false">W_PH(AD$2,$A469)</f>
        <v>1023.5188036027</v>
      </c>
      <c r="AE469" s="0" t="n">
        <f aca="false">W_PH(AE$2,$A469)</f>
        <v>1023.57946595592</v>
      </c>
      <c r="AF469" s="0" t="n">
        <f aca="false">W_PH(AF$2,$A469)</f>
        <v>1023.64013735645</v>
      </c>
      <c r="AG469" s="0" t="n">
        <f aca="false">W_PH(AG$2,$A469)</f>
        <v>1023.70081844653</v>
      </c>
      <c r="AH469" s="0" t="n">
        <f aca="false">W_PH(AH$2,$A469)</f>
        <v>1024.30822794117</v>
      </c>
      <c r="AI469" s="0" t="n">
        <f aca="false">W_PH(AI$2,$A469)</f>
        <v>1024.91717972611</v>
      </c>
      <c r="AJ469" s="0" t="n">
        <f aca="false">W_PH(AJ$2,$A469)</f>
        <v>1025.52828942399</v>
      </c>
      <c r="AK469" s="0" t="n">
        <f aca="false">W_PH(AK$2,$A469)</f>
        <v>1026.14217268894</v>
      </c>
      <c r="AL469" s="0" t="n">
        <f aca="false">W_PH(AL$2,$A469)</f>
        <v>1026.75944293582</v>
      </c>
      <c r="AM469" s="0" t="n">
        <f aca="false">W_PH(AM$2,$A469)</f>
        <v>1027.38071712208</v>
      </c>
      <c r="AN469" s="0" t="n">
        <f aca="false">W_PH(AN$2,$A469)</f>
        <v>1028.00661119775</v>
      </c>
      <c r="AO469" s="0" t="n">
        <f aca="false">W_PH(AO$2,$A469)</f>
        <v>1028.63774015053</v>
      </c>
      <c r="AP469" s="0" t="n">
        <f aca="false">W_PH(AP$2,$A469)</f>
        <v>2015</v>
      </c>
      <c r="AQ469" s="0" t="n">
        <f aca="false">W_PH(AQ$2,$A469)</f>
        <v>2015</v>
      </c>
      <c r="AR469" s="0" t="n">
        <f aca="false">W_PH(AR$2,$A469)</f>
        <v>2015</v>
      </c>
      <c r="AS469" s="0" t="n">
        <f aca="false">W_PH(AS$2,$A469)</f>
        <v>2015</v>
      </c>
    </row>
    <row r="470" customFormat="false" ht="13.8" hidden="false" customHeight="false" outlineLevel="0" collapsed="false">
      <c r="A470" s="0" t="n">
        <v>6300</v>
      </c>
      <c r="B470" s="0" t="n">
        <f aca="false">W_PH(B$2,$A470)</f>
        <v>1024.00767963731</v>
      </c>
      <c r="C470" s="0" t="n">
        <f aca="false">W_PH(C$2,$A470)</f>
        <v>1024.00774019304</v>
      </c>
      <c r="D470" s="0" t="n">
        <f aca="false">W_PH(D$2,$A470)</f>
        <v>1024.00780074878</v>
      </c>
      <c r="E470" s="0" t="n">
        <f aca="false">W_PH(E$2,$A470)</f>
        <v>1024.00786130452</v>
      </c>
      <c r="F470" s="0" t="n">
        <f aca="false">W_PH(F$2,$A470)</f>
        <v>1024.00792186026</v>
      </c>
      <c r="G470" s="0" t="n">
        <f aca="false">W_PH(G$2,$A470)</f>
        <v>1024.00852741792</v>
      </c>
      <c r="H470" s="0" t="n">
        <f aca="false">W_PH(H$2,$A470)</f>
        <v>1024.0091341187</v>
      </c>
      <c r="I470" s="0" t="n">
        <f aca="false">W_PH(I$2,$A470)</f>
        <v>1024.00974081987</v>
      </c>
      <c r="J470" s="0" t="n">
        <f aca="false">W_PH(J$2,$A470)</f>
        <v>1024.01034637868</v>
      </c>
      <c r="K470" s="0" t="n">
        <f aca="false">W_PH(K$2,$A470)</f>
        <v>1024.01095422338</v>
      </c>
      <c r="L470" s="0" t="n">
        <f aca="false">W_PH(L$2,$A470)</f>
        <v>1024.01155978297</v>
      </c>
      <c r="M470" s="0" t="n">
        <f aca="false">W_PH(M$2,$A470)</f>
        <v>1024.0121664857</v>
      </c>
      <c r="N470" s="0" t="n">
        <f aca="false">W_PH(N$2,$A470)</f>
        <v>1024.01277318883</v>
      </c>
      <c r="O470" s="0" t="n">
        <f aca="false">W_PH(O$2,$A470)</f>
        <v>1024.01337874959</v>
      </c>
      <c r="P470" s="0" t="n">
        <f aca="false">W_PH(P$2,$A470)</f>
        <v>1024.01944352098</v>
      </c>
      <c r="Q470" s="0" t="n">
        <f aca="false">W_PH(Q$2,$A470)</f>
        <v>1024.0255083323</v>
      </c>
      <c r="R470" s="0" t="n">
        <f aca="false">W_PH(R$2,$A470)</f>
        <v>1024.03157318421</v>
      </c>
      <c r="S470" s="0" t="n">
        <f aca="false">W_PH(S$2,$A470)</f>
        <v>1024.03763807735</v>
      </c>
      <c r="T470" s="0" t="n">
        <f aca="false">W_PH(T$2,$A470)</f>
        <v>1024.04370301234</v>
      </c>
      <c r="U470" s="0" t="n">
        <f aca="false">W_PH(U$2,$A470)</f>
        <v>1024.04976798984</v>
      </c>
      <c r="V470" s="0" t="n">
        <f aca="false">W_PH(V$2,$A470)</f>
        <v>1024.05583186765</v>
      </c>
      <c r="W470" s="0" t="n">
        <f aca="false">W_PH(W$2,$A470)</f>
        <v>1024.06189693206</v>
      </c>
      <c r="X470" s="0" t="n">
        <f aca="false">W_PH(X$2,$A470)</f>
        <v>1024.06796089803</v>
      </c>
      <c r="Y470" s="0" t="n">
        <f aca="false">W_PH(Y$2,$A470)</f>
        <v>1024.12861228388</v>
      </c>
      <c r="Z470" s="0" t="n">
        <f aca="false">W_PH(Z$2,$A470)</f>
        <v>1024.18926652811</v>
      </c>
      <c r="AA470" s="0" t="n">
        <f aca="false">W_PH(AA$2,$A470)</f>
        <v>1024.24992655558</v>
      </c>
      <c r="AB470" s="0" t="n">
        <f aca="false">W_PH(AB$2,$A470)</f>
        <v>1024.31059071891</v>
      </c>
      <c r="AC470" s="0" t="n">
        <f aca="false">W_PH(AC$2,$A470)</f>
        <v>1024.37126194343</v>
      </c>
      <c r="AD470" s="0" t="n">
        <f aca="false">W_PH(AD$2,$A470)</f>
        <v>1024.43194086833</v>
      </c>
      <c r="AE470" s="0" t="n">
        <f aca="false">W_PH(AE$2,$A470)</f>
        <v>1024.49262584561</v>
      </c>
      <c r="AF470" s="0" t="n">
        <f aca="false">W_PH(AF$2,$A470)</f>
        <v>1024.55331980127</v>
      </c>
      <c r="AG470" s="0" t="n">
        <f aca="false">W_PH(AG$2,$A470)</f>
        <v>1024.61402223073</v>
      </c>
      <c r="AH470" s="0" t="n">
        <f aca="false">W_PH(AH$2,$A470)</f>
        <v>1025.22165086043</v>
      </c>
      <c r="AI470" s="0" t="n">
        <f aca="false">W_PH(AI$2,$A470)</f>
        <v>1025.83081254906</v>
      </c>
      <c r="AJ470" s="0" t="n">
        <f aca="false">W_PH(AJ$2,$A470)</f>
        <v>1026.44212110339</v>
      </c>
      <c r="AK470" s="0" t="n">
        <f aca="false">W_PH(AK$2,$A470)</f>
        <v>1027.05618692989</v>
      </c>
      <c r="AL470" s="0" t="n">
        <f aca="false">W_PH(AL$2,$A470)</f>
        <v>1027.67362394273</v>
      </c>
      <c r="AM470" s="0" t="n">
        <f aca="false">W_PH(AM$2,$A470)</f>
        <v>1028.29504386482</v>
      </c>
      <c r="AN470" s="0" t="n">
        <f aca="false">W_PH(AN$2,$A470)</f>
        <v>1028.92105971369</v>
      </c>
      <c r="AO470" s="0" t="n">
        <f aca="false">W_PH(AO$2,$A470)</f>
        <v>1029.55228700774</v>
      </c>
      <c r="AP470" s="0" t="n">
        <f aca="false">W_PH(AP$2,$A470)</f>
        <v>2015</v>
      </c>
      <c r="AQ470" s="0" t="n">
        <f aca="false">W_PH(AQ$2,$A470)</f>
        <v>2015</v>
      </c>
      <c r="AR470" s="0" t="n">
        <f aca="false">W_PH(AR$2,$A470)</f>
        <v>2015</v>
      </c>
      <c r="AS470" s="0" t="n">
        <f aca="false">W_PH(AS$2,$A470)</f>
        <v>2015</v>
      </c>
    </row>
    <row r="471" customFormat="false" ht="13.8" hidden="false" customHeight="false" outlineLevel="0" collapsed="false">
      <c r="A471" s="0" t="n">
        <v>6310</v>
      </c>
      <c r="B471" s="0" t="n">
        <f aca="false">W_PH(B$2,$A471)</f>
        <v>1024.91941335034</v>
      </c>
      <c r="C471" s="0" t="n">
        <f aca="false">W_PH(C$2,$A471)</f>
        <v>1024.91947399215</v>
      </c>
      <c r="D471" s="0" t="n">
        <f aca="false">W_PH(D$2,$A471)</f>
        <v>1024.91953463397</v>
      </c>
      <c r="E471" s="0" t="n">
        <f aca="false">W_PH(E$2,$A471)</f>
        <v>1024.91959527579</v>
      </c>
      <c r="F471" s="0" t="n">
        <f aca="false">W_PH(F$2,$A471)</f>
        <v>1024.91965591761</v>
      </c>
      <c r="G471" s="0" t="n">
        <f aca="false">W_PH(G$2,$A471)</f>
        <v>1024.92026347781</v>
      </c>
      <c r="H471" s="0" t="n">
        <f aca="false">W_PH(H$2,$A471)</f>
        <v>1024.92087103839</v>
      </c>
      <c r="I471" s="0" t="n">
        <f aca="false">W_PH(I$2,$A471)</f>
        <v>1024.9214774576</v>
      </c>
      <c r="J471" s="0" t="n">
        <f aca="false">W_PH(J$2,$A471)</f>
        <v>1024.92208387719</v>
      </c>
      <c r="K471" s="0" t="n">
        <f aca="false">W_PH(K$2,$A471)</f>
        <v>1024.92269029717</v>
      </c>
      <c r="L471" s="0" t="n">
        <f aca="false">W_PH(L$2,$A471)</f>
        <v>1024.92329671753</v>
      </c>
      <c r="M471" s="0" t="n">
        <f aca="false">W_PH(M$2,$A471)</f>
        <v>1024.92390313828</v>
      </c>
      <c r="N471" s="0" t="n">
        <f aca="false">W_PH(N$2,$A471)</f>
        <v>1024.92450955942</v>
      </c>
      <c r="O471" s="0" t="n">
        <f aca="false">W_PH(O$2,$A471)</f>
        <v>1024.92511598094</v>
      </c>
      <c r="P471" s="0" t="n">
        <f aca="false">W_PH(P$2,$A471)</f>
        <v>1024.93118364296</v>
      </c>
      <c r="Q471" s="0" t="n">
        <f aca="false">W_PH(Q$2,$A471)</f>
        <v>1024.93725134448</v>
      </c>
      <c r="R471" s="0" t="n">
        <f aca="false">W_PH(R$2,$A471)</f>
        <v>1024.94331794435</v>
      </c>
      <c r="S471" s="0" t="n">
        <f aca="false">W_PH(S$2,$A471)</f>
        <v>1024.94938458498</v>
      </c>
      <c r="T471" s="0" t="n">
        <f aca="false">W_PH(T$2,$A471)</f>
        <v>1024.955451267</v>
      </c>
      <c r="U471" s="0" t="n">
        <f aca="false">W_PH(U$2,$A471)</f>
        <v>1024.96151799105</v>
      </c>
      <c r="V471" s="0" t="n">
        <f aca="false">W_PH(V$2,$A471)</f>
        <v>1024.96758475778</v>
      </c>
      <c r="W471" s="0" t="n">
        <f aca="false">W_PH(W$2,$A471)</f>
        <v>1024.9736515678</v>
      </c>
      <c r="X471" s="0" t="n">
        <f aca="false">W_PH(X$2,$A471)</f>
        <v>1024.97971842177</v>
      </c>
      <c r="Y471" s="0" t="n">
        <f aca="false">W_PH(Y$2,$A471)</f>
        <v>1025.040391802</v>
      </c>
      <c r="Z471" s="0" t="n">
        <f aca="false">W_PH(Z$2,$A471)</f>
        <v>1025.10106799228</v>
      </c>
      <c r="AA471" s="0" t="n">
        <f aca="false">W_PH(AA$2,$A471)</f>
        <v>1025.1617499125</v>
      </c>
      <c r="AB471" s="0" t="n">
        <f aca="false">W_PH(AB$2,$A471)</f>
        <v>1025.22243705657</v>
      </c>
      <c r="AC471" s="0" t="n">
        <f aca="false">W_PH(AC$2,$A471)</f>
        <v>1025.28313120277</v>
      </c>
      <c r="AD471" s="0" t="n">
        <f aca="false">W_PH(AD$2,$A471)</f>
        <v>1025.3438307023</v>
      </c>
      <c r="AE471" s="0" t="n">
        <f aca="false">W_PH(AE$2,$A471)</f>
        <v>1025.40453847598</v>
      </c>
      <c r="AF471" s="0" t="n">
        <f aca="false">W_PH(AF$2,$A471)</f>
        <v>1025.4652540173</v>
      </c>
      <c r="AG471" s="0" t="n">
        <f aca="false">W_PH(AG$2,$A471)</f>
        <v>1025.52597681938</v>
      </c>
      <c r="AH471" s="0" t="n">
        <f aca="false">W_PH(AH$2,$A471)</f>
        <v>1026.13381951913</v>
      </c>
      <c r="AI471" s="0" t="n">
        <f aca="false">W_PH(AI$2,$A471)</f>
        <v>1026.74318614894</v>
      </c>
      <c r="AJ471" s="0" t="n">
        <f aca="false">W_PH(AJ$2,$A471)</f>
        <v>1027.35468757232</v>
      </c>
      <c r="AK471" s="0" t="n">
        <f aca="false">W_PH(AK$2,$A471)</f>
        <v>1027.96893241051</v>
      </c>
      <c r="AL471" s="0" t="n">
        <f aca="false">W_PH(AL$2,$A471)</f>
        <v>1028.5865316531</v>
      </c>
      <c r="AM471" s="0" t="n">
        <f aca="false">W_PH(AM$2,$A471)</f>
        <v>1029.20809295872</v>
      </c>
      <c r="AN471" s="0" t="n">
        <f aca="false">W_PH(AN$2,$A471)</f>
        <v>1029.83422758223</v>
      </c>
      <c r="AO471" s="0" t="n">
        <f aca="false">W_PH(AO$2,$A471)</f>
        <v>1030.46554583481</v>
      </c>
      <c r="AP471" s="0" t="n">
        <f aca="false">W_PH(AP$2,$A471)</f>
        <v>2015</v>
      </c>
      <c r="AQ471" s="0" t="n">
        <f aca="false">W_PH(AQ$2,$A471)</f>
        <v>2015</v>
      </c>
      <c r="AR471" s="0" t="n">
        <f aca="false">W_PH(AR$2,$A471)</f>
        <v>2015</v>
      </c>
      <c r="AS471" s="0" t="n">
        <f aca="false">W_PH(AS$2,$A471)</f>
        <v>2015</v>
      </c>
    </row>
    <row r="472" customFormat="false" ht="13.8" hidden="false" customHeight="false" outlineLevel="0" collapsed="false">
      <c r="A472" s="0" t="n">
        <v>6320</v>
      </c>
      <c r="B472" s="0" t="n">
        <f aca="false">W_PH(B$2,$A472)</f>
        <v>1025.82991053496</v>
      </c>
      <c r="C472" s="0" t="n">
        <f aca="false">W_PH(C$2,$A472)</f>
        <v>1025.82997126178</v>
      </c>
      <c r="D472" s="0" t="n">
        <f aca="false">W_PH(D$2,$A472)</f>
        <v>1025.8300319886</v>
      </c>
      <c r="E472" s="0" t="n">
        <f aca="false">W_PH(E$2,$A472)</f>
        <v>1025.83009271542</v>
      </c>
      <c r="F472" s="0" t="n">
        <f aca="false">W_PH(F$2,$A472)</f>
        <v>1025.83015344225</v>
      </c>
      <c r="G472" s="0" t="n">
        <f aca="false">W_PH(G$2,$A472)</f>
        <v>1025.83076071074</v>
      </c>
      <c r="H472" s="0" t="n">
        <f aca="false">W_PH(H$2,$A472)</f>
        <v>1025.8313679796</v>
      </c>
      <c r="I472" s="0" t="n">
        <f aca="false">W_PH(I$2,$A472)</f>
        <v>1025.83197410807</v>
      </c>
      <c r="J472" s="0" t="n">
        <f aca="false">W_PH(J$2,$A472)</f>
        <v>1025.83258023691</v>
      </c>
      <c r="K472" s="0" t="n">
        <f aca="false">W_PH(K$2,$A472)</f>
        <v>1025.83318750692</v>
      </c>
      <c r="L472" s="0" t="n">
        <f aca="false">W_PH(L$2,$A472)</f>
        <v>1025.83379477731</v>
      </c>
      <c r="M472" s="0" t="n">
        <f aca="false">W_PH(M$2,$A472)</f>
        <v>1025.83440204808</v>
      </c>
      <c r="N472" s="0" t="n">
        <f aca="false">W_PH(N$2,$A472)</f>
        <v>1025.83500931923</v>
      </c>
      <c r="O472" s="0" t="n">
        <f aca="false">W_PH(O$2,$A472)</f>
        <v>1025.83561544998</v>
      </c>
      <c r="P472" s="0" t="n">
        <f aca="false">W_PH(P$2,$A472)</f>
        <v>1025.84168476424</v>
      </c>
      <c r="Q472" s="0" t="n">
        <f aca="false">W_PH(Q$2,$A472)</f>
        <v>1025.84775297675</v>
      </c>
      <c r="R472" s="0" t="n">
        <f aca="false">W_PH(R$2,$A472)</f>
        <v>1025.85382236975</v>
      </c>
      <c r="S472" s="0" t="n">
        <f aca="false">W_PH(S$2,$A472)</f>
        <v>1025.85989180306</v>
      </c>
      <c r="T472" s="0" t="n">
        <f aca="false">W_PH(T$2,$A472)</f>
        <v>1025.8659601365</v>
      </c>
      <c r="U472" s="0" t="n">
        <f aca="false">W_PH(U$2,$A472)</f>
        <v>1025.87202965234</v>
      </c>
      <c r="V472" s="0" t="n">
        <f aca="false">W_PH(V$2,$A472)</f>
        <v>1025.87809921041</v>
      </c>
      <c r="W472" s="0" t="n">
        <f aca="false">W_PH(W$2,$A472)</f>
        <v>1025.88416767047</v>
      </c>
      <c r="X472" s="0" t="n">
        <f aca="false">W_PH(X$2,$A472)</f>
        <v>1025.89023731487</v>
      </c>
      <c r="Y472" s="0" t="n">
        <f aca="false">W_PH(Y$2,$A472)</f>
        <v>1025.95093058509</v>
      </c>
      <c r="Z472" s="0" t="n">
        <f aca="false">W_PH(Z$2,$A472)</f>
        <v>1026.01163004065</v>
      </c>
      <c r="AA472" s="0" t="n">
        <f aca="false">W_PH(AA$2,$A472)</f>
        <v>1026.0723328915</v>
      </c>
      <c r="AB472" s="0" t="n">
        <f aca="false">W_PH(AB$2,$A472)</f>
        <v>1026.13304205281</v>
      </c>
      <c r="AC472" s="0" t="n">
        <f aca="false">W_PH(AC$2,$A472)</f>
        <v>1026.19375587503</v>
      </c>
      <c r="AD472" s="0" t="n">
        <f aca="false">W_PH(AD$2,$A472)</f>
        <v>1026.25447727378</v>
      </c>
      <c r="AE472" s="0" t="n">
        <f aca="false">W_PH(AE$2,$A472)</f>
        <v>1026.31520688232</v>
      </c>
      <c r="AF472" s="0" t="n">
        <f aca="false">W_PH(AF$2,$A472)</f>
        <v>1026.37594305047</v>
      </c>
      <c r="AG472" s="0" t="n">
        <f aca="false">W_PH(AG$2,$A472)</f>
        <v>1026.43668869455</v>
      </c>
      <c r="AH472" s="0" t="n">
        <f aca="false">W_PH(AH$2,$A472)</f>
        <v>1027.0447393533</v>
      </c>
      <c r="AI472" s="0" t="n">
        <f aca="false">W_PH(AI$2,$A472)</f>
        <v>1027.65430605633</v>
      </c>
      <c r="AJ472" s="0" t="n">
        <f aca="false">W_PH(AJ$2,$A472)</f>
        <v>1028.26599674734</v>
      </c>
      <c r="AK472" s="0" t="n">
        <f aca="false">W_PH(AK$2,$A472)</f>
        <v>1028.88041484573</v>
      </c>
      <c r="AL472" s="0" t="n">
        <f aca="false">W_PH(AL$2,$A472)</f>
        <v>1029.49817072441</v>
      </c>
      <c r="AM472" s="0" t="n">
        <f aca="false">W_PH(AM$2,$A472)</f>
        <v>1030.1198679998</v>
      </c>
      <c r="AN472" s="0" t="n">
        <f aca="false">W_PH(AN$2,$A472)</f>
        <v>1030.74611733067</v>
      </c>
      <c r="AO472" s="0" t="n">
        <f aca="false">W_PH(AO$2,$A472)</f>
        <v>1031.3775238477</v>
      </c>
      <c r="AP472" s="0" t="n">
        <f aca="false">W_PH(AP$2,$A472)</f>
        <v>2015</v>
      </c>
      <c r="AQ472" s="0" t="n">
        <f aca="false">W_PH(AQ$2,$A472)</f>
        <v>2015</v>
      </c>
      <c r="AR472" s="0" t="n">
        <f aca="false">W_PH(AR$2,$A472)</f>
        <v>2015</v>
      </c>
      <c r="AS472" s="0" t="n">
        <f aca="false">W_PH(AS$2,$A472)</f>
        <v>2015</v>
      </c>
    </row>
    <row r="473" customFormat="false" ht="13.8" hidden="false" customHeight="false" outlineLevel="0" collapsed="false">
      <c r="A473" s="0" t="n">
        <v>6330</v>
      </c>
      <c r="B473" s="0" t="n">
        <f aca="false">W_PH(B$2,$A473)</f>
        <v>1026.73917411931</v>
      </c>
      <c r="C473" s="0" t="n">
        <f aca="false">W_PH(C$2,$A473)</f>
        <v>1026.73923493007</v>
      </c>
      <c r="D473" s="0" t="n">
        <f aca="false">W_PH(D$2,$A473)</f>
        <v>1026.73929574083</v>
      </c>
      <c r="E473" s="0" t="n">
        <f aca="false">W_PH(E$2,$A473)</f>
        <v>1026.7393565516</v>
      </c>
      <c r="F473" s="0" t="n">
        <f aca="false">W_PH(F$2,$A473)</f>
        <v>1026.73941622257</v>
      </c>
      <c r="G473" s="0" t="n">
        <f aca="false">W_PH(G$2,$A473)</f>
        <v>1026.74002319067</v>
      </c>
      <c r="H473" s="0" t="n">
        <f aca="false">W_PH(H$2,$A473)</f>
        <v>1026.74063129894</v>
      </c>
      <c r="I473" s="0" t="n">
        <f aca="false">W_PH(I$2,$A473)</f>
        <v>1026.74123712799</v>
      </c>
      <c r="J473" s="0" t="n">
        <f aca="false">W_PH(J$2,$A473)</f>
        <v>1026.74184523701</v>
      </c>
      <c r="K473" s="0" t="n">
        <f aca="false">W_PH(K$2,$A473)</f>
        <v>1026.74245106681</v>
      </c>
      <c r="L473" s="0" t="n">
        <f aca="false">W_PH(L$2,$A473)</f>
        <v>1026.74305917659</v>
      </c>
      <c r="M473" s="0" t="n">
        <f aca="false">W_PH(M$2,$A473)</f>
        <v>1026.74366614695</v>
      </c>
      <c r="N473" s="0" t="n">
        <f aca="false">W_PH(N$2,$A473)</f>
        <v>1026.74427311768</v>
      </c>
      <c r="O473" s="0" t="n">
        <f aca="false">W_PH(O$2,$A473)</f>
        <v>1026.7448800888</v>
      </c>
      <c r="P473" s="0" t="n">
        <f aca="false">W_PH(P$2,$A473)</f>
        <v>1026.75095096073</v>
      </c>
      <c r="Q473" s="0" t="n">
        <f aca="false">W_PH(Q$2,$A473)</f>
        <v>1026.7570230111</v>
      </c>
      <c r="R473" s="0" t="n">
        <f aca="false">W_PH(R$2,$A473)</f>
        <v>1026.76309282105</v>
      </c>
      <c r="S473" s="0" t="n">
        <f aca="false">W_PH(S$2,$A473)</f>
        <v>1026.76916495054</v>
      </c>
      <c r="T473" s="0" t="n">
        <f aca="false">W_PH(T$2,$A473)</f>
        <v>1026.7752359807</v>
      </c>
      <c r="U473" s="0" t="n">
        <f aca="false">W_PH(U$2,$A473)</f>
        <v>1026.78130705199</v>
      </c>
      <c r="V473" s="0" t="n">
        <f aca="false">W_PH(V$2,$A473)</f>
        <v>1026.78737816503</v>
      </c>
      <c r="W473" s="0" t="n">
        <f aca="false">W_PH(W$2,$A473)</f>
        <v>1026.79344932047</v>
      </c>
      <c r="X473" s="0" t="n">
        <f aca="false">W_PH(X$2,$A473)</f>
        <v>1026.79952165883</v>
      </c>
      <c r="Y473" s="0" t="n">
        <f aca="false">W_PH(Y$2,$A473)</f>
        <v>1026.86023614826</v>
      </c>
      <c r="Z473" s="0" t="n">
        <f aca="false">W_PH(Z$2,$A473)</f>
        <v>1026.920955633</v>
      </c>
      <c r="AA473" s="0" t="n">
        <f aca="false">W_PH(AA$2,$A473)</f>
        <v>1026.98168074331</v>
      </c>
      <c r="AB473" s="0" t="n">
        <f aca="false">W_PH(AB$2,$A473)</f>
        <v>1027.04240982882</v>
      </c>
      <c r="AC473" s="0" t="n">
        <f aca="false">W_PH(AC$2,$A473)</f>
        <v>1027.10314580005</v>
      </c>
      <c r="AD473" s="0" t="n">
        <f aca="false">W_PH(AD$2,$A473)</f>
        <v>1027.16388700624</v>
      </c>
      <c r="AE473" s="0" t="n">
        <f aca="false">W_PH(AE$2,$A473)</f>
        <v>1027.22463635834</v>
      </c>
      <c r="AF473" s="0" t="n">
        <f aca="false">W_PH(AF$2,$A473)</f>
        <v>1027.28539448668</v>
      </c>
      <c r="AG473" s="0" t="n">
        <f aca="false">W_PH(AG$2,$A473)</f>
        <v>1027.34615973991</v>
      </c>
      <c r="AH473" s="0" t="n">
        <f aca="false">W_PH(AH$2,$A473)</f>
        <v>1027.95441576669</v>
      </c>
      <c r="AI473" s="0" t="n">
        <f aca="false">W_PH(AI$2,$A473)</f>
        <v>1028.56417776819</v>
      </c>
      <c r="AJ473" s="0" t="n">
        <f aca="false">W_PH(AJ$2,$A473)</f>
        <v>1029.17605078239</v>
      </c>
      <c r="AK473" s="0" t="n">
        <f aca="false">W_PH(AK$2,$A473)</f>
        <v>1029.79063762462</v>
      </c>
      <c r="AL473" s="0" t="n">
        <f aca="false">W_PH(AL$2,$A473)</f>
        <v>1030.40854578112</v>
      </c>
      <c r="AM473" s="0" t="n">
        <f aca="false">W_PH(AM$2,$A473)</f>
        <v>1031.0303759947</v>
      </c>
      <c r="AN473" s="0" t="n">
        <f aca="false">W_PH(AN$2,$A473)</f>
        <v>1031.65673375519</v>
      </c>
      <c r="AO473" s="0" t="n">
        <f aca="false">W_PH(AO$2,$A473)</f>
        <v>1032.28822477153</v>
      </c>
      <c r="AP473" s="0" t="n">
        <f aca="false">W_PH(AP$2,$A473)</f>
        <v>2015</v>
      </c>
      <c r="AQ473" s="0" t="n">
        <f aca="false">W_PH(AQ$2,$A473)</f>
        <v>2015</v>
      </c>
      <c r="AR473" s="0" t="n">
        <f aca="false">W_PH(AR$2,$A473)</f>
        <v>2015</v>
      </c>
      <c r="AS473" s="0" t="n">
        <f aca="false">W_PH(AS$2,$A473)</f>
        <v>2015</v>
      </c>
    </row>
    <row r="474" customFormat="false" ht="13.8" hidden="false" customHeight="false" outlineLevel="0" collapsed="false">
      <c r="A474" s="0" t="n">
        <v>6340</v>
      </c>
      <c r="B474" s="0" t="n">
        <f aca="false">W_PH(B$2,$A474)</f>
        <v>1027.64720700986</v>
      </c>
      <c r="C474" s="0" t="n">
        <f aca="false">W_PH(C$2,$A474)</f>
        <v>1027.64726790351</v>
      </c>
      <c r="D474" s="0" t="n">
        <f aca="false">W_PH(D$2,$A474)</f>
        <v>1027.64732879716</v>
      </c>
      <c r="E474" s="0" t="n">
        <f aca="false">W_PH(E$2,$A474)</f>
        <v>1027.64738969081</v>
      </c>
      <c r="F474" s="0" t="n">
        <f aca="false">W_PH(F$2,$A474)</f>
        <v>1027.64745058447</v>
      </c>
      <c r="G474" s="0" t="n">
        <f aca="false">W_PH(G$2,$A474)</f>
        <v>1027.64805724362</v>
      </c>
      <c r="H474" s="0" t="n">
        <f aca="false">W_PH(H$2,$A474)</f>
        <v>1027.64866504195</v>
      </c>
      <c r="I474" s="0" t="n">
        <f aca="false">W_PH(I$2,$A474)</f>
        <v>1027.64927284066</v>
      </c>
      <c r="J474" s="0" t="n">
        <f aca="false">W_PH(J$2,$A474)</f>
        <v>1027.64987950091</v>
      </c>
      <c r="K474" s="0" t="n">
        <f aca="false">W_PH(K$2,$A474)</f>
        <v>1027.65048616154</v>
      </c>
      <c r="L474" s="0" t="n">
        <f aca="false">W_PH(L$2,$A474)</f>
        <v>1027.65109396137</v>
      </c>
      <c r="M474" s="0" t="n">
        <f aca="false">W_PH(M$2,$A474)</f>
        <v>1027.65170176156</v>
      </c>
      <c r="N474" s="0" t="n">
        <f aca="false">W_PH(N$2,$A474)</f>
        <v>1027.65230842331</v>
      </c>
      <c r="O474" s="0" t="n">
        <f aca="false">W_PH(O$2,$A474)</f>
        <v>1027.65291622426</v>
      </c>
      <c r="P474" s="0" t="n">
        <f aca="false">W_PH(P$2,$A474)</f>
        <v>1027.65898856036</v>
      </c>
      <c r="Q474" s="0" t="n">
        <f aca="false">W_PH(Q$2,$A474)</f>
        <v>1027.66506207348</v>
      </c>
      <c r="R474" s="0" t="n">
        <f aca="false">W_PH(R$2,$A474)</f>
        <v>1027.67113562542</v>
      </c>
      <c r="S474" s="0" t="n">
        <f aca="false">W_PH(S$2,$A474)</f>
        <v>1027.67720921679</v>
      </c>
      <c r="T474" s="0" t="n">
        <f aca="false">W_PH(T$2,$A474)</f>
        <v>1027.68328284824</v>
      </c>
      <c r="U474" s="0" t="n">
        <f aca="false">W_PH(U$2,$A474)</f>
        <v>1027.68935538149</v>
      </c>
      <c r="V474" s="0" t="n">
        <f aca="false">W_PH(V$2,$A474)</f>
        <v>1027.69542795605</v>
      </c>
      <c r="W474" s="0" t="n">
        <f aca="false">W_PH(W$2,$A474)</f>
        <v>1027.70150171144</v>
      </c>
      <c r="X474" s="0" t="n">
        <f aca="false">W_PH(X$2,$A474)</f>
        <v>1027.70757550942</v>
      </c>
      <c r="Y474" s="0" t="n">
        <f aca="false">W_PH(Y$2,$A474)</f>
        <v>1027.76831141294</v>
      </c>
      <c r="Z474" s="0" t="n">
        <f aca="false">W_PH(Z$2,$A474)</f>
        <v>1027.82905112445</v>
      </c>
      <c r="AA474" s="0" t="n">
        <f aca="false">W_PH(AA$2,$A474)</f>
        <v>1027.88979641021</v>
      </c>
      <c r="AB474" s="0" t="n">
        <f aca="false">W_PH(AB$2,$A474)</f>
        <v>1027.95054675823</v>
      </c>
      <c r="AC474" s="0" t="n">
        <f aca="false">W_PH(AC$2,$A474)</f>
        <v>1028.01130165614</v>
      </c>
      <c r="AD474" s="0" t="n">
        <f aca="false">W_PH(AD$2,$A474)</f>
        <v>1028.07206514931</v>
      </c>
      <c r="AE474" s="0" t="n">
        <f aca="false">W_PH(AE$2,$A474)</f>
        <v>1028.13283444651</v>
      </c>
      <c r="AF474" s="0" t="n">
        <f aca="false">W_PH(AF$2,$A474)</f>
        <v>1028.19361245401</v>
      </c>
      <c r="AG474" s="0" t="n">
        <f aca="false">W_PH(AG$2,$A474)</f>
        <v>1028.25439865937</v>
      </c>
      <c r="AH474" s="0" t="n">
        <f aca="false">W_PH(AH$2,$A474)</f>
        <v>1028.86285184923</v>
      </c>
      <c r="AI474" s="0" t="n">
        <f aca="false">W_PH(AI$2,$A474)</f>
        <v>1029.4728044645</v>
      </c>
      <c r="AJ474" s="0" t="n">
        <f aca="false">W_PH(AJ$2,$A474)</f>
        <v>1030.08485523793</v>
      </c>
      <c r="AK474" s="0" t="n">
        <f aca="false">W_PH(AK$2,$A474)</f>
        <v>1030.69960868438</v>
      </c>
      <c r="AL474" s="0" t="n">
        <f aca="false">W_PH(AL$2,$A474)</f>
        <v>1031.31766255982</v>
      </c>
      <c r="AM474" s="0" t="n">
        <f aca="false">W_PH(AM$2,$A474)</f>
        <v>1031.93962161623</v>
      </c>
      <c r="AN474" s="0" t="n">
        <f aca="false">W_PH(AN$2,$A474)</f>
        <v>1032.56608505709</v>
      </c>
      <c r="AO474" s="0" t="n">
        <f aca="false">W_PH(AO$2,$A474)</f>
        <v>1033.19765689001</v>
      </c>
      <c r="AP474" s="0" t="n">
        <f aca="false">W_PH(AP$2,$A474)</f>
        <v>2015</v>
      </c>
      <c r="AQ474" s="0" t="n">
        <f aca="false">W_PH(AQ$2,$A474)</f>
        <v>2015</v>
      </c>
      <c r="AR474" s="0" t="n">
        <f aca="false">W_PH(AR$2,$A474)</f>
        <v>2015</v>
      </c>
      <c r="AS474" s="0" t="n">
        <f aca="false">W_PH(AS$2,$A474)</f>
        <v>2015</v>
      </c>
    </row>
    <row r="475" customFormat="false" ht="13.8" hidden="false" customHeight="false" outlineLevel="0" collapsed="false">
      <c r="A475" s="0" t="n">
        <v>6350</v>
      </c>
      <c r="B475" s="0" t="n">
        <f aca="false">W_PH(B$2,$A475)</f>
        <v>1028.55401664304</v>
      </c>
      <c r="C475" s="0" t="n">
        <f aca="false">W_PH(C$2,$A475)</f>
        <v>1028.55407761853</v>
      </c>
      <c r="D475" s="0" t="n">
        <f aca="false">W_PH(D$2,$A475)</f>
        <v>1028.55413859403</v>
      </c>
      <c r="E475" s="0" t="n">
        <f aca="false">W_PH(E$2,$A475)</f>
        <v>1028.55419956953</v>
      </c>
      <c r="F475" s="0" t="n">
        <f aca="false">W_PH(F$2,$A475)</f>
        <v>1028.55426054504</v>
      </c>
      <c r="G475" s="0" t="n">
        <f aca="false">W_PH(G$2,$A475)</f>
        <v>1028.55486802461</v>
      </c>
      <c r="H475" s="0" t="n">
        <f aca="false">W_PH(H$2,$A475)</f>
        <v>1028.55547550454</v>
      </c>
      <c r="I475" s="0" t="n">
        <f aca="false">W_PH(I$2,$A475)</f>
        <v>1028.55608298484</v>
      </c>
      <c r="J475" s="0" t="n">
        <f aca="false">W_PH(J$2,$A475)</f>
        <v>1028.55669046551</v>
      </c>
      <c r="K475" s="0" t="n">
        <f aca="false">W_PH(K$2,$A475)</f>
        <v>1028.55729794655</v>
      </c>
      <c r="L475" s="0" t="n">
        <f aca="false">W_PH(L$2,$A475)</f>
        <v>1028.55790542795</v>
      </c>
      <c r="M475" s="0" t="n">
        <f aca="false">W_PH(M$2,$A475)</f>
        <v>1028.55851290972</v>
      </c>
      <c r="N475" s="0" t="n">
        <f aca="false">W_PH(N$2,$A475)</f>
        <v>1028.55912039187</v>
      </c>
      <c r="O475" s="0" t="n">
        <f aca="false">W_PH(O$2,$A475)</f>
        <v>1028.55972787439</v>
      </c>
      <c r="P475" s="0" t="n">
        <f aca="false">W_PH(P$2,$A475)</f>
        <v>1028.56580272006</v>
      </c>
      <c r="Q475" s="0" t="n">
        <f aca="false">W_PH(Q$2,$A475)</f>
        <v>1028.57187760349</v>
      </c>
      <c r="R475" s="0" t="n">
        <f aca="false">W_PH(R$2,$A475)</f>
        <v>1028.57795252529</v>
      </c>
      <c r="S475" s="0" t="n">
        <f aca="false">W_PH(S$2,$A475)</f>
        <v>1028.58402862399</v>
      </c>
      <c r="T475" s="0" t="n">
        <f aca="false">W_PH(T$2,$A475)</f>
        <v>1028.59010476234</v>
      </c>
      <c r="U475" s="0" t="n">
        <f aca="false">W_PH(U$2,$A475)</f>
        <v>1028.59617980304</v>
      </c>
      <c r="V475" s="0" t="n">
        <f aca="false">W_PH(V$2,$A475)</f>
        <v>1028.60225488461</v>
      </c>
      <c r="W475" s="0" t="n">
        <f aca="false">W_PH(W$2,$A475)</f>
        <v>1028.60833000768</v>
      </c>
      <c r="X475" s="0" t="n">
        <f aca="false">W_PH(X$2,$A475)</f>
        <v>1028.61440517287</v>
      </c>
      <c r="Y475" s="0" t="n">
        <f aca="false">W_PH(Y$2,$A475)</f>
        <v>1028.67516155498</v>
      </c>
      <c r="Z475" s="0" t="n">
        <f aca="false">W_PH(Z$2,$A475)</f>
        <v>1028.73592056027</v>
      </c>
      <c r="AA475" s="0" t="n">
        <f aca="false">W_PH(AA$2,$A475)</f>
        <v>1028.79668622733</v>
      </c>
      <c r="AB475" s="0" t="n">
        <f aca="false">W_PH(AB$2,$A475)</f>
        <v>1028.85745576583</v>
      </c>
      <c r="AC475" s="0" t="n">
        <f aca="false">W_PH(AC$2,$A475)</f>
        <v>1028.91823321501</v>
      </c>
      <c r="AD475" s="0" t="n">
        <f aca="false">W_PH(AD$2,$A475)</f>
        <v>1028.97901578395</v>
      </c>
      <c r="AE475" s="0" t="n">
        <f aca="false">W_PH(AE$2,$A475)</f>
        <v>1029.03980409652</v>
      </c>
      <c r="AF475" s="0" t="n">
        <f aca="false">W_PH(AF$2,$A475)</f>
        <v>1029.1006021929</v>
      </c>
      <c r="AG475" s="0" t="n">
        <f aca="false">W_PH(AG$2,$A475)</f>
        <v>1029.16140728131</v>
      </c>
      <c r="AH475" s="0" t="n">
        <f aca="false">W_PH(AH$2,$A475)</f>
        <v>1029.77005522667</v>
      </c>
      <c r="AI475" s="0" t="n">
        <f aca="false">W_PH(AI$2,$A475)</f>
        <v>1030.38019158208</v>
      </c>
      <c r="AJ475" s="0" t="n">
        <f aca="false">W_PH(AJ$2,$A475)</f>
        <v>1030.99241792398</v>
      </c>
      <c r="AK475" s="0" t="n">
        <f aca="false">W_PH(AK$2,$A475)</f>
        <v>1031.60732906152</v>
      </c>
      <c r="AL475" s="0" t="n">
        <f aca="false">W_PH(AL$2,$A475)</f>
        <v>1032.2255267606</v>
      </c>
      <c r="AM475" s="0" t="n">
        <f aca="false">W_PH(AM$2,$A475)</f>
        <v>1032.84760835911</v>
      </c>
      <c r="AN475" s="0" t="n">
        <f aca="false">W_PH(AN$2,$A475)</f>
        <v>1033.47417366234</v>
      </c>
      <c r="AO475" s="0" t="n">
        <f aca="false">W_PH(AO$2,$A475)</f>
        <v>1034.10582155956</v>
      </c>
      <c r="AP475" s="0" t="n">
        <f aca="false">W_PH(AP$2,$A475)</f>
        <v>2015</v>
      </c>
      <c r="AQ475" s="0" t="n">
        <f aca="false">W_PH(AQ$2,$A475)</f>
        <v>2015</v>
      </c>
      <c r="AR475" s="0" t="n">
        <f aca="false">W_PH(AR$2,$A475)</f>
        <v>2015</v>
      </c>
      <c r="AS475" s="0" t="n">
        <f aca="false">W_PH(AS$2,$A475)</f>
        <v>2015</v>
      </c>
    </row>
    <row r="476" customFormat="false" ht="13.8" hidden="false" customHeight="false" outlineLevel="0" collapsed="false">
      <c r="A476" s="0" t="n">
        <v>6360</v>
      </c>
      <c r="B476" s="0" t="n">
        <f aca="false">W_PH(B$2,$A476)</f>
        <v>1029.45960814472</v>
      </c>
      <c r="C476" s="0" t="n">
        <f aca="false">W_PH(C$2,$A476)</f>
        <v>1029.45966920103</v>
      </c>
      <c r="D476" s="0" t="n">
        <f aca="false">W_PH(D$2,$A476)</f>
        <v>1029.45973025735</v>
      </c>
      <c r="E476" s="0" t="n">
        <f aca="false">W_PH(E$2,$A476)</f>
        <v>1029.45979131367</v>
      </c>
      <c r="F476" s="0" t="n">
        <f aca="false">W_PH(F$2,$A476)</f>
        <v>1029.45985123312</v>
      </c>
      <c r="G476" s="0" t="n">
        <f aca="false">W_PH(G$2,$A476)</f>
        <v>1029.46045838592</v>
      </c>
      <c r="H476" s="0" t="n">
        <f aca="false">W_PH(H$2,$A476)</f>
        <v>1029.46106667597</v>
      </c>
      <c r="I476" s="0" t="n">
        <f aca="false">W_PH(I$2,$A476)</f>
        <v>1029.46167496638</v>
      </c>
      <c r="J476" s="0" t="n">
        <f aca="false">W_PH(J$2,$A476)</f>
        <v>1029.46228212027</v>
      </c>
      <c r="K476" s="0" t="n">
        <f aca="false">W_PH(K$2,$A476)</f>
        <v>1029.46288927453</v>
      </c>
      <c r="L476" s="0" t="n">
        <f aca="false">W_PH(L$2,$A476)</f>
        <v>1029.46349756603</v>
      </c>
      <c r="M476" s="0" t="n">
        <f aca="false">W_PH(M$2,$A476)</f>
        <v>1029.46410585789</v>
      </c>
      <c r="N476" s="0" t="n">
        <f aca="false">W_PH(N$2,$A476)</f>
        <v>1029.46471301325</v>
      </c>
      <c r="O476" s="0" t="n">
        <f aca="false">W_PH(O$2,$A476)</f>
        <v>1029.46532016896</v>
      </c>
      <c r="P476" s="0" t="n">
        <f aca="false">W_PH(P$2,$A476)</f>
        <v>1029.47139856774</v>
      </c>
      <c r="Q476" s="0" t="n">
        <f aca="false">W_PH(Q$2,$A476)</f>
        <v>1029.47747473007</v>
      </c>
      <c r="R476" s="0" t="n">
        <f aca="false">W_PH(R$2,$A476)</f>
        <v>1029.48355206725</v>
      </c>
      <c r="S476" s="0" t="n">
        <f aca="false">W_PH(S$2,$A476)</f>
        <v>1029.48962944302</v>
      </c>
      <c r="T476" s="0" t="n">
        <f aca="false">W_PH(T$2,$A476)</f>
        <v>1029.49570572106</v>
      </c>
      <c r="U476" s="0" t="n">
        <f aca="false">W_PH(U$2,$A476)</f>
        <v>1029.5017843128</v>
      </c>
      <c r="V476" s="0" t="n">
        <f aca="false">W_PH(V$2,$A476)</f>
        <v>1029.50786067109</v>
      </c>
      <c r="W476" s="0" t="n">
        <f aca="false">W_PH(W$2,$A476)</f>
        <v>1029.5139382074</v>
      </c>
      <c r="X476" s="0" t="n">
        <f aca="false">W_PH(X$2,$A476)</f>
        <v>1029.5200157854</v>
      </c>
      <c r="Y476" s="0" t="n">
        <f aca="false">W_PH(Y$2,$A476)</f>
        <v>1029.58079172101</v>
      </c>
      <c r="Z476" s="0" t="n">
        <f aca="false">W_PH(Z$2,$A476)</f>
        <v>1029.64157023465</v>
      </c>
      <c r="AA476" s="0" t="n">
        <f aca="false">W_PH(AA$2,$A476)</f>
        <v>1029.70235422185</v>
      </c>
      <c r="AB476" s="0" t="n">
        <f aca="false">W_PH(AB$2,$A476)</f>
        <v>1029.76314430414</v>
      </c>
      <c r="AC476" s="0" t="n">
        <f aca="false">W_PH(AC$2,$A476)</f>
        <v>1029.8239411031</v>
      </c>
      <c r="AD476" s="0" t="n">
        <f aca="false">W_PH(AD$2,$A476)</f>
        <v>1029.88474296516</v>
      </c>
      <c r="AE476" s="0" t="n">
        <f aca="false">W_PH(AE$2,$A476)</f>
        <v>1029.94555051131</v>
      </c>
      <c r="AF476" s="0" t="n">
        <f aca="false">W_PH(AF$2,$A476)</f>
        <v>1030.00636891369</v>
      </c>
      <c r="AG476" s="0" t="n">
        <f aca="false">W_PH(AG$2,$A476)</f>
        <v>1030.0671931051</v>
      </c>
      <c r="AH476" s="0" t="n">
        <f aca="false">W_PH(AH$2,$A476)</f>
        <v>1030.67602892977</v>
      </c>
      <c r="AI476" s="0" t="n">
        <f aca="false">W_PH(AI$2,$A476)</f>
        <v>1031.28634680488</v>
      </c>
      <c r="AJ476" s="0" t="n">
        <f aca="false">W_PH(AJ$2,$A476)</f>
        <v>1031.89874090426</v>
      </c>
      <c r="AK476" s="0" t="n">
        <f aca="false">W_PH(AK$2,$A476)</f>
        <v>1032.51380890854</v>
      </c>
      <c r="AL476" s="0" t="n">
        <f aca="false">W_PH(AL$2,$A476)</f>
        <v>1033.1321440474</v>
      </c>
      <c r="AM476" s="0" t="n">
        <f aca="false">W_PH(AM$2,$A476)</f>
        <v>1033.75434540745</v>
      </c>
      <c r="AN476" s="0" t="n">
        <f aca="false">W_PH(AN$2,$A476)</f>
        <v>1034.38100654949</v>
      </c>
      <c r="AO476" s="0" t="n">
        <f aca="false">W_PH(AO$2,$A476)</f>
        <v>1035.01272698674</v>
      </c>
      <c r="AP476" s="0" t="n">
        <f aca="false">W_PH(AP$2,$A476)</f>
        <v>2015</v>
      </c>
      <c r="AQ476" s="0" t="n">
        <f aca="false">W_PH(AQ$2,$A476)</f>
        <v>2015</v>
      </c>
      <c r="AR476" s="0" t="n">
        <f aca="false">W_PH(AR$2,$A476)</f>
        <v>2015</v>
      </c>
      <c r="AS476" s="0" t="n">
        <f aca="false">W_PH(AS$2,$A476)</f>
        <v>2015</v>
      </c>
    </row>
    <row r="477" customFormat="false" ht="13.8" hidden="false" customHeight="false" outlineLevel="0" collapsed="false">
      <c r="A477" s="0" t="n">
        <v>6370</v>
      </c>
      <c r="B477" s="0" t="n">
        <f aca="false">W_PH(B$2,$A477)</f>
        <v>1030.36398434027</v>
      </c>
      <c r="C477" s="0" t="n">
        <f aca="false">W_PH(C$2,$A477)</f>
        <v>1030.36404547638</v>
      </c>
      <c r="D477" s="0" t="n">
        <f aca="false">W_PH(D$2,$A477)</f>
        <v>1030.36410661249</v>
      </c>
      <c r="E477" s="0" t="n">
        <f aca="false">W_PH(E$2,$A477)</f>
        <v>1030.36416774861</v>
      </c>
      <c r="F477" s="0" t="n">
        <f aca="false">W_PH(F$2,$A477)</f>
        <v>1030.36422774882</v>
      </c>
      <c r="G477" s="0" t="n">
        <f aca="false">W_PH(G$2,$A477)</f>
        <v>1030.36483570251</v>
      </c>
      <c r="H477" s="0" t="n">
        <f aca="false">W_PH(H$2,$A477)</f>
        <v>1030.36544365655</v>
      </c>
      <c r="I477" s="0" t="n">
        <f aca="false">W_PH(I$2,$A477)</f>
        <v>1030.36605161095</v>
      </c>
      <c r="J477" s="0" t="n">
        <f aca="false">W_PH(J$2,$A477)</f>
        <v>1030.36665956572</v>
      </c>
      <c r="K477" s="0" t="n">
        <f aca="false">W_PH(K$2,$A477)</f>
        <v>1030.36726752084</v>
      </c>
      <c r="L477" s="0" t="n">
        <f aca="false">W_PH(L$2,$A477)</f>
        <v>1030.36787547632</v>
      </c>
      <c r="M477" s="0" t="n">
        <f aca="false">W_PH(M$2,$A477)</f>
        <v>1030.36848343217</v>
      </c>
      <c r="N477" s="0" t="n">
        <f aca="false">W_PH(N$2,$A477)</f>
        <v>1030.36909025246</v>
      </c>
      <c r="O477" s="0" t="n">
        <f aca="false">W_PH(O$2,$A477)</f>
        <v>1030.36969934494</v>
      </c>
      <c r="P477" s="0" t="n">
        <f aca="false">W_PH(P$2,$A477)</f>
        <v>1030.37577779478</v>
      </c>
      <c r="Q477" s="0" t="n">
        <f aca="false">W_PH(Q$2,$A477)</f>
        <v>1030.38185628153</v>
      </c>
      <c r="R477" s="0" t="n">
        <f aca="false">W_PH(R$2,$A477)</f>
        <v>1030.38793594176</v>
      </c>
      <c r="S477" s="0" t="n">
        <f aca="false">W_PH(S$2,$A477)</f>
        <v>1030.39401564016</v>
      </c>
      <c r="T477" s="0" t="n">
        <f aca="false">W_PH(T$2,$A477)</f>
        <v>1030.40009424138</v>
      </c>
      <c r="U477" s="0" t="n">
        <f aca="false">W_PH(U$2,$A477)</f>
        <v>1030.406172882</v>
      </c>
      <c r="V477" s="0" t="n">
        <f aca="false">W_PH(V$2,$A477)</f>
        <v>1030.41225269861</v>
      </c>
      <c r="W477" s="0" t="n">
        <f aca="false">W_PH(W$2,$A477)</f>
        <v>1030.41833255587</v>
      </c>
      <c r="X477" s="0" t="n">
        <f aca="false">W_PH(X$2,$A477)</f>
        <v>1030.42441131838</v>
      </c>
      <c r="Y477" s="0" t="n">
        <f aca="false">W_PH(Y$2,$A477)</f>
        <v>1030.48520589255</v>
      </c>
      <c r="Z477" s="0" t="n">
        <f aca="false">W_PH(Z$2,$A477)</f>
        <v>1030.54600413637</v>
      </c>
      <c r="AA477" s="0" t="n">
        <f aca="false">W_PH(AA$2,$A477)</f>
        <v>1030.60680780452</v>
      </c>
      <c r="AB477" s="0" t="n">
        <f aca="false">W_PH(AB$2,$A477)</f>
        <v>1030.66761637928</v>
      </c>
      <c r="AC477" s="0" t="n">
        <f aca="false">W_PH(AC$2,$A477)</f>
        <v>1030.72843047907</v>
      </c>
      <c r="AD477" s="0" t="n">
        <f aca="false">W_PH(AD$2,$A477)</f>
        <v>1030.7892518589</v>
      </c>
      <c r="AE477" s="0" t="n">
        <f aca="false">W_PH(AE$2,$A477)</f>
        <v>1030.85007886411</v>
      </c>
      <c r="AF477" s="0" t="n">
        <f aca="false">W_PH(AF$2,$A477)</f>
        <v>1030.91091552326</v>
      </c>
      <c r="AG477" s="0" t="n">
        <f aca="false">W_PH(AG$2,$A477)</f>
        <v>1030.9717590447</v>
      </c>
      <c r="AH477" s="0" t="n">
        <f aca="false">W_PH(AH$2,$A477)</f>
        <v>1031.58077824186</v>
      </c>
      <c r="AI477" s="0" t="n">
        <f aca="false">W_PH(AI$2,$A477)</f>
        <v>1032.19127094316</v>
      </c>
      <c r="AJ477" s="0" t="n">
        <f aca="false">W_PH(AJ$2,$A477)</f>
        <v>1032.80383078055</v>
      </c>
      <c r="AK477" s="0" t="n">
        <f aca="false">W_PH(AK$2,$A477)</f>
        <v>1033.4190492005</v>
      </c>
      <c r="AL477" s="0" t="n">
        <f aca="false">W_PH(AL$2,$A477)</f>
        <v>1034.0375189066</v>
      </c>
      <c r="AM477" s="0" t="n">
        <f aca="false">W_PH(AM$2,$A477)</f>
        <v>1034.6598350402</v>
      </c>
      <c r="AN477" s="0" t="n">
        <f aca="false">W_PH(AN$2,$A477)</f>
        <v>1035.28658836785</v>
      </c>
      <c r="AO477" s="0" t="n">
        <f aca="false">W_PH(AO$2,$A477)</f>
        <v>1035.91837675317</v>
      </c>
      <c r="AP477" s="0" t="n">
        <f aca="false">W_PH(AP$2,$A477)</f>
        <v>2015</v>
      </c>
      <c r="AQ477" s="0" t="n">
        <f aca="false">W_PH(AQ$2,$A477)</f>
        <v>2015</v>
      </c>
      <c r="AR477" s="0" t="n">
        <f aca="false">W_PH(AR$2,$A477)</f>
        <v>2015</v>
      </c>
      <c r="AS477" s="0" t="n">
        <f aca="false">W_PH(AS$2,$A477)</f>
        <v>2015</v>
      </c>
    </row>
    <row r="478" customFormat="false" ht="13.8" hidden="false" customHeight="false" outlineLevel="0" collapsed="false">
      <c r="A478" s="0" t="n">
        <v>6380</v>
      </c>
      <c r="B478" s="0" t="n">
        <f aca="false">W_PH(B$2,$A478)</f>
        <v>1031.26715257403</v>
      </c>
      <c r="C478" s="0" t="n">
        <f aca="false">W_PH(C$2,$A478)</f>
        <v>1031.26721265398</v>
      </c>
      <c r="D478" s="0" t="n">
        <f aca="false">W_PH(D$2,$A478)</f>
        <v>1031.26727273394</v>
      </c>
      <c r="E478" s="0" t="n">
        <f aca="false">W_PH(E$2,$A478)</f>
        <v>1031.26733394885</v>
      </c>
      <c r="F478" s="0" t="n">
        <f aca="false">W_PH(F$2,$A478)</f>
        <v>1031.26739516376</v>
      </c>
      <c r="G478" s="0" t="n">
        <f aca="false">W_PH(G$2,$A478)</f>
        <v>1031.26800277328</v>
      </c>
      <c r="H478" s="0" t="n">
        <f aca="false">W_PH(H$2,$A478)</f>
        <v>1031.26861038316</v>
      </c>
      <c r="I478" s="0" t="n">
        <f aca="false">W_PH(I$2,$A478)</f>
        <v>1031.26921912834</v>
      </c>
      <c r="J478" s="0" t="n">
        <f aca="false">W_PH(J$2,$A478)</f>
        <v>1031.26982787387</v>
      </c>
      <c r="K478" s="0" t="n">
        <f aca="false">W_PH(K$2,$A478)</f>
        <v>1031.27043548481</v>
      </c>
      <c r="L478" s="0" t="n">
        <f aca="false">W_PH(L$2,$A478)</f>
        <v>1031.27104309611</v>
      </c>
      <c r="M478" s="0" t="n">
        <f aca="false">W_PH(M$2,$A478)</f>
        <v>1031.27165070776</v>
      </c>
      <c r="N478" s="0" t="n">
        <f aca="false">W_PH(N$2,$A478)</f>
        <v>1031.27225945472</v>
      </c>
      <c r="O478" s="0" t="n">
        <f aca="false">W_PH(O$2,$A478)</f>
        <v>1031.27286820204</v>
      </c>
      <c r="P478" s="0" t="n">
        <f aca="false">W_PH(P$2,$A478)</f>
        <v>1031.27894888539</v>
      </c>
      <c r="Q478" s="0" t="n">
        <f aca="false">W_PH(Q$2,$A478)</f>
        <v>1031.28502960526</v>
      </c>
      <c r="R478" s="0" t="n">
        <f aca="false">W_PH(R$2,$A478)</f>
        <v>1031.29111036225</v>
      </c>
      <c r="S478" s="0" t="n">
        <f aca="false">W_PH(S$2,$A478)</f>
        <v>1031.29719115699</v>
      </c>
      <c r="T478" s="0" t="n">
        <f aca="false">W_PH(T$2,$A478)</f>
        <v>1031.3032719901</v>
      </c>
      <c r="U478" s="0" t="n">
        <f aca="false">W_PH(U$2,$A478)</f>
        <v>1031.30935286217</v>
      </c>
      <c r="V478" s="0" t="n">
        <f aca="false">W_PH(V$2,$A478)</f>
        <v>1031.31543377385</v>
      </c>
      <c r="W478" s="0" t="n">
        <f aca="false">W_PH(W$2,$A478)</f>
        <v>1031.32151472572</v>
      </c>
      <c r="X478" s="0" t="n">
        <f aca="false">W_PH(X$2,$A478)</f>
        <v>1031.32759685347</v>
      </c>
      <c r="Y478" s="0" t="n">
        <f aca="false">W_PH(Y$2,$A478)</f>
        <v>1031.38841029656</v>
      </c>
      <c r="Z478" s="0" t="n">
        <f aca="false">W_PH(Z$2,$A478)</f>
        <v>1031.44922736445</v>
      </c>
      <c r="AA478" s="0" t="n">
        <f aca="false">W_PH(AA$2,$A478)</f>
        <v>1031.51004980801</v>
      </c>
      <c r="AB478" s="0" t="n">
        <f aca="false">W_PH(AB$2,$A478)</f>
        <v>1031.5708759722</v>
      </c>
      <c r="AC478" s="0" t="n">
        <f aca="false">W_PH(AC$2,$A478)</f>
        <v>1031.63170874337</v>
      </c>
      <c r="AD478" s="0" t="n">
        <f aca="false">W_PH(AD$2,$A478)</f>
        <v>1031.69254873739</v>
      </c>
      <c r="AE478" s="0" t="n">
        <f aca="false">W_PH(AE$2,$A478)</f>
        <v>1031.75339429869</v>
      </c>
      <c r="AF478" s="0" t="n">
        <f aca="false">W_PH(AF$2,$A478)</f>
        <v>1031.81424831424</v>
      </c>
      <c r="AG478" s="0" t="n">
        <f aca="false">W_PH(AG$2,$A478)</f>
        <v>1031.87511139996</v>
      </c>
      <c r="AH478" s="0" t="n">
        <f aca="false">W_PH(AH$2,$A478)</f>
        <v>1032.48430955229</v>
      </c>
      <c r="AI478" s="0" t="n">
        <f aca="false">W_PH(AI$2,$A478)</f>
        <v>1033.09497389419</v>
      </c>
      <c r="AJ478" s="0" t="n">
        <f aca="false">W_PH(AJ$2,$A478)</f>
        <v>1033.70769183969</v>
      </c>
      <c r="AK478" s="0" t="n">
        <f aca="false">W_PH(AK$2,$A478)</f>
        <v>1034.32305545357</v>
      </c>
      <c r="AL478" s="0" t="n">
        <f aca="false">W_PH(AL$2,$A478)</f>
        <v>1034.94165579328</v>
      </c>
      <c r="AM478" s="0" t="n">
        <f aca="false">W_PH(AM$2,$A478)</f>
        <v>1035.56408179542</v>
      </c>
      <c r="AN478" s="0" t="n">
        <f aca="false">W_PH(AN$2,$A478)</f>
        <v>1036.19092487576</v>
      </c>
      <c r="AO478" s="0" t="n">
        <f aca="false">W_PH(AO$2,$A478)</f>
        <v>1036.82277784012</v>
      </c>
      <c r="AP478" s="0" t="n">
        <f aca="false">W_PH(AP$2,$A478)</f>
        <v>2015</v>
      </c>
      <c r="AQ478" s="0" t="n">
        <f aca="false">W_PH(AQ$2,$A478)</f>
        <v>2015</v>
      </c>
      <c r="AR478" s="0" t="n">
        <f aca="false">W_PH(AR$2,$A478)</f>
        <v>2015</v>
      </c>
      <c r="AS478" s="0" t="n">
        <f aca="false">W_PH(AS$2,$A478)</f>
        <v>2015</v>
      </c>
    </row>
    <row r="479" customFormat="false" ht="13.8" hidden="false" customHeight="false" outlineLevel="0" collapsed="false">
      <c r="A479" s="0" t="n">
        <v>6390</v>
      </c>
      <c r="B479" s="0" t="n">
        <f aca="false">W_PH(B$2,$A479)</f>
        <v>1032.16911335051</v>
      </c>
      <c r="C479" s="0" t="n">
        <f aca="false">W_PH(C$2,$A479)</f>
        <v>1032.1691746432</v>
      </c>
      <c r="D479" s="0" t="n">
        <f aca="false">W_PH(D$2,$A479)</f>
        <v>1032.16923593589</v>
      </c>
      <c r="E479" s="0" t="n">
        <f aca="false">W_PH(E$2,$A479)</f>
        <v>1032.16929722859</v>
      </c>
      <c r="F479" s="0" t="n">
        <f aca="false">W_PH(F$2,$A479)</f>
        <v>1032.16935738731</v>
      </c>
      <c r="G479" s="0" t="n">
        <f aca="false">W_PH(G$2,$A479)</f>
        <v>1032.16996577858</v>
      </c>
      <c r="H479" s="0" t="n">
        <f aca="false">W_PH(H$2,$A479)</f>
        <v>1032.17057303622</v>
      </c>
      <c r="I479" s="0" t="n">
        <f aca="false">W_PH(I$2,$A479)</f>
        <v>1032.17118142819</v>
      </c>
      <c r="J479" s="0" t="n">
        <f aca="false">W_PH(J$2,$A479)</f>
        <v>1032.17178982052</v>
      </c>
      <c r="K479" s="0" t="n">
        <f aca="false">W_PH(K$2,$A479)</f>
        <v>1032.17239821319</v>
      </c>
      <c r="L479" s="0" t="n">
        <f aca="false">W_PH(L$2,$A479)</f>
        <v>1032.17300660622</v>
      </c>
      <c r="M479" s="0" t="n">
        <f aca="false">W_PH(M$2,$A479)</f>
        <v>1032.1736149996</v>
      </c>
      <c r="N479" s="0" t="n">
        <f aca="false">W_PH(N$2,$A479)</f>
        <v>1032.17422339334</v>
      </c>
      <c r="O479" s="0" t="n">
        <f aca="false">W_PH(O$2,$A479)</f>
        <v>1032.17483178743</v>
      </c>
      <c r="P479" s="0" t="n">
        <f aca="false">W_PH(P$2,$A479)</f>
        <v>1032.18091461397</v>
      </c>
      <c r="Q479" s="0" t="n">
        <f aca="false">W_PH(Q$2,$A479)</f>
        <v>1032.18699747663</v>
      </c>
      <c r="R479" s="0" t="n">
        <f aca="false">W_PH(R$2,$A479)</f>
        <v>1032.193079242</v>
      </c>
      <c r="S479" s="0" t="n">
        <f aca="false">W_PH(S$2,$A479)</f>
        <v>1032.19916331275</v>
      </c>
      <c r="T479" s="0" t="n">
        <f aca="false">W_PH(T$2,$A479)</f>
        <v>1032.2052451534</v>
      </c>
      <c r="U479" s="0" t="n">
        <f aca="false">W_PH(U$2,$A479)</f>
        <v>1032.21132816665</v>
      </c>
      <c r="V479" s="0" t="n">
        <f aca="false">W_PH(V$2,$A479)</f>
        <v>1032.21741121908</v>
      </c>
      <c r="W479" s="0" t="n">
        <f aca="false">W_PH(W$2,$A479)</f>
        <v>1032.22349431131</v>
      </c>
      <c r="X479" s="0" t="n">
        <f aca="false">W_PH(X$2,$A479)</f>
        <v>1032.22957744395</v>
      </c>
      <c r="Y479" s="0" t="n">
        <f aca="false">W_PH(Y$2,$A479)</f>
        <v>1032.29040885927</v>
      </c>
      <c r="Z479" s="0" t="n">
        <f aca="false">W_PH(Z$2,$A479)</f>
        <v>1032.35124385506</v>
      </c>
      <c r="AA479" s="0" t="n">
        <f aca="false">W_PH(AA$2,$A479)</f>
        <v>1032.41208417838</v>
      </c>
      <c r="AB479" s="0" t="n">
        <f aca="false">W_PH(AB$2,$A479)</f>
        <v>1032.4729293078</v>
      </c>
      <c r="AC479" s="0" t="n">
        <f aca="false">W_PH(AC$2,$A479)</f>
        <v>1032.53377985605</v>
      </c>
      <c r="AD479" s="0" t="n">
        <f aca="false">W_PH(AD$2,$A479)</f>
        <v>1032.59463757055</v>
      </c>
      <c r="AE479" s="0" t="n">
        <f aca="false">W_PH(AE$2,$A479)</f>
        <v>1032.6555019296</v>
      </c>
      <c r="AF479" s="0" t="n">
        <f aca="false">W_PH(AF$2,$A479)</f>
        <v>1032.71637241115</v>
      </c>
      <c r="AG479" s="0" t="n">
        <f aca="false">W_PH(AG$2,$A479)</f>
        <v>1032.7772518976</v>
      </c>
      <c r="AH479" s="0" t="n">
        <f aca="false">W_PH(AH$2,$A479)</f>
        <v>1033.38662580808</v>
      </c>
      <c r="AI479" s="0" t="n">
        <f aca="false">W_PH(AI$2,$A479)</f>
        <v>1033.99745527555</v>
      </c>
      <c r="AJ479" s="0" t="n">
        <f aca="false">W_PH(AJ$2,$A479)</f>
        <v>1034.61032947745</v>
      </c>
      <c r="AK479" s="0" t="n">
        <f aca="false">W_PH(AK$2,$A479)</f>
        <v>1035.22583542735</v>
      </c>
      <c r="AL479" s="0" t="n">
        <f aca="false">W_PH(AL$2,$A479)</f>
        <v>1035.84455913151</v>
      </c>
      <c r="AM479" s="0" t="n">
        <f aca="false">W_PH(AM$2,$A479)</f>
        <v>1036.46709246021</v>
      </c>
      <c r="AN479" s="0" t="n">
        <f aca="false">W_PH(AN$2,$A479)</f>
        <v>1037.09402179432</v>
      </c>
      <c r="AO479" s="0" t="n">
        <f aca="false">W_PH(AO$2,$A479)</f>
        <v>1037.72593375971</v>
      </c>
      <c r="AP479" s="0" t="n">
        <f aca="false">W_PH(AP$2,$A479)</f>
        <v>2015</v>
      </c>
      <c r="AQ479" s="0" t="n">
        <f aca="false">W_PH(AQ$2,$A479)</f>
        <v>2015</v>
      </c>
      <c r="AR479" s="0" t="n">
        <f aca="false">W_PH(AR$2,$A479)</f>
        <v>2015</v>
      </c>
      <c r="AS479" s="0" t="n">
        <f aca="false">W_PH(AS$2,$A479)</f>
        <v>2015</v>
      </c>
    </row>
    <row r="480" customFormat="false" ht="13.8" hidden="false" customHeight="false" outlineLevel="0" collapsed="false">
      <c r="A480" s="0" t="n">
        <v>6400</v>
      </c>
      <c r="B480" s="0" t="n">
        <f aca="false">W_PH(B$2,$A480)</f>
        <v>1033.06987622575</v>
      </c>
      <c r="C480" s="0" t="n">
        <f aca="false">W_PH(C$2,$A480)</f>
        <v>1033.06993759524</v>
      </c>
      <c r="D480" s="0" t="n">
        <f aca="false">W_PH(D$2,$A480)</f>
        <v>1033.06999783172</v>
      </c>
      <c r="E480" s="0" t="n">
        <f aca="false">W_PH(E$2,$A480)</f>
        <v>1033.0700580682</v>
      </c>
      <c r="F480" s="0" t="n">
        <f aca="false">W_PH(F$2,$A480)</f>
        <v>1033.0701194377</v>
      </c>
      <c r="G480" s="0" t="n">
        <f aca="false">W_PH(G$2,$A480)</f>
        <v>1033.07072860082</v>
      </c>
      <c r="H480" s="0" t="n">
        <f aca="false">W_PH(H$2,$A480)</f>
        <v>1033.07133663127</v>
      </c>
      <c r="I480" s="0" t="n">
        <f aca="false">W_PH(I$2,$A480)</f>
        <v>1033.07194466207</v>
      </c>
      <c r="J480" s="0" t="n">
        <f aca="false">W_PH(J$2,$A480)</f>
        <v>1033.07255382623</v>
      </c>
      <c r="K480" s="0" t="n">
        <f aca="false">W_PH(K$2,$A480)</f>
        <v>1033.07316185772</v>
      </c>
      <c r="L480" s="0" t="n">
        <f aca="false">W_PH(L$2,$A480)</f>
        <v>1033.07376988956</v>
      </c>
      <c r="M480" s="0" t="n">
        <f aca="false">W_PH(M$2,$A480)</f>
        <v>1033.07437905478</v>
      </c>
      <c r="N480" s="0" t="n">
        <f aca="false">W_PH(N$2,$A480)</f>
        <v>1033.07498708732</v>
      </c>
      <c r="O480" s="0" t="n">
        <f aca="false">W_PH(O$2,$A480)</f>
        <v>1033.0755951202</v>
      </c>
      <c r="P480" s="0" t="n">
        <f aca="false">W_PH(P$2,$A480)</f>
        <v>1033.0816800006</v>
      </c>
      <c r="Q480" s="0" t="n">
        <f aca="false">W_PH(Q$2,$A480)</f>
        <v>1033.08776491673</v>
      </c>
      <c r="R480" s="0" t="n">
        <f aca="false">W_PH(R$2,$A480)</f>
        <v>1033.09384986919</v>
      </c>
      <c r="S480" s="0" t="n">
        <f aca="false">W_PH(S$2,$A480)</f>
        <v>1033.09993372554</v>
      </c>
      <c r="T480" s="0" t="n">
        <f aca="false">W_PH(T$2,$A480)</f>
        <v>1033.10601761942</v>
      </c>
      <c r="U480" s="0" t="n">
        <f aca="false">W_PH(U$2,$A480)</f>
        <v>1033.11210268453</v>
      </c>
      <c r="V480" s="0" t="n">
        <f aca="false">W_PH(V$2,$A480)</f>
        <v>1033.11818778842</v>
      </c>
      <c r="W480" s="0" t="n">
        <f aca="false">W_PH(W$2,$A480)</f>
        <v>1033.12427293169</v>
      </c>
      <c r="X480" s="0" t="n">
        <f aca="false">W_PH(X$2,$A480)</f>
        <v>1033.13035584874</v>
      </c>
      <c r="Y480" s="0" t="n">
        <f aca="false">W_PH(Y$2,$A480)</f>
        <v>1033.19120548252</v>
      </c>
      <c r="Z480" s="0" t="n">
        <f aca="false">W_PH(Z$2,$A480)</f>
        <v>1033.25205865314</v>
      </c>
      <c r="AA480" s="0" t="n">
        <f aca="false">W_PH(AA$2,$A480)</f>
        <v>1033.31291710389</v>
      </c>
      <c r="AB480" s="0" t="n">
        <f aca="false">W_PH(AB$2,$A480)</f>
        <v>1033.3737780445</v>
      </c>
      <c r="AC480" s="0" t="n">
        <f aca="false">W_PH(AC$2,$A480)</f>
        <v>1033.4346477523</v>
      </c>
      <c r="AD480" s="0" t="n">
        <f aca="false">W_PH(AD$2,$A480)</f>
        <v>1033.49552230334</v>
      </c>
      <c r="AE480" s="0" t="n">
        <f aca="false">W_PH(AE$2,$A480)</f>
        <v>1033.55640344109</v>
      </c>
      <c r="AF480" s="0" t="n">
        <f aca="false">W_PH(AF$2,$A480)</f>
        <v>1033.61729290943</v>
      </c>
      <c r="AG480" s="0" t="n">
        <f aca="false">W_PH(AG$2,$A480)</f>
        <v>1033.67819018467</v>
      </c>
      <c r="AH480" s="0" t="n">
        <f aca="false">W_PH(AH$2,$A480)</f>
        <v>1034.28773220365</v>
      </c>
      <c r="AI480" s="0" t="n">
        <f aca="false">W_PH(AI$2,$A480)</f>
        <v>1034.89872378032</v>
      </c>
      <c r="AJ480" s="0" t="n">
        <f aca="false">W_PH(AJ$2,$A480)</f>
        <v>1035.51174792016</v>
      </c>
      <c r="AK480" s="0" t="n">
        <f aca="false">W_PH(AK$2,$A480)</f>
        <v>1036.1273900132</v>
      </c>
      <c r="AL480" s="0" t="n">
        <f aca="false">W_PH(AL$2,$A480)</f>
        <v>1036.74623673051</v>
      </c>
      <c r="AM480" s="0" t="n">
        <f aca="false">W_PH(AM$2,$A480)</f>
        <v>1037.3688715026</v>
      </c>
      <c r="AN480" s="0" t="n">
        <f aca="false">W_PH(AN$2,$A480)</f>
        <v>1037.99588024638</v>
      </c>
      <c r="AO480" s="0" t="n">
        <f aca="false">W_PH(AO$2,$A480)</f>
        <v>1038.62785141807</v>
      </c>
      <c r="AP480" s="0" t="n">
        <f aca="false">W_PH(AP$2,$A480)</f>
        <v>2015</v>
      </c>
      <c r="AQ480" s="0" t="n">
        <f aca="false">W_PH(AQ$2,$A480)</f>
        <v>2015</v>
      </c>
      <c r="AR480" s="0" t="n">
        <f aca="false">W_PH(AR$2,$A480)</f>
        <v>2015</v>
      </c>
      <c r="AS480" s="0" t="n">
        <f aca="false">W_PH(AS$2,$A480)</f>
        <v>2015</v>
      </c>
    </row>
    <row r="481" customFormat="false" ht="13.8" hidden="false" customHeight="false" outlineLevel="0" collapsed="false">
      <c r="A481" s="0" t="n">
        <v>6410</v>
      </c>
      <c r="B481" s="0" t="n">
        <f aca="false">W_PH(B$2,$A481)</f>
        <v>1033.9694427882</v>
      </c>
      <c r="C481" s="0" t="n">
        <f aca="false">W_PH(C$2,$A481)</f>
        <v>1033.96950310146</v>
      </c>
      <c r="D481" s="0" t="n">
        <f aca="false">W_PH(D$2,$A481)</f>
        <v>1033.96956454677</v>
      </c>
      <c r="E481" s="0" t="n">
        <f aca="false">W_PH(E$2,$A481)</f>
        <v>1033.96962599209</v>
      </c>
      <c r="F481" s="0" t="n">
        <f aca="false">W_PH(F$2,$A481)</f>
        <v>1033.96968630535</v>
      </c>
      <c r="G481" s="0" t="n">
        <f aca="false">W_PH(G$2,$A481)</f>
        <v>1033.97029509848</v>
      </c>
      <c r="H481" s="0" t="n">
        <f aca="false">W_PH(H$2,$A481)</f>
        <v>1033.97090275988</v>
      </c>
      <c r="I481" s="0" t="n">
        <f aca="false">W_PH(I$2,$A481)</f>
        <v>1033.97151268575</v>
      </c>
      <c r="J481" s="0" t="n">
        <f aca="false">W_PH(J$2,$A481)</f>
        <v>1033.97212034783</v>
      </c>
      <c r="K481" s="0" t="n">
        <f aca="false">W_PH(K$2,$A481)</f>
        <v>1033.97273027439</v>
      </c>
      <c r="L481" s="0" t="n">
        <f aca="false">W_PH(L$2,$A481)</f>
        <v>1033.97333793717</v>
      </c>
      <c r="M481" s="0" t="n">
        <f aca="false">W_PH(M$2,$A481)</f>
        <v>1033.97394673235</v>
      </c>
      <c r="N481" s="0" t="n">
        <f aca="false">W_PH(N$2,$A481)</f>
        <v>1033.97455552788</v>
      </c>
      <c r="O481" s="0" t="n">
        <f aca="false">W_PH(O$2,$A481)</f>
        <v>1033.97516319169</v>
      </c>
      <c r="P481" s="0" t="n">
        <f aca="false">W_PH(P$2,$A481)</f>
        <v>1033.9812500376</v>
      </c>
      <c r="Q481" s="0" t="n">
        <f aca="false">W_PH(Q$2,$A481)</f>
        <v>1033.98733691885</v>
      </c>
      <c r="R481" s="0" t="n">
        <f aca="false">W_PH(R$2,$A481)</f>
        <v>1033.99342270395</v>
      </c>
      <c r="S481" s="0" t="n">
        <f aca="false">W_PH(S$2,$A481)</f>
        <v>1033.99950852558</v>
      </c>
      <c r="T481" s="0" t="n">
        <f aca="false">W_PH(T$2,$A481)</f>
        <v>1034.00559438435</v>
      </c>
      <c r="U481" s="0" t="n">
        <f aca="false">W_PH(U$2,$A481)</f>
        <v>1034.011681413</v>
      </c>
      <c r="V481" s="0" t="n">
        <f aca="false">W_PH(V$2,$A481)</f>
        <v>1034.01776848002</v>
      </c>
      <c r="W481" s="0" t="n">
        <f aca="false">W_PH(W$2,$A481)</f>
        <v>1034.02385445389</v>
      </c>
      <c r="X481" s="0" t="n">
        <f aca="false">W_PH(X$2,$A481)</f>
        <v>1034.02994046732</v>
      </c>
      <c r="Y481" s="0" t="n">
        <f aca="false">W_PH(Y$2,$A481)</f>
        <v>1034.09080744073</v>
      </c>
      <c r="Z481" s="0" t="n">
        <f aca="false">W_PH(Z$2,$A481)</f>
        <v>1034.1516767755</v>
      </c>
      <c r="AA481" s="0" t="n">
        <f aca="false">W_PH(AA$2,$A481)</f>
        <v>1034.21255134334</v>
      </c>
      <c r="AB481" s="0" t="n">
        <f aca="false">W_PH(AB$2,$A481)</f>
        <v>1034.27343175169</v>
      </c>
      <c r="AC481" s="0" t="n">
        <f aca="false">W_PH(AC$2,$A481)</f>
        <v>1034.3343163427</v>
      </c>
      <c r="AD481" s="0" t="n">
        <f aca="false">W_PH(AD$2,$A481)</f>
        <v>1034.39520798873</v>
      </c>
      <c r="AE481" s="0" t="n">
        <f aca="false">W_PH(AE$2,$A481)</f>
        <v>1034.45610729724</v>
      </c>
      <c r="AF481" s="0" t="n">
        <f aca="false">W_PH(AF$2,$A481)</f>
        <v>1034.5170126099</v>
      </c>
      <c r="AG481" s="0" t="n">
        <f aca="false">W_PH(AG$2,$A481)</f>
        <v>1034.57792679965</v>
      </c>
      <c r="AH481" s="0" t="n">
        <f aca="false">W_PH(AH$2,$A481)</f>
        <v>1035.18763390335</v>
      </c>
      <c r="AI481" s="0" t="n">
        <f aca="false">W_PH(AI$2,$A481)</f>
        <v>1035.798782384</v>
      </c>
      <c r="AJ481" s="0" t="n">
        <f aca="false">W_PH(AJ$2,$A481)</f>
        <v>1036.4119536375</v>
      </c>
      <c r="AK481" s="0" t="n">
        <f aca="false">W_PH(AK$2,$A481)</f>
        <v>1037.02772804232</v>
      </c>
      <c r="AL481" s="0" t="n">
        <f aca="false">W_PH(AL$2,$A481)</f>
        <v>1037.64669066881</v>
      </c>
      <c r="AM481" s="0" t="n">
        <f aca="false">W_PH(AM$2,$A481)</f>
        <v>1038.26942335929</v>
      </c>
      <c r="AN481" s="0" t="n">
        <f aca="false">W_PH(AN$2,$A481)</f>
        <v>1038.89651044928</v>
      </c>
      <c r="AO481" s="0" t="n">
        <f aca="false">W_PH(AO$2,$A481)</f>
        <v>1039.52853311919</v>
      </c>
      <c r="AP481" s="0" t="n">
        <f aca="false">W_PH(AP$2,$A481)</f>
        <v>2015</v>
      </c>
      <c r="AQ481" s="0" t="n">
        <f aca="false">W_PH(AQ$2,$A481)</f>
        <v>2015</v>
      </c>
      <c r="AR481" s="0" t="n">
        <f aca="false">W_PH(AR$2,$A481)</f>
        <v>2015</v>
      </c>
      <c r="AS481" s="0" t="n">
        <f aca="false">W_PH(AS$2,$A481)</f>
        <v>2015</v>
      </c>
    </row>
    <row r="482" customFormat="false" ht="13.8" hidden="false" customHeight="false" outlineLevel="0" collapsed="false">
      <c r="A482" s="0" t="n">
        <v>6420</v>
      </c>
      <c r="B482" s="0" t="n">
        <f aca="false">W_PH(B$2,$A482)</f>
        <v>1034.86781913468</v>
      </c>
      <c r="C482" s="0" t="n">
        <f aca="false">W_PH(C$2,$A482)</f>
        <v>1034.86787952374</v>
      </c>
      <c r="D482" s="0" t="n">
        <f aca="false">W_PH(D$2,$A482)</f>
        <v>1034.86793991281</v>
      </c>
      <c r="E482" s="0" t="n">
        <f aca="false">W_PH(E$2,$A482)</f>
        <v>1034.86800143298</v>
      </c>
      <c r="F482" s="0" t="n">
        <f aca="false">W_PH(F$2,$A482)</f>
        <v>1034.86806295316</v>
      </c>
      <c r="G482" s="0" t="n">
        <f aca="false">W_PH(G$2,$A482)</f>
        <v>1034.8686713685</v>
      </c>
      <c r="H482" s="0" t="n">
        <f aca="false">W_PH(H$2,$A482)</f>
        <v>1034.86927978417</v>
      </c>
      <c r="I482" s="0" t="n">
        <f aca="false">W_PH(I$2,$A482)</f>
        <v>1034.86988820019</v>
      </c>
      <c r="J482" s="0" t="n">
        <f aca="false">W_PH(J$2,$A482)</f>
        <v>1034.87049661654</v>
      </c>
      <c r="K482" s="0" t="n">
        <f aca="false">W_PH(K$2,$A482)</f>
        <v>1034.87110616434</v>
      </c>
      <c r="L482" s="0" t="n">
        <f aca="false">W_PH(L$2,$A482)</f>
        <v>1034.87171571249</v>
      </c>
      <c r="M482" s="0" t="n">
        <f aca="false">W_PH(M$2,$A482)</f>
        <v>1034.87232412986</v>
      </c>
      <c r="N482" s="0" t="n">
        <f aca="false">W_PH(N$2,$A482)</f>
        <v>1034.87293254758</v>
      </c>
      <c r="O482" s="0" t="n">
        <f aca="false">W_PH(O$2,$A482)</f>
        <v>1034.87354096564</v>
      </c>
      <c r="P482" s="0" t="n">
        <f aca="false">W_PH(P$2,$A482)</f>
        <v>1034.87962968967</v>
      </c>
      <c r="Q482" s="0" t="n">
        <f aca="false">W_PH(Q$2,$A482)</f>
        <v>1034.88571618641</v>
      </c>
      <c r="R482" s="0" t="n">
        <f aca="false">W_PH(R$2,$A482)</f>
        <v>1034.89180498094</v>
      </c>
      <c r="S482" s="0" t="n">
        <f aca="false">W_PH(S$2,$A482)</f>
        <v>1034.89789268049</v>
      </c>
      <c r="T482" s="0" t="n">
        <f aca="false">W_PH(T$2,$A482)</f>
        <v>1034.90398041679</v>
      </c>
      <c r="U482" s="0" t="n">
        <f aca="false">W_PH(U$2,$A482)</f>
        <v>1034.91006932162</v>
      </c>
      <c r="V482" s="0" t="n">
        <f aca="false">W_PH(V$2,$A482)</f>
        <v>1034.91615600207</v>
      </c>
      <c r="W482" s="0" t="n">
        <f aca="false">W_PH(W$2,$A482)</f>
        <v>1034.92224498344</v>
      </c>
      <c r="X482" s="0" t="n">
        <f aca="false">W_PH(X$2,$A482)</f>
        <v>1034.9283328728</v>
      </c>
      <c r="Y482" s="0" t="n">
        <f aca="false">W_PH(Y$2,$A482)</f>
        <v>1034.9892151851</v>
      </c>
      <c r="Z482" s="0" t="n">
        <f aca="false">W_PH(Z$2,$A482)</f>
        <v>1035.05010321106</v>
      </c>
      <c r="AA482" s="0" t="n">
        <f aca="false">W_PH(AA$2,$A482)</f>
        <v>1035.11099416115</v>
      </c>
      <c r="AB482" s="0" t="n">
        <f aca="false">W_PH(AB$2,$A482)</f>
        <v>1035.17189090262</v>
      </c>
      <c r="AC482" s="0" t="n">
        <f aca="false">W_PH(AC$2,$A482)</f>
        <v>1035.2327917768</v>
      </c>
      <c r="AD482" s="0" t="n">
        <f aca="false">W_PH(AD$2,$A482)</f>
        <v>1035.29369965133</v>
      </c>
      <c r="AE482" s="0" t="n">
        <f aca="false">W_PH(AE$2,$A482)</f>
        <v>1035.35461513092</v>
      </c>
      <c r="AF482" s="0" t="n">
        <f aca="false">W_PH(AF$2,$A482)</f>
        <v>1035.41553768835</v>
      </c>
      <c r="AG482" s="0" t="n">
        <f aca="false">W_PH(AG$2,$A482)</f>
        <v>1035.47646792806</v>
      </c>
      <c r="AH482" s="0" t="n">
        <f aca="false">W_PH(AH$2,$A482)</f>
        <v>1036.08633604168</v>
      </c>
      <c r="AI482" s="0" t="n">
        <f aca="false">W_PH(AI$2,$A482)</f>
        <v>1036.69763630687</v>
      </c>
      <c r="AJ482" s="0" t="n">
        <f aca="false">W_PH(AJ$2,$A482)</f>
        <v>1037.31094852384</v>
      </c>
      <c r="AK482" s="0" t="n">
        <f aca="false">W_PH(AK$2,$A482)</f>
        <v>1037.92685148642</v>
      </c>
      <c r="AL482" s="0" t="n">
        <f aca="false">W_PH(AL$2,$A482)</f>
        <v>1038.5459275494</v>
      </c>
      <c r="AM482" s="0" t="n">
        <f aca="false">W_PH(AM$2,$A482)</f>
        <v>1039.16875471072</v>
      </c>
      <c r="AN482" s="0" t="n">
        <f aca="false">W_PH(AN$2,$A482)</f>
        <v>1039.79591346148</v>
      </c>
      <c r="AO482" s="0" t="n">
        <f aca="false">W_PH(AO$2,$A482)</f>
        <v>1040.42798569866</v>
      </c>
      <c r="AP482" s="0" t="n">
        <f aca="false">W_PH(AP$2,$A482)</f>
        <v>2015</v>
      </c>
      <c r="AQ482" s="0" t="n">
        <f aca="false">W_PH(AQ$2,$A482)</f>
        <v>2015</v>
      </c>
      <c r="AR482" s="0" t="n">
        <f aca="false">W_PH(AR$2,$A482)</f>
        <v>2015</v>
      </c>
      <c r="AS482" s="0" t="n">
        <f aca="false">W_PH(AS$2,$A482)</f>
        <v>2015</v>
      </c>
    </row>
    <row r="483" customFormat="false" ht="13.8" hidden="false" customHeight="false" outlineLevel="0" collapsed="false">
      <c r="A483" s="0" t="n">
        <v>6430</v>
      </c>
      <c r="B483" s="0" t="n">
        <f aca="false">W_PH(B$2,$A483)</f>
        <v>1035.76500907055</v>
      </c>
      <c r="C483" s="0" t="n">
        <f aca="false">W_PH(C$2,$A483)</f>
        <v>1035.76506840431</v>
      </c>
      <c r="D483" s="0" t="n">
        <f aca="false">W_PH(D$2,$A483)</f>
        <v>1035.76512999838</v>
      </c>
      <c r="E483" s="0" t="n">
        <f aca="false">W_PH(E$2,$A483)</f>
        <v>1035.76519159245</v>
      </c>
      <c r="F483" s="0" t="n">
        <f aca="false">W_PH(F$2,$A483)</f>
        <v>1035.76525205637</v>
      </c>
      <c r="G483" s="0" t="n">
        <f aca="false">W_PH(G$2,$A483)</f>
        <v>1035.76586008624</v>
      </c>
      <c r="H483" s="0" t="n">
        <f aca="false">W_PH(H$2,$A483)</f>
        <v>1035.76646924658</v>
      </c>
      <c r="I483" s="0" t="n">
        <f aca="false">W_PH(I$2,$A483)</f>
        <v>1035.76707840727</v>
      </c>
      <c r="J483" s="0" t="n">
        <f aca="false">W_PH(J$2,$A483)</f>
        <v>1035.76768756829</v>
      </c>
      <c r="K483" s="0" t="n">
        <f aca="false">W_PH(K$2,$A483)</f>
        <v>1035.76829672964</v>
      </c>
      <c r="L483" s="0" t="n">
        <f aca="false">W_PH(L$2,$A483)</f>
        <v>1035.76890589134</v>
      </c>
      <c r="M483" s="0" t="n">
        <f aca="false">W_PH(M$2,$A483)</f>
        <v>1035.76951505337</v>
      </c>
      <c r="N483" s="0" t="n">
        <f aca="false">W_PH(N$2,$A483)</f>
        <v>1035.77012421574</v>
      </c>
      <c r="O483" s="0" t="n">
        <f aca="false">W_PH(O$2,$A483)</f>
        <v>1035.7707322483</v>
      </c>
      <c r="P483" s="0" t="n">
        <f aca="false">W_PH(P$2,$A483)</f>
        <v>1035.77682276403</v>
      </c>
      <c r="Q483" s="0" t="n">
        <f aca="false">W_PH(Q$2,$A483)</f>
        <v>1035.78291218416</v>
      </c>
      <c r="R483" s="0" t="n">
        <f aca="false">W_PH(R$2,$A483)</f>
        <v>1035.78900163945</v>
      </c>
      <c r="S483" s="0" t="n">
        <f aca="false">W_PH(S$2,$A483)</f>
        <v>1035.79509113051</v>
      </c>
      <c r="T483" s="0" t="n">
        <f aca="false">W_PH(T$2,$A483)</f>
        <v>1035.80118065793</v>
      </c>
      <c r="U483" s="0" t="n">
        <f aca="false">W_PH(U$2,$A483)</f>
        <v>1035.80727022232</v>
      </c>
      <c r="V483" s="0" t="n">
        <f aca="false">W_PH(V$2,$A483)</f>
        <v>1035.81335982428</v>
      </c>
      <c r="W483" s="0" t="n">
        <f aca="false">W_PH(W$2,$A483)</f>
        <v>1035.81944946442</v>
      </c>
      <c r="X483" s="0" t="n">
        <f aca="false">W_PH(X$2,$A483)</f>
        <v>1035.82553914332</v>
      </c>
      <c r="Y483" s="0" t="n">
        <f aca="false">W_PH(Y$2,$A483)</f>
        <v>1035.8864381973</v>
      </c>
      <c r="Z483" s="0" t="n">
        <f aca="false">W_PH(Z$2,$A483)</f>
        <v>1035.94734179064</v>
      </c>
      <c r="AA483" s="0" t="n">
        <f aca="false">W_PH(AA$2,$A483)</f>
        <v>1036.00824826419</v>
      </c>
      <c r="AB483" s="0" t="n">
        <f aca="false">W_PH(AB$2,$A483)</f>
        <v>1036.06916048052</v>
      </c>
      <c r="AC483" s="0" t="n">
        <f aca="false">W_PH(AC$2,$A483)</f>
        <v>1036.13007904155</v>
      </c>
      <c r="AD483" s="0" t="n">
        <f aca="false">W_PH(AD$2,$A483)</f>
        <v>1036.19100228762</v>
      </c>
      <c r="AE483" s="0" t="n">
        <f aca="false">W_PH(AE$2,$A483)</f>
        <v>1036.25193421281</v>
      </c>
      <c r="AF483" s="0" t="n">
        <f aca="false">W_PH(AF$2,$A483)</f>
        <v>1036.31287202641</v>
      </c>
      <c r="AG483" s="0" t="n">
        <f aca="false">W_PH(AG$2,$A483)</f>
        <v>1036.37381859202</v>
      </c>
      <c r="AH483" s="0" t="n">
        <f aca="false">W_PH(AH$2,$A483)</f>
        <v>1036.98384259159</v>
      </c>
      <c r="AI483" s="0" t="n">
        <f aca="false">W_PH(AI$2,$A483)</f>
        <v>1037.59528960566</v>
      </c>
      <c r="AJ483" s="0" t="n">
        <f aca="false">W_PH(AJ$2,$A483)</f>
        <v>1038.20874012287</v>
      </c>
      <c r="AK483" s="0" t="n">
        <f aca="false">W_PH(AK$2,$A483)</f>
        <v>1038.82476683531</v>
      </c>
      <c r="AL483" s="0" t="n">
        <f aca="false">W_PH(AL$2,$A483)</f>
        <v>1039.44395166618</v>
      </c>
      <c r="AM483" s="0" t="n">
        <f aca="false">W_PH(AM$2,$A483)</f>
        <v>1040.0668676528</v>
      </c>
      <c r="AN483" s="0" t="n">
        <f aca="false">W_PH(AN$2,$A483)</f>
        <v>1040.69409600828</v>
      </c>
      <c r="AO483" s="0" t="n">
        <f aca="false">W_PH(AO$2,$A483)</f>
        <v>1041.32621367505</v>
      </c>
      <c r="AP483" s="0" t="n">
        <f aca="false">W_PH(AP$2,$A483)</f>
        <v>2015</v>
      </c>
      <c r="AQ483" s="0" t="n">
        <f aca="false">W_PH(AQ$2,$A483)</f>
        <v>2015</v>
      </c>
      <c r="AR483" s="0" t="n">
        <f aca="false">W_PH(AR$2,$A483)</f>
        <v>2015</v>
      </c>
      <c r="AS483" s="0" t="n">
        <f aca="false">W_PH(AS$2,$A483)</f>
        <v>2015</v>
      </c>
    </row>
    <row r="484" customFormat="false" ht="13.8" hidden="false" customHeight="false" outlineLevel="0" collapsed="false">
      <c r="A484" s="0" t="n">
        <v>6440</v>
      </c>
      <c r="B484" s="0" t="n">
        <f aca="false">W_PH(B$2,$A484)</f>
        <v>1036.66101637789</v>
      </c>
      <c r="C484" s="0" t="n">
        <f aca="false">W_PH(C$2,$A484)</f>
        <v>1036.6610769157</v>
      </c>
      <c r="D484" s="0" t="n">
        <f aca="false">W_PH(D$2,$A484)</f>
        <v>1036.66113745351</v>
      </c>
      <c r="E484" s="0" t="n">
        <f aca="false">W_PH(E$2,$A484)</f>
        <v>1036.66119912053</v>
      </c>
      <c r="F484" s="0" t="n">
        <f aca="false">W_PH(F$2,$A484)</f>
        <v>1036.66125965835</v>
      </c>
      <c r="G484" s="0" t="n">
        <f aca="false">W_PH(G$2,$A484)</f>
        <v>1036.66186842434</v>
      </c>
      <c r="H484" s="0" t="n">
        <f aca="false">W_PH(H$2,$A484)</f>
        <v>1036.66247831986</v>
      </c>
      <c r="I484" s="0" t="n">
        <f aca="false">W_PH(I$2,$A484)</f>
        <v>1036.66308708651</v>
      </c>
      <c r="J484" s="0" t="n">
        <f aca="false">W_PH(J$2,$A484)</f>
        <v>1036.6636958535</v>
      </c>
      <c r="K484" s="0" t="n">
        <f aca="false">W_PH(K$2,$A484)</f>
        <v>1036.66430575002</v>
      </c>
      <c r="L484" s="0" t="n">
        <f aca="false">W_PH(L$2,$A484)</f>
        <v>1036.66491451767</v>
      </c>
      <c r="M484" s="0" t="n">
        <f aca="false">W_PH(M$2,$A484)</f>
        <v>1036.66552328565</v>
      </c>
      <c r="N484" s="0" t="n">
        <f aca="false">W_PH(N$2,$A484)</f>
        <v>1036.66613318317</v>
      </c>
      <c r="O484" s="0" t="n">
        <f aca="false">W_PH(O$2,$A484)</f>
        <v>1036.66674082262</v>
      </c>
      <c r="P484" s="0" t="n">
        <f aca="false">W_PH(P$2,$A484)</f>
        <v>1036.67283304455</v>
      </c>
      <c r="Q484" s="0" t="n">
        <f aca="false">W_PH(Q$2,$A484)</f>
        <v>1036.67892304223</v>
      </c>
      <c r="R484" s="0" t="n">
        <f aca="false">W_PH(R$2,$A484)</f>
        <v>1036.68501533315</v>
      </c>
      <c r="S484" s="0" t="n">
        <f aca="false">W_PH(S$2,$A484)</f>
        <v>1036.69110540099</v>
      </c>
      <c r="T484" s="0" t="n">
        <f aca="false">W_PH(T$2,$A484)</f>
        <v>1036.6971977633</v>
      </c>
      <c r="U484" s="0" t="n">
        <f aca="false">W_PH(U$2,$A484)</f>
        <v>1036.70328790368</v>
      </c>
      <c r="V484" s="0" t="n">
        <f aca="false">W_PH(V$2,$A484)</f>
        <v>1036.70938033978</v>
      </c>
      <c r="W484" s="0" t="n">
        <f aca="false">W_PH(W$2,$A484)</f>
        <v>1036.71547055511</v>
      </c>
      <c r="X484" s="0" t="n">
        <f aca="false">W_PH(X$2,$A484)</f>
        <v>1036.72156306738</v>
      </c>
      <c r="Y484" s="0" t="n">
        <f aca="false">W_PH(Y$2,$A484)</f>
        <v>1036.7824768813</v>
      </c>
      <c r="Z484" s="0" t="n">
        <f aca="false">W_PH(Z$2,$A484)</f>
        <v>1036.84339519197</v>
      </c>
      <c r="AA484" s="0" t="n">
        <f aca="false">W_PH(AA$2,$A484)</f>
        <v>1036.90431859856</v>
      </c>
      <c r="AB484" s="0" t="n">
        <f aca="false">W_PH(AB$2,$A484)</f>
        <v>1036.96524770023</v>
      </c>
      <c r="AC484" s="0" t="n">
        <f aca="false">W_PH(AC$2,$A484)</f>
        <v>1037.02618083667</v>
      </c>
      <c r="AD484" s="0" t="n">
        <f aca="false">W_PH(AD$2,$A484)</f>
        <v>1037.08712086622</v>
      </c>
      <c r="AE484" s="0" t="n">
        <f aca="false">W_PH(AE$2,$A484)</f>
        <v>1037.14806725817</v>
      </c>
      <c r="AF484" s="0" t="n">
        <f aca="false">W_PH(AF$2,$A484)</f>
        <v>1037.20902174152</v>
      </c>
      <c r="AG484" s="0" t="n">
        <f aca="false">W_PH(AG$2,$A484)</f>
        <v>1037.2699826553</v>
      </c>
      <c r="AH484" s="0" t="n">
        <f aca="false">W_PH(AH$2,$A484)</f>
        <v>1037.88015750063</v>
      </c>
      <c r="AI484" s="0" t="n">
        <f aca="false">W_PH(AI$2,$A484)</f>
        <v>1038.49174857446</v>
      </c>
      <c r="AJ484" s="0" t="n">
        <f aca="false">W_PH(AJ$2,$A484)</f>
        <v>1039.10533140757</v>
      </c>
      <c r="AK484" s="0" t="n">
        <f aca="false">W_PH(AK$2,$A484)</f>
        <v>1039.72147827488</v>
      </c>
      <c r="AL484" s="0" t="n">
        <f aca="false">W_PH(AL$2,$A484)</f>
        <v>1040.34076614908</v>
      </c>
      <c r="AM484" s="0" t="n">
        <f aca="false">W_PH(AM$2,$A484)</f>
        <v>1040.96376993604</v>
      </c>
      <c r="AN484" s="0" t="n">
        <f aca="false">W_PH(AN$2,$A484)</f>
        <v>1041.59106250293</v>
      </c>
      <c r="AO484" s="0" t="n">
        <f aca="false">W_PH(AO$2,$A484)</f>
        <v>1042.22322153463</v>
      </c>
      <c r="AP484" s="0" t="n">
        <f aca="false">W_PH(AP$2,$A484)</f>
        <v>2015</v>
      </c>
      <c r="AQ484" s="0" t="n">
        <f aca="false">W_PH(AQ$2,$A484)</f>
        <v>2015</v>
      </c>
      <c r="AR484" s="0" t="n">
        <f aca="false">W_PH(AR$2,$A484)</f>
        <v>2015</v>
      </c>
      <c r="AS484" s="0" t="n">
        <f aca="false">W_PH(AS$2,$A484)</f>
        <v>2015</v>
      </c>
    </row>
    <row r="485" customFormat="false" ht="13.8" hidden="false" customHeight="false" outlineLevel="0" collapsed="false">
      <c r="A485" s="0" t="n">
        <v>6450</v>
      </c>
      <c r="B485" s="0" t="n">
        <f aca="false">W_PH(B$2,$A485)</f>
        <v>1037.55584594393</v>
      </c>
      <c r="C485" s="0" t="n">
        <f aca="false">W_PH(C$2,$A485)</f>
        <v>1037.55590768295</v>
      </c>
      <c r="D485" s="0" t="n">
        <f aca="false">W_PH(D$2,$A485)</f>
        <v>1037.55596942197</v>
      </c>
      <c r="E485" s="0" t="n">
        <f aca="false">W_PH(E$2,$A485)</f>
        <v>1037.55602890449</v>
      </c>
      <c r="F485" s="0" t="n">
        <f aca="false">W_PH(F$2,$A485)</f>
        <v>1037.55609064352</v>
      </c>
      <c r="G485" s="0" t="n">
        <f aca="false">W_PH(G$2,$A485)</f>
        <v>1037.55669900798</v>
      </c>
      <c r="H485" s="0" t="n">
        <f aca="false">W_PH(H$2,$A485)</f>
        <v>1037.55730962927</v>
      </c>
      <c r="I485" s="0" t="n">
        <f aca="false">W_PH(I$2,$A485)</f>
        <v>1037.55791799438</v>
      </c>
      <c r="J485" s="0" t="n">
        <f aca="false">W_PH(J$2,$A485)</f>
        <v>1037.55852748807</v>
      </c>
      <c r="K485" s="0" t="n">
        <f aca="false">W_PH(K$2,$A485)</f>
        <v>1037.5591369821</v>
      </c>
      <c r="L485" s="0" t="n">
        <f aca="false">W_PH(L$2,$A485)</f>
        <v>1037.55974534819</v>
      </c>
      <c r="M485" s="0" t="n">
        <f aca="false">W_PH(M$2,$A485)</f>
        <v>1037.56035597113</v>
      </c>
      <c r="N485" s="0" t="n">
        <f aca="false">W_PH(N$2,$A485)</f>
        <v>1037.56096433789</v>
      </c>
      <c r="O485" s="0" t="n">
        <f aca="false">W_PH(O$2,$A485)</f>
        <v>1037.56157383324</v>
      </c>
      <c r="P485" s="0" t="n">
        <f aca="false">W_PH(P$2,$A485)</f>
        <v>1037.56766542029</v>
      </c>
      <c r="Q485" s="0" t="n">
        <f aca="false">W_PH(Q$2,$A485)</f>
        <v>1037.57375816942</v>
      </c>
      <c r="R485" s="0" t="n">
        <f aca="false">W_PH(R$2,$A485)</f>
        <v>1037.57985095296</v>
      </c>
      <c r="S485" s="0" t="n">
        <f aca="false">W_PH(S$2,$A485)</f>
        <v>1037.58594377151</v>
      </c>
      <c r="T485" s="0" t="n">
        <f aca="false">W_PH(T$2,$A485)</f>
        <v>1037.59203662568</v>
      </c>
      <c r="U485" s="0" t="n">
        <f aca="false">W_PH(U$2,$A485)</f>
        <v>1037.59812951604</v>
      </c>
      <c r="V485" s="0" t="n">
        <f aca="false">W_PH(V$2,$A485)</f>
        <v>1037.60422244321</v>
      </c>
      <c r="W485" s="0" t="n">
        <f aca="false">W_PH(W$2,$A485)</f>
        <v>1037.61031540777</v>
      </c>
      <c r="X485" s="0" t="n">
        <f aca="false">W_PH(X$2,$A485)</f>
        <v>1037.61640841032</v>
      </c>
      <c r="Y485" s="0" t="n">
        <f aca="false">W_PH(Y$2,$A485)</f>
        <v>1037.67733839983</v>
      </c>
      <c r="Z485" s="0" t="n">
        <f aca="false">W_PH(Z$2,$A485)</f>
        <v>1037.73827284434</v>
      </c>
      <c r="AA485" s="0" t="n">
        <f aca="false">W_PH(AA$2,$A485)</f>
        <v>1037.79921008305</v>
      </c>
      <c r="AB485" s="0" t="n">
        <f aca="false">W_PH(AB$2,$A485)</f>
        <v>1037.860154098</v>
      </c>
      <c r="AC485" s="0" t="n">
        <f aca="false">W_PH(AC$2,$A485)</f>
        <v>1037.92110322835</v>
      </c>
      <c r="AD485" s="0" t="n">
        <f aca="false">W_PH(AD$2,$A485)</f>
        <v>1037.98205807031</v>
      </c>
      <c r="AE485" s="0" t="n">
        <f aca="false">W_PH(AE$2,$A485)</f>
        <v>1038.04301922012</v>
      </c>
      <c r="AF485" s="0" t="n">
        <f aca="false">W_PH(AF$2,$A485)</f>
        <v>1038.10398840313</v>
      </c>
      <c r="AG485" s="0" t="n">
        <f aca="false">W_PH(AG$2,$A485)</f>
        <v>1038.16496508672</v>
      </c>
      <c r="AH485" s="0" t="n">
        <f aca="false">W_PH(AH$2,$A485)</f>
        <v>1038.77528695127</v>
      </c>
      <c r="AI485" s="0" t="n">
        <f aca="false">W_PH(AI$2,$A485)</f>
        <v>1039.38701721146</v>
      </c>
      <c r="AJ485" s="0" t="n">
        <f aca="false">W_PH(AJ$2,$A485)</f>
        <v>1040.00072759136</v>
      </c>
      <c r="AK485" s="0" t="n">
        <f aca="false">W_PH(AK$2,$A485)</f>
        <v>1040.61699109551</v>
      </c>
      <c r="AL485" s="0" t="n">
        <f aca="false">W_PH(AL$2,$A485)</f>
        <v>1041.236378637</v>
      </c>
      <c r="AM485" s="0" t="n">
        <f aca="false">W_PH(AM$2,$A485)</f>
        <v>1041.85946359682</v>
      </c>
      <c r="AN485" s="0" t="n">
        <f aca="false">W_PH(AN$2,$A485)</f>
        <v>1042.4868184628</v>
      </c>
      <c r="AO485" s="0" t="n">
        <f aca="false">W_PH(AO$2,$A485)</f>
        <v>1043.11901600353</v>
      </c>
      <c r="AP485" s="0" t="n">
        <f aca="false">W_PH(AP$2,$A485)</f>
        <v>2015</v>
      </c>
      <c r="AQ485" s="0" t="n">
        <f aca="false">W_PH(AQ$2,$A485)</f>
        <v>2015</v>
      </c>
      <c r="AR485" s="0" t="n">
        <f aca="false">W_PH(AR$2,$A485)</f>
        <v>2015</v>
      </c>
      <c r="AS485" s="0" t="n">
        <f aca="false">W_PH(AS$2,$A485)</f>
        <v>2015</v>
      </c>
    </row>
    <row r="486" customFormat="false" ht="13.8" hidden="false" customHeight="false" outlineLevel="0" collapsed="false">
      <c r="A486" s="0" t="n">
        <v>6460</v>
      </c>
      <c r="B486" s="0" t="n">
        <f aca="false">W_PH(B$2,$A486)</f>
        <v>1038.44950488384</v>
      </c>
      <c r="C486" s="0" t="n">
        <f aca="false">W_PH(C$2,$A486)</f>
        <v>1038.44956443933</v>
      </c>
      <c r="D486" s="0" t="n">
        <f aca="false">W_PH(D$2,$A486)</f>
        <v>1038.44962624943</v>
      </c>
      <c r="E486" s="0" t="n">
        <f aca="false">W_PH(E$2,$A486)</f>
        <v>1038.44968805953</v>
      </c>
      <c r="F486" s="0" t="n">
        <f aca="false">W_PH(F$2,$A486)</f>
        <v>1038.44974761503</v>
      </c>
      <c r="G486" s="0" t="n">
        <f aca="false">W_PH(G$2,$A486)</f>
        <v>1038.45035669784</v>
      </c>
      <c r="H486" s="0" t="n">
        <f aca="false">W_PH(H$2,$A486)</f>
        <v>1038.45096690828</v>
      </c>
      <c r="I486" s="0" t="n">
        <f aca="false">W_PH(I$2,$A486)</f>
        <v>1038.45157711905</v>
      </c>
      <c r="J486" s="0" t="n">
        <f aca="false">W_PH(J$2,$A486)</f>
        <v>1038.45218620284</v>
      </c>
      <c r="K486" s="0" t="n">
        <f aca="false">W_PH(K$2,$A486)</f>
        <v>1038.45279528695</v>
      </c>
      <c r="L486" s="0" t="n">
        <f aca="false">W_PH(L$2,$A486)</f>
        <v>1038.45340437138</v>
      </c>
      <c r="M486" s="0" t="n">
        <f aca="false">W_PH(M$2,$A486)</f>
        <v>1038.45401345614</v>
      </c>
      <c r="N486" s="0" t="n">
        <f aca="false">W_PH(N$2,$A486)</f>
        <v>1038.45462254123</v>
      </c>
      <c r="O486" s="0" t="n">
        <f aca="false">W_PH(O$2,$A486)</f>
        <v>1038.45523275396</v>
      </c>
      <c r="P486" s="0" t="n">
        <f aca="false">W_PH(P$2,$A486)</f>
        <v>1038.46132700824</v>
      </c>
      <c r="Q486" s="0" t="n">
        <f aca="false">W_PH(Q$2,$A486)</f>
        <v>1038.46742016864</v>
      </c>
      <c r="R486" s="0" t="n">
        <f aca="false">W_PH(R$2,$A486)</f>
        <v>1038.47351561775</v>
      </c>
      <c r="S486" s="0" t="n">
        <f aca="false">W_PH(S$2,$A486)</f>
        <v>1038.47960884682</v>
      </c>
      <c r="T486" s="0" t="n">
        <f aca="false">W_PH(T$2,$A486)</f>
        <v>1038.48570436582</v>
      </c>
      <c r="U486" s="0" t="n">
        <f aca="false">W_PH(U$2,$A486)</f>
        <v>1038.49179766594</v>
      </c>
      <c r="V486" s="0" t="n">
        <f aca="false">W_PH(V$2,$A486)</f>
        <v>1038.49789212984</v>
      </c>
      <c r="W486" s="0" t="n">
        <f aca="false">W_PH(W$2,$A486)</f>
        <v>1038.50398663075</v>
      </c>
      <c r="X486" s="0" t="n">
        <f aca="false">W_PH(X$2,$A486)</f>
        <v>1038.51008004188</v>
      </c>
      <c r="Y486" s="0" t="n">
        <f aca="false">W_PH(Y$2,$A486)</f>
        <v>1038.5710253712</v>
      </c>
      <c r="Z486" s="0" t="n">
        <f aca="false">W_PH(Z$2,$A486)</f>
        <v>1038.63197511422</v>
      </c>
      <c r="AA486" s="0" t="n">
        <f aca="false">W_PH(AA$2,$A486)</f>
        <v>1038.69292760936</v>
      </c>
      <c r="AB486" s="0" t="n">
        <f aca="false">W_PH(AB$2,$A486)</f>
        <v>1038.75388570535</v>
      </c>
      <c r="AC486" s="0" t="n">
        <f aca="false">W_PH(AC$2,$A486)</f>
        <v>1038.81484999597</v>
      </c>
      <c r="AD486" s="0" t="n">
        <f aca="false">W_PH(AD$2,$A486)</f>
        <v>1038.87581881917</v>
      </c>
      <c r="AE486" s="0" t="n">
        <f aca="false">W_PH(AE$2,$A486)</f>
        <v>1038.93679502427</v>
      </c>
      <c r="AF486" s="0" t="n">
        <f aca="false">W_PH(AF$2,$A486)</f>
        <v>1038.9977792051</v>
      </c>
      <c r="AG486" s="0" t="n">
        <f aca="false">W_PH(AG$2,$A486)</f>
        <v>1039.05876969913</v>
      </c>
      <c r="AH486" s="0" t="n">
        <f aca="false">W_PH(AH$2,$A486)</f>
        <v>1039.66923370603</v>
      </c>
      <c r="AI486" s="0" t="n">
        <f aca="false">W_PH(AI$2,$A486)</f>
        <v>1040.28109948886</v>
      </c>
      <c r="AJ486" s="0" t="n">
        <f aca="false">W_PH(AJ$2,$A486)</f>
        <v>1040.89493385673</v>
      </c>
      <c r="AK486" s="0" t="n">
        <f aca="false">W_PH(AK$2,$A486)</f>
        <v>1041.51130829229</v>
      </c>
      <c r="AL486" s="0" t="n">
        <f aca="false">W_PH(AL$2,$A486)</f>
        <v>1042.13079219777</v>
      </c>
      <c r="AM486" s="0" t="n">
        <f aca="false">W_PH(AM$2,$A486)</f>
        <v>1042.75395518318</v>
      </c>
      <c r="AN486" s="0" t="n">
        <f aca="false">W_PH(AN$2,$A486)</f>
        <v>1043.38136710215</v>
      </c>
      <c r="AO486" s="0" t="n">
        <f aca="false">W_PH(AO$2,$A486)</f>
        <v>1044.0136003633</v>
      </c>
      <c r="AP486" s="0" t="n">
        <f aca="false">W_PH(AP$2,$A486)</f>
        <v>2015</v>
      </c>
      <c r="AQ486" s="0" t="n">
        <f aca="false">W_PH(AQ$2,$A486)</f>
        <v>2015</v>
      </c>
      <c r="AR486" s="0" t="n">
        <f aca="false">W_PH(AR$2,$A486)</f>
        <v>2015</v>
      </c>
      <c r="AS486" s="0" t="n">
        <f aca="false">W_PH(AS$2,$A486)</f>
        <v>2015</v>
      </c>
    </row>
    <row r="487" customFormat="false" ht="13.8" hidden="false" customHeight="false" outlineLevel="0" collapsed="false">
      <c r="A487" s="0" t="n">
        <v>6470</v>
      </c>
      <c r="B487" s="0" t="n">
        <f aca="false">W_PH(B$2,$A487)</f>
        <v>1039.34199352063</v>
      </c>
      <c r="C487" s="0" t="n">
        <f aca="false">W_PH(C$2,$A487)</f>
        <v>1039.34205540088</v>
      </c>
      <c r="D487" s="0" t="n">
        <f aca="false">W_PH(D$2,$A487)</f>
        <v>1039.34211502842</v>
      </c>
      <c r="E487" s="0" t="n">
        <f aca="false">W_PH(E$2,$A487)</f>
        <v>1039.34217690869</v>
      </c>
      <c r="F487" s="0" t="n">
        <f aca="false">W_PH(F$2,$A487)</f>
        <v>1039.34223766259</v>
      </c>
      <c r="G487" s="0" t="n">
        <f aca="false">W_PH(G$2,$A487)</f>
        <v>1039.34284632818</v>
      </c>
      <c r="H487" s="0" t="n">
        <f aca="false">W_PH(H$2,$A487)</f>
        <v>1039.34345612044</v>
      </c>
      <c r="I487" s="0" t="n">
        <f aca="false">W_PH(I$2,$A487)</f>
        <v>1039.34406591303</v>
      </c>
      <c r="J487" s="0" t="n">
        <f aca="false">W_PH(J$2,$A487)</f>
        <v>1039.34467570594</v>
      </c>
      <c r="K487" s="0" t="n">
        <f aca="false">W_PH(K$2,$A487)</f>
        <v>1039.34528549917</v>
      </c>
      <c r="L487" s="0" t="n">
        <f aca="false">W_PH(L$2,$A487)</f>
        <v>1039.34589529273</v>
      </c>
      <c r="M487" s="0" t="n">
        <f aca="false">W_PH(M$2,$A487)</f>
        <v>1039.34650508661</v>
      </c>
      <c r="N487" s="0" t="n">
        <f aca="false">W_PH(N$2,$A487)</f>
        <v>1039.34711375444</v>
      </c>
      <c r="O487" s="0" t="n">
        <f aca="false">W_PH(O$2,$A487)</f>
        <v>1039.34772354897</v>
      </c>
      <c r="P487" s="0" t="n">
        <f aca="false">W_PH(P$2,$A487)</f>
        <v>1039.3538181331</v>
      </c>
      <c r="Q487" s="0" t="n">
        <f aca="false">W_PH(Q$2,$A487)</f>
        <v>1039.3599138767</v>
      </c>
      <c r="R487" s="0" t="n">
        <f aca="false">W_PH(R$2,$A487)</f>
        <v>1039.36600965398</v>
      </c>
      <c r="S487" s="0" t="n">
        <f aca="false">W_PH(S$2,$A487)</f>
        <v>1039.37210546553</v>
      </c>
      <c r="T487" s="0" t="n">
        <f aca="false">W_PH(T$2,$A487)</f>
        <v>1039.37820131195</v>
      </c>
      <c r="U487" s="0" t="n">
        <f aca="false">W_PH(U$2,$A487)</f>
        <v>1039.38429719383</v>
      </c>
      <c r="V487" s="0" t="n">
        <f aca="false">W_PH(V$2,$A487)</f>
        <v>1039.39039311176</v>
      </c>
      <c r="W487" s="0" t="n">
        <f aca="false">W_PH(W$2,$A487)</f>
        <v>1039.39648906633</v>
      </c>
      <c r="X487" s="0" t="n">
        <f aca="false">W_PH(X$2,$A487)</f>
        <v>1039.40258505813</v>
      </c>
      <c r="Y487" s="0" t="n">
        <f aca="false">W_PH(Y$2,$A487)</f>
        <v>1039.46354377422</v>
      </c>
      <c r="Z487" s="0" t="n">
        <f aca="false">W_PH(Z$2,$A487)</f>
        <v>1039.52450686301</v>
      </c>
      <c r="AA487" s="0" t="n">
        <f aca="false">W_PH(AA$2,$A487)</f>
        <v>1039.58547491557</v>
      </c>
      <c r="AB487" s="0" t="n">
        <f aca="false">W_PH(AB$2,$A487)</f>
        <v>1039.64644739617</v>
      </c>
      <c r="AC487" s="0" t="n">
        <f aca="false">W_PH(AC$2,$A487)</f>
        <v>1039.70742489565</v>
      </c>
      <c r="AD487" s="0" t="n">
        <f aca="false">W_PH(AD$2,$A487)</f>
        <v>1039.76840913187</v>
      </c>
      <c r="AE487" s="0" t="n">
        <f aca="false">W_PH(AE$2,$A487)</f>
        <v>1039.82939956889</v>
      </c>
      <c r="AF487" s="0" t="n">
        <f aca="false">W_PH(AF$2,$A487)</f>
        <v>1039.89039679761</v>
      </c>
      <c r="AG487" s="0" t="n">
        <f aca="false">W_PH(AG$2,$A487)</f>
        <v>1039.95140253621</v>
      </c>
      <c r="AH487" s="0" t="n">
        <f aca="false">W_PH(AH$2,$A487)</f>
        <v>1040.56200389098</v>
      </c>
      <c r="AI487" s="0" t="n">
        <f aca="false">W_PH(AI$2,$A487)</f>
        <v>1041.17399935319</v>
      </c>
      <c r="AJ487" s="0" t="n">
        <f aca="false">W_PH(AJ$2,$A487)</f>
        <v>1041.7879542257</v>
      </c>
      <c r="AK487" s="0" t="n">
        <f aca="false">W_PH(AK$2,$A487)</f>
        <v>1042.40443622873</v>
      </c>
      <c r="AL487" s="0" t="n">
        <f aca="false">W_PH(AL$2,$A487)</f>
        <v>1043.02401213766</v>
      </c>
      <c r="AM487" s="0" t="n">
        <f aca="false">W_PH(AM$2,$A487)</f>
        <v>1043.64724894085</v>
      </c>
      <c r="AN487" s="0" t="n">
        <f aca="false">W_PH(AN$2,$A487)</f>
        <v>1044.27471500818</v>
      </c>
      <c r="AO487" s="0" t="n">
        <f aca="false">W_PH(AO$2,$A487)</f>
        <v>1044.90697786838</v>
      </c>
      <c r="AP487" s="0" t="n">
        <f aca="false">W_PH(AP$2,$A487)</f>
        <v>2015</v>
      </c>
      <c r="AQ487" s="0" t="n">
        <f aca="false">W_PH(AQ$2,$A487)</f>
        <v>2015</v>
      </c>
      <c r="AR487" s="0" t="n">
        <f aca="false">W_PH(AR$2,$A487)</f>
        <v>2015</v>
      </c>
      <c r="AS487" s="0" t="n">
        <f aca="false">W_PH(AS$2,$A487)</f>
        <v>2015</v>
      </c>
    </row>
    <row r="488" customFormat="false" ht="13.8" hidden="false" customHeight="false" outlineLevel="0" collapsed="false">
      <c r="A488" s="0" t="n">
        <v>6480</v>
      </c>
      <c r="B488" s="0" t="n">
        <f aca="false">W_PH(B$2,$A488)</f>
        <v>1040.23331891866</v>
      </c>
      <c r="C488" s="0" t="n">
        <f aca="false">W_PH(C$2,$A488)</f>
        <v>1040.23337974275</v>
      </c>
      <c r="D488" s="0" t="n">
        <f aca="false">W_PH(D$2,$A488)</f>
        <v>1040.23344056684</v>
      </c>
      <c r="E488" s="0" t="n">
        <f aca="false">W_PH(E$2,$A488)</f>
        <v>1040.23350251635</v>
      </c>
      <c r="F488" s="0" t="n">
        <f aca="false">W_PH(F$2,$A488)</f>
        <v>1040.23356221502</v>
      </c>
      <c r="G488" s="0" t="n">
        <f aca="false">W_PH(G$2,$A488)</f>
        <v>1040.23417270698</v>
      </c>
      <c r="H488" s="0" t="n">
        <f aca="false">W_PH(H$2,$A488)</f>
        <v>1040.23478207383</v>
      </c>
      <c r="I488" s="0" t="n">
        <f aca="false">W_PH(I$2,$A488)</f>
        <v>1040.235391441</v>
      </c>
      <c r="J488" s="0" t="n">
        <f aca="false">W_PH(J$2,$A488)</f>
        <v>1040.23600193391</v>
      </c>
      <c r="K488" s="0" t="n">
        <f aca="false">W_PH(K$2,$A488)</f>
        <v>1040.23661130172</v>
      </c>
      <c r="L488" s="0" t="n">
        <f aca="false">W_PH(L$2,$A488)</f>
        <v>1040.23722066984</v>
      </c>
      <c r="M488" s="0" t="n">
        <f aca="false">W_PH(M$2,$A488)</f>
        <v>1040.23783116371</v>
      </c>
      <c r="N488" s="0" t="n">
        <f aca="false">W_PH(N$2,$A488)</f>
        <v>1040.23843940705</v>
      </c>
      <c r="O488" s="0" t="n">
        <f aca="false">W_PH(O$2,$A488)</f>
        <v>1040.23904990156</v>
      </c>
      <c r="P488" s="0" t="n">
        <f aca="false">W_PH(P$2,$A488)</f>
        <v>1040.24514698647</v>
      </c>
      <c r="Q488" s="0" t="n">
        <f aca="false">W_PH(Q$2,$A488)</f>
        <v>1040.25124410412</v>
      </c>
      <c r="R488" s="0" t="n">
        <f aca="false">W_PH(R$2,$A488)</f>
        <v>1040.25734012964</v>
      </c>
      <c r="S488" s="0" t="n">
        <f aca="false">W_PH(S$2,$A488)</f>
        <v>1040.26343843998</v>
      </c>
      <c r="T488" s="0" t="n">
        <f aca="false">W_PH(T$2,$A488)</f>
        <v>1040.2695345339</v>
      </c>
      <c r="U488" s="0" t="n">
        <f aca="false">W_PH(U$2,$A488)</f>
        <v>1040.27563178837</v>
      </c>
      <c r="V488" s="0" t="n">
        <f aca="false">W_PH(V$2,$A488)</f>
        <v>1040.28172907852</v>
      </c>
      <c r="W488" s="0" t="n">
        <f aca="false">W_PH(W$2,$A488)</f>
        <v>1040.28782640494</v>
      </c>
      <c r="X488" s="0" t="n">
        <f aca="false">W_PH(X$2,$A488)</f>
        <v>1040.29392376822</v>
      </c>
      <c r="Y488" s="0" t="n">
        <f aca="false">W_PH(Y$2,$A488)</f>
        <v>1040.35489730633</v>
      </c>
      <c r="Z488" s="0" t="n">
        <f aca="false">W_PH(Z$2,$A488)</f>
        <v>1040.41587405126</v>
      </c>
      <c r="AA488" s="0" t="n">
        <f aca="false">W_PH(AA$2,$A488)</f>
        <v>1040.47685571693</v>
      </c>
      <c r="AB488" s="0" t="n">
        <f aca="false">W_PH(AB$2,$A488)</f>
        <v>1040.5378417659</v>
      </c>
      <c r="AC488" s="0" t="n">
        <f aca="false">W_PH(AC$2,$A488)</f>
        <v>1040.59883391231</v>
      </c>
      <c r="AD488" s="0" t="n">
        <f aca="false">W_PH(AD$2,$A488)</f>
        <v>1040.65983161859</v>
      </c>
      <c r="AE488" s="0" t="n">
        <f aca="false">W_PH(AE$2,$A488)</f>
        <v>1040.72083659909</v>
      </c>
      <c r="AF488" s="0" t="n">
        <f aca="false">W_PH(AF$2,$A488)</f>
        <v>1040.78184718991</v>
      </c>
      <c r="AG488" s="0" t="n">
        <f aca="false">W_PH(AG$2,$A488)</f>
        <v>1040.84286623164</v>
      </c>
      <c r="AH488" s="0" t="n">
        <f aca="false">W_PH(AH$2,$A488)</f>
        <v>1041.45360134567</v>
      </c>
      <c r="AI488" s="0" t="n">
        <f aca="false">W_PH(AI$2,$A488)</f>
        <v>1042.06572298157</v>
      </c>
      <c r="AJ488" s="0" t="n">
        <f aca="false">W_PH(AJ$2,$A488)</f>
        <v>1042.67979269385</v>
      </c>
      <c r="AK488" s="0" t="n">
        <f aca="false">W_PH(AK$2,$A488)</f>
        <v>1043.2963789736</v>
      </c>
      <c r="AL488" s="0" t="n">
        <f aca="false">W_PH(AL$2,$A488)</f>
        <v>1043.91604146961</v>
      </c>
      <c r="AM488" s="0" t="n">
        <f aca="false">W_PH(AM$2,$A488)</f>
        <v>1044.53934908635</v>
      </c>
      <c r="AN488" s="0" t="n">
        <f aca="false">W_PH(AN$2,$A488)</f>
        <v>1045.16686646567</v>
      </c>
      <c r="AO488" s="0" t="n">
        <f aca="false">W_PH(AO$2,$A488)</f>
        <v>1045.7991562775</v>
      </c>
      <c r="AP488" s="0" t="n">
        <f aca="false">W_PH(AP$2,$A488)</f>
        <v>2015</v>
      </c>
      <c r="AQ488" s="0" t="n">
        <f aca="false">W_PH(AQ$2,$A488)</f>
        <v>2015</v>
      </c>
      <c r="AR488" s="0" t="n">
        <f aca="false">W_PH(AR$2,$A488)</f>
        <v>2015</v>
      </c>
      <c r="AS488" s="0" t="n">
        <f aca="false">W_PH(AS$2,$A488)</f>
        <v>2015</v>
      </c>
    </row>
    <row r="489" customFormat="false" ht="13.8" hidden="false" customHeight="false" outlineLevel="0" collapsed="false">
      <c r="A489" s="0" t="n">
        <v>6490</v>
      </c>
      <c r="B489" s="0" t="n">
        <f aca="false">W_PH(B$2,$A489)</f>
        <v>1041.12348361084</v>
      </c>
      <c r="C489" s="0" t="n">
        <f aca="false">W_PH(C$2,$A489)</f>
        <v>1041.12354562869</v>
      </c>
      <c r="D489" s="0" t="n">
        <f aca="false">W_PH(D$2,$A489)</f>
        <v>1041.12360539758</v>
      </c>
      <c r="E489" s="0" t="n">
        <f aca="false">W_PH(E$2,$A489)</f>
        <v>1041.12366741544</v>
      </c>
      <c r="F489" s="0" t="n">
        <f aca="false">W_PH(F$2,$A489)</f>
        <v>1041.12372830882</v>
      </c>
      <c r="G489" s="0" t="n">
        <f aca="false">W_PH(G$2,$A489)</f>
        <v>1041.12433836727</v>
      </c>
      <c r="H489" s="0" t="n">
        <f aca="false">W_PH(H$2,$A489)</f>
        <v>1041.12494730155</v>
      </c>
      <c r="I489" s="0" t="n">
        <f aca="false">W_PH(I$2,$A489)</f>
        <v>1041.12555736063</v>
      </c>
      <c r="J489" s="0" t="n">
        <f aca="false">W_PH(J$2,$A489)</f>
        <v>1041.12616742002</v>
      </c>
      <c r="K489" s="0" t="n">
        <f aca="false">W_PH(K$2,$A489)</f>
        <v>1041.12677635525</v>
      </c>
      <c r="L489" s="0" t="n">
        <f aca="false">W_PH(L$2,$A489)</f>
        <v>1041.12738753976</v>
      </c>
      <c r="M489" s="0" t="n">
        <f aca="false">W_PH(M$2,$A489)</f>
        <v>1041.12799647561</v>
      </c>
      <c r="N489" s="0" t="n">
        <f aca="false">W_PH(N$2,$A489)</f>
        <v>1041.12860653627</v>
      </c>
      <c r="O489" s="0" t="n">
        <f aca="false">W_PH(O$2,$A489)</f>
        <v>1041.12921659725</v>
      </c>
      <c r="P489" s="0" t="n">
        <f aca="false">W_PH(P$2,$A489)</f>
        <v>1041.13531497561</v>
      </c>
      <c r="Q489" s="0" t="n">
        <f aca="false">W_PH(Q$2,$A489)</f>
        <v>1041.14141338636</v>
      </c>
      <c r="R489" s="0" t="n">
        <f aca="false">W_PH(R$2,$A489)</f>
        <v>1041.14751183009</v>
      </c>
      <c r="S489" s="0" t="n">
        <f aca="false">W_PH(S$2,$A489)</f>
        <v>1041.15361030737</v>
      </c>
      <c r="T489" s="0" t="n">
        <f aca="false">W_PH(T$2,$A489)</f>
        <v>1041.15970881879</v>
      </c>
      <c r="U489" s="0" t="n">
        <f aca="false">W_PH(U$2,$A489)</f>
        <v>1041.16580736494</v>
      </c>
      <c r="V489" s="0" t="n">
        <f aca="false">W_PH(V$2,$A489)</f>
        <v>1041.17190594641</v>
      </c>
      <c r="W489" s="0" t="n">
        <f aca="false">W_PH(W$2,$A489)</f>
        <v>1041.17800456378</v>
      </c>
      <c r="X489" s="0" t="n">
        <f aca="false">W_PH(X$2,$A489)</f>
        <v>1041.18410209307</v>
      </c>
      <c r="Y489" s="0" t="n">
        <f aca="false">W_PH(Y$2,$A489)</f>
        <v>1041.24508964246</v>
      </c>
      <c r="Z489" s="0" t="n">
        <f aca="false">W_PH(Z$2,$A489)</f>
        <v>1041.30608035988</v>
      </c>
      <c r="AA489" s="0" t="n">
        <f aca="false">W_PH(AA$2,$A489)</f>
        <v>1041.36707595565</v>
      </c>
      <c r="AB489" s="0" t="n">
        <f aca="false">W_PH(AB$2,$A489)</f>
        <v>1041.42807476573</v>
      </c>
      <c r="AC489" s="0" t="n">
        <f aca="false">W_PH(AC$2,$A489)</f>
        <v>1041.48907962541</v>
      </c>
      <c r="AD489" s="0" t="n">
        <f aca="false">W_PH(AD$2,$A489)</f>
        <v>1041.55009112052</v>
      </c>
      <c r="AE489" s="0" t="n">
        <f aca="false">W_PH(AE$2,$A489)</f>
        <v>1041.61110871174</v>
      </c>
      <c r="AF489" s="0" t="n">
        <f aca="false">W_PH(AF$2,$A489)</f>
        <v>1041.67213410994</v>
      </c>
      <c r="AG489" s="0" t="n">
        <f aca="false">W_PH(AG$2,$A489)</f>
        <v>1041.73316565032</v>
      </c>
      <c r="AH489" s="0" t="n">
        <f aca="false">W_PH(AH$2,$A489)</f>
        <v>1042.3440298854</v>
      </c>
      <c r="AI489" s="0" t="n">
        <f aca="false">W_PH(AI$2,$A489)</f>
        <v>1042.95627313696</v>
      </c>
      <c r="AJ489" s="0" t="n">
        <f aca="false">W_PH(AJ$2,$A489)</f>
        <v>1043.57045548641</v>
      </c>
      <c r="AK489" s="0" t="n">
        <f aca="false">W_PH(AK$2,$A489)</f>
        <v>1044.18714056855</v>
      </c>
      <c r="AL489" s="0" t="n">
        <f aca="false">W_PH(AL$2,$A489)</f>
        <v>1044.80688770058</v>
      </c>
      <c r="AM489" s="0" t="n">
        <f aca="false">W_PH(AM$2,$A489)</f>
        <v>1045.43026093756</v>
      </c>
      <c r="AN489" s="0" t="n">
        <f aca="false">W_PH(AN$2,$A489)</f>
        <v>1046.05782459852</v>
      </c>
      <c r="AO489" s="0" t="n">
        <f aca="false">W_PH(AO$2,$A489)</f>
        <v>1046.69013877929</v>
      </c>
      <c r="AP489" s="0" t="n">
        <f aca="false">W_PH(AP$2,$A489)</f>
        <v>2015</v>
      </c>
      <c r="AQ489" s="0" t="n">
        <f aca="false">W_PH(AQ$2,$A489)</f>
        <v>2015</v>
      </c>
      <c r="AR489" s="0" t="n">
        <f aca="false">W_PH(AR$2,$A489)</f>
        <v>2015</v>
      </c>
      <c r="AS489" s="0" t="n">
        <f aca="false">W_PH(AS$2,$A489)</f>
        <v>2015</v>
      </c>
    </row>
    <row r="490" customFormat="false" ht="13.8" hidden="false" customHeight="false" outlineLevel="0" collapsed="false">
      <c r="A490" s="0" t="n">
        <v>6500</v>
      </c>
      <c r="B490" s="0" t="n">
        <f aca="false">W_PH(B$2,$A490)</f>
        <v>1042.0124946059</v>
      </c>
      <c r="C490" s="0" t="n">
        <f aca="false">W_PH(C$2,$A490)</f>
        <v>1042.01255444412</v>
      </c>
      <c r="D490" s="0" t="n">
        <f aca="false">W_PH(D$2,$A490)</f>
        <v>1042.01261652942</v>
      </c>
      <c r="E490" s="0" t="n">
        <f aca="false">W_PH(E$2,$A490)</f>
        <v>1042.01267636765</v>
      </c>
      <c r="F490" s="0" t="n">
        <f aca="false">W_PH(F$2,$A490)</f>
        <v>1042.01273845296</v>
      </c>
      <c r="G490" s="0" t="n">
        <f aca="false">W_PH(G$2,$A490)</f>
        <v>1042.01334807084</v>
      </c>
      <c r="H490" s="0" t="n">
        <f aca="false">W_PH(H$2,$A490)</f>
        <v>1042.01395768903</v>
      </c>
      <c r="I490" s="0" t="n">
        <f aca="false">W_PH(I$2,$A490)</f>
        <v>1042.01456730752</v>
      </c>
      <c r="J490" s="0" t="n">
        <f aca="false">W_PH(J$2,$A490)</f>
        <v>1042.01517804988</v>
      </c>
      <c r="K490" s="0" t="n">
        <f aca="false">W_PH(K$2,$A490)</f>
        <v>1042.015787669</v>
      </c>
      <c r="L490" s="0" t="n">
        <f aca="false">W_PH(L$2,$A490)</f>
        <v>1042.01639841197</v>
      </c>
      <c r="M490" s="0" t="n">
        <f aca="false">W_PH(M$2,$A490)</f>
        <v>1042.01700803172</v>
      </c>
      <c r="N490" s="0" t="n">
        <f aca="false">W_PH(N$2,$A490)</f>
        <v>1042.01761765178</v>
      </c>
      <c r="O490" s="0" t="n">
        <f aca="false">W_PH(O$2,$A490)</f>
        <v>1042.01822727215</v>
      </c>
      <c r="P490" s="0" t="n">
        <f aca="false">W_PH(P$2,$A490)</f>
        <v>1042.02432798746</v>
      </c>
      <c r="Q490" s="0" t="n">
        <f aca="false">W_PH(Q$2,$A490)</f>
        <v>1042.03042648769</v>
      </c>
      <c r="R490" s="0" t="n">
        <f aca="false">W_PH(R$2,$A490)</f>
        <v>1042.03652726768</v>
      </c>
      <c r="S490" s="0" t="n">
        <f aca="false">W_PH(S$2,$A490)</f>
        <v>1042.04262583372</v>
      </c>
      <c r="T490" s="0" t="n">
        <f aca="false">W_PH(T$2,$A490)</f>
        <v>1042.04872668071</v>
      </c>
      <c r="U490" s="0" t="n">
        <f aca="false">W_PH(U$2,$A490)</f>
        <v>1042.0548253149</v>
      </c>
      <c r="V490" s="0" t="n">
        <f aca="false">W_PH(V$2,$A490)</f>
        <v>1042.06092623123</v>
      </c>
      <c r="W490" s="0" t="n">
        <f aca="false">W_PH(W$2,$A490)</f>
        <v>1042.06702493589</v>
      </c>
      <c r="X490" s="0" t="n">
        <f aca="false">W_PH(X$2,$A490)</f>
        <v>1042.0731259239</v>
      </c>
      <c r="Y490" s="0" t="n">
        <f aca="false">W_PH(Y$2,$A490)</f>
        <v>1042.13412555904</v>
      </c>
      <c r="Z490" s="0" t="n">
        <f aca="false">W_PH(Z$2,$A490)</f>
        <v>1042.19512944746</v>
      </c>
      <c r="AA490" s="0" t="n">
        <f aca="false">W_PH(AA$2,$A490)</f>
        <v>1042.25613704842</v>
      </c>
      <c r="AB490" s="0" t="n">
        <f aca="false">W_PH(AB$2,$A490)</f>
        <v>1042.3171500688</v>
      </c>
      <c r="AC490" s="0" t="n">
        <f aca="false">W_PH(AC$2,$A490)</f>
        <v>1042.37816909179</v>
      </c>
      <c r="AD490" s="0" t="n">
        <f aca="false">W_PH(AD$2,$A490)</f>
        <v>1042.43919245232</v>
      </c>
      <c r="AE490" s="0" t="n">
        <f aca="false">W_PH(AE$2,$A490)</f>
        <v>1042.50022298155</v>
      </c>
      <c r="AF490" s="0" t="n">
        <f aca="false">W_PH(AF$2,$A490)</f>
        <v>1042.56126126273</v>
      </c>
      <c r="AG490" s="0" t="n">
        <f aca="false">W_PH(AG$2,$A490)</f>
        <v>1042.62230563034</v>
      </c>
      <c r="AH490" s="0" t="n">
        <f aca="false">W_PH(AH$2,$A490)</f>
        <v>1043.23329555196</v>
      </c>
      <c r="AI490" s="0" t="n">
        <f aca="false">W_PH(AI$2,$A490)</f>
        <v>1043.84565481339</v>
      </c>
      <c r="AJ490" s="0" t="n">
        <f aca="false">W_PH(AJ$2,$A490)</f>
        <v>1044.45994541407</v>
      </c>
      <c r="AK490" s="0" t="n">
        <f aca="false">W_PH(AK$2,$A490)</f>
        <v>1045.07672502842</v>
      </c>
      <c r="AL490" s="0" t="n">
        <f aca="false">W_PH(AL$2,$A490)</f>
        <v>1045.69655378371</v>
      </c>
      <c r="AM490" s="0" t="n">
        <f aca="false">W_PH(AM$2,$A490)</f>
        <v>1046.31998977965</v>
      </c>
      <c r="AN490" s="0" t="n">
        <f aca="false">W_PH(AN$2,$A490)</f>
        <v>1046.94759476525</v>
      </c>
      <c r="AO490" s="0" t="n">
        <f aca="false">W_PH(AO$2,$A490)</f>
        <v>1047.5799307976</v>
      </c>
      <c r="AP490" s="0" t="n">
        <f aca="false">W_PH(AP$2,$A490)</f>
        <v>2015</v>
      </c>
      <c r="AQ490" s="0" t="n">
        <f aca="false">W_PH(AQ$2,$A490)</f>
        <v>2015</v>
      </c>
      <c r="AR490" s="0" t="n">
        <f aca="false">W_PH(AR$2,$A490)</f>
        <v>2015</v>
      </c>
      <c r="AS490" s="0" t="n">
        <f aca="false">W_PH(AS$2,$A490)</f>
        <v>2015</v>
      </c>
    </row>
    <row r="491" customFormat="false" ht="13.8" hidden="false" customHeight="false" outlineLevel="0" collapsed="false">
      <c r="A491" s="0" t="n">
        <v>6510</v>
      </c>
      <c r="B491" s="0" t="n">
        <f aca="false">W_PH(B$2,$A491)</f>
        <v>1042.90035214384</v>
      </c>
      <c r="C491" s="0" t="n">
        <f aca="false">W_PH(C$2,$A491)</f>
        <v>1042.90041429571</v>
      </c>
      <c r="D491" s="0" t="n">
        <f aca="false">W_PH(D$2,$A491)</f>
        <v>1042.90047420237</v>
      </c>
      <c r="E491" s="0" t="n">
        <f aca="false">W_PH(E$2,$A491)</f>
        <v>1042.90053635425</v>
      </c>
      <c r="F491" s="0" t="n">
        <f aca="false">W_PH(F$2,$A491)</f>
        <v>1042.90059626092</v>
      </c>
      <c r="G491" s="0" t="n">
        <f aca="false">W_PH(G$2,$A491)</f>
        <v>1042.90120655385</v>
      </c>
      <c r="H491" s="0" t="n">
        <f aca="false">W_PH(H$2,$A491)</f>
        <v>1042.90181684708</v>
      </c>
      <c r="I491" s="0" t="n">
        <f aca="false">W_PH(I$2,$A491)</f>
        <v>1042.90242714062</v>
      </c>
      <c r="J491" s="0" t="n">
        <f aca="false">W_PH(J$2,$A491)</f>
        <v>1042.90303743447</v>
      </c>
      <c r="K491" s="0" t="n">
        <f aca="false">W_PH(K$2,$A491)</f>
        <v>1042.90364772863</v>
      </c>
      <c r="L491" s="0" t="n">
        <f aca="false">W_PH(L$2,$A491)</f>
        <v>1042.9042580231</v>
      </c>
      <c r="M491" s="0" t="n">
        <f aca="false">W_PH(M$2,$A491)</f>
        <v>1042.90486719526</v>
      </c>
      <c r="N491" s="0" t="n">
        <f aca="false">W_PH(N$2,$A491)</f>
        <v>1042.90547749034</v>
      </c>
      <c r="O491" s="0" t="n">
        <f aca="false">W_PH(O$2,$A491)</f>
        <v>1042.90608778574</v>
      </c>
      <c r="P491" s="0" t="n">
        <f aca="false">W_PH(P$2,$A491)</f>
        <v>1042.91218851169</v>
      </c>
      <c r="Q491" s="0" t="n">
        <f aca="false">W_PH(Q$2,$A491)</f>
        <v>1042.91828926933</v>
      </c>
      <c r="R491" s="0" t="n">
        <f aca="false">W_PH(R$2,$A491)</f>
        <v>1042.92439118188</v>
      </c>
      <c r="S491" s="0" t="n">
        <f aca="false">W_PH(S$2,$A491)</f>
        <v>1042.93049200466</v>
      </c>
      <c r="T491" s="0" t="n">
        <f aca="false">W_PH(T$2,$A491)</f>
        <v>1042.93659286088</v>
      </c>
      <c r="U491" s="0" t="n">
        <f aca="false">W_PH(U$2,$A491)</f>
        <v>1042.94269375112</v>
      </c>
      <c r="V491" s="0" t="n">
        <f aca="false">W_PH(V$2,$A491)</f>
        <v>1042.94879467595</v>
      </c>
      <c r="W491" s="0" t="n">
        <f aca="false">W_PH(W$2,$A491)</f>
        <v>1042.95489563596</v>
      </c>
      <c r="X491" s="0" t="n">
        <f aca="false">W_PH(X$2,$A491)</f>
        <v>1042.96099663173</v>
      </c>
      <c r="Y491" s="0" t="n">
        <f aca="false">W_PH(Y$2,$A491)</f>
        <v>1043.02200868385</v>
      </c>
      <c r="Z491" s="0" t="n">
        <f aca="false">W_PH(Z$2,$A491)</f>
        <v>1043.08302607325</v>
      </c>
      <c r="AA491" s="0" t="n">
        <f aca="false">W_PH(AA$2,$A491)</f>
        <v>1043.1440460119</v>
      </c>
      <c r="AB491" s="0" t="n">
        <f aca="false">W_PH(AB$2,$A491)</f>
        <v>1043.20507244893</v>
      </c>
      <c r="AC491" s="0" t="n">
        <f aca="false">W_PH(AC$2,$A491)</f>
        <v>1043.26610259583</v>
      </c>
      <c r="AD491" s="0" t="n">
        <f aca="false">W_PH(AD$2,$A491)</f>
        <v>1043.3271392791</v>
      </c>
      <c r="AE491" s="0" t="n">
        <f aca="false">W_PH(AE$2,$A491)</f>
        <v>1043.38818307937</v>
      </c>
      <c r="AF491" s="0" t="n">
        <f aca="false">W_PH(AF$2,$A491)</f>
        <v>1043.44923233054</v>
      </c>
      <c r="AG491" s="0" t="n">
        <f aca="false">W_PH(AG$2,$A491)</f>
        <v>1043.51028985968</v>
      </c>
      <c r="AH491" s="0" t="n">
        <f aca="false">W_PH(AH$2,$A491)</f>
        <v>1044.12139985852</v>
      </c>
      <c r="AI491" s="0" t="n">
        <f aca="false">W_PH(AI$2,$A491)</f>
        <v>1044.73387297628</v>
      </c>
      <c r="AJ491" s="0" t="n">
        <f aca="false">W_PH(AJ$2,$A491)</f>
        <v>1045.34826751767</v>
      </c>
      <c r="AK491" s="0" t="n">
        <f aca="false">W_PH(AK$2,$A491)</f>
        <v>1045.96513746815</v>
      </c>
      <c r="AL491" s="0" t="n">
        <f aca="false">W_PH(AL$2,$A491)</f>
        <v>1046.58504264865</v>
      </c>
      <c r="AM491" s="0" t="n">
        <f aca="false">W_PH(AM$2,$A491)</f>
        <v>1047.20853860888</v>
      </c>
      <c r="AN491" s="0" t="n">
        <f aca="false">W_PH(AN$2,$A491)</f>
        <v>1047.83618342012</v>
      </c>
      <c r="AO491" s="0" t="n">
        <f aca="false">W_PH(AO$2,$A491)</f>
        <v>1048.4685354627</v>
      </c>
      <c r="AP491" s="0" t="n">
        <f aca="false">W_PH(AP$2,$A491)</f>
        <v>2015</v>
      </c>
      <c r="AQ491" s="0" t="n">
        <f aca="false">W_PH(AQ$2,$A491)</f>
        <v>2015</v>
      </c>
      <c r="AR491" s="0" t="n">
        <f aca="false">W_PH(AR$2,$A491)</f>
        <v>2015</v>
      </c>
      <c r="AS491" s="0" t="n">
        <f aca="false">W_PH(AS$2,$A491)</f>
        <v>2015</v>
      </c>
    </row>
    <row r="492" customFormat="false" ht="13.8" hidden="false" customHeight="false" outlineLevel="0" collapsed="false">
      <c r="A492" s="0" t="n">
        <v>6520</v>
      </c>
      <c r="B492" s="0" t="n">
        <f aca="false">W_PH(B$2,$A492)</f>
        <v>1043.78706430591</v>
      </c>
      <c r="C492" s="0" t="n">
        <f aca="false">W_PH(C$2,$A492)</f>
        <v>1043.78712540181</v>
      </c>
      <c r="D492" s="0" t="n">
        <f aca="false">W_PH(D$2,$A492)</f>
        <v>1043.78718649771</v>
      </c>
      <c r="E492" s="0" t="n">
        <f aca="false">W_PH(E$2,$A492)</f>
        <v>1043.78724759361</v>
      </c>
      <c r="F492" s="0" t="n">
        <f aca="false">W_PH(F$2,$A492)</f>
        <v>1043.78730868951</v>
      </c>
      <c r="G492" s="0" t="n">
        <f aca="false">W_PH(G$2,$A492)</f>
        <v>1043.78791852704</v>
      </c>
      <c r="H492" s="0" t="n">
        <f aca="false">W_PH(H$2,$A492)</f>
        <v>1043.78852948655</v>
      </c>
      <c r="I492" s="0" t="n">
        <f aca="false">W_PH(I$2,$A492)</f>
        <v>1043.78913820302</v>
      </c>
      <c r="J492" s="0" t="n">
        <f aca="false">W_PH(J$2,$A492)</f>
        <v>1043.78974916314</v>
      </c>
      <c r="K492" s="0" t="n">
        <f aca="false">W_PH(K$2,$A492)</f>
        <v>1043.79036012356</v>
      </c>
      <c r="L492" s="0" t="n">
        <f aca="false">W_PH(L$2,$A492)</f>
        <v>1043.79096884094</v>
      </c>
      <c r="M492" s="0" t="n">
        <f aca="false">W_PH(M$2,$A492)</f>
        <v>1043.79157980197</v>
      </c>
      <c r="N492" s="0" t="n">
        <f aca="false">W_PH(N$2,$A492)</f>
        <v>1043.79219076332</v>
      </c>
      <c r="O492" s="0" t="n">
        <f aca="false">W_PH(O$2,$A492)</f>
        <v>1043.79279948161</v>
      </c>
      <c r="P492" s="0" t="n">
        <f aca="false">W_PH(P$2,$A492)</f>
        <v>1043.79890238508</v>
      </c>
      <c r="Q492" s="0" t="n">
        <f aca="false">W_PH(Q$2,$A492)</f>
        <v>1043.80500531993</v>
      </c>
      <c r="R492" s="0" t="n">
        <f aca="false">W_PH(R$2,$A492)</f>
        <v>1043.81110604331</v>
      </c>
      <c r="S492" s="0" t="n">
        <f aca="false">W_PH(S$2,$A492)</f>
        <v>1043.81720904261</v>
      </c>
      <c r="T492" s="0" t="n">
        <f aca="false">W_PH(T$2,$A492)</f>
        <v>1043.82331207503</v>
      </c>
      <c r="U492" s="0" t="n">
        <f aca="false">W_PH(U$2,$A492)</f>
        <v>1043.82941289766</v>
      </c>
      <c r="V492" s="0" t="n">
        <f aca="false">W_PH(V$2,$A492)</f>
        <v>1043.835515998</v>
      </c>
      <c r="W492" s="0" t="n">
        <f aca="false">W_PH(W$2,$A492)</f>
        <v>1043.84161801144</v>
      </c>
      <c r="X492" s="0" t="n">
        <f aca="false">W_PH(X$2,$A492)</f>
        <v>1043.84772006027</v>
      </c>
      <c r="Y492" s="0" t="n">
        <f aca="false">W_PH(Y$2,$A492)</f>
        <v>1043.9087448665</v>
      </c>
      <c r="Z492" s="0" t="n">
        <f aca="false">W_PH(Z$2,$A492)</f>
        <v>1043.9697738489</v>
      </c>
      <c r="AA492" s="0" t="n">
        <f aca="false">W_PH(AA$2,$A492)</f>
        <v>1044.03080758541</v>
      </c>
      <c r="AB492" s="0" t="n">
        <f aca="false">W_PH(AB$2,$A492)</f>
        <v>1044.09184440983</v>
      </c>
      <c r="AC492" s="0" t="n">
        <f aca="false">W_PH(AC$2,$A492)</f>
        <v>1044.15288714399</v>
      </c>
      <c r="AD492" s="0" t="n">
        <f aca="false">W_PH(AD$2,$A492)</f>
        <v>1044.21393636591</v>
      </c>
      <c r="AE492" s="0" t="n">
        <f aca="false">W_PH(AE$2,$A492)</f>
        <v>1044.2749915313</v>
      </c>
      <c r="AF492" s="0" t="n">
        <f aca="false">W_PH(AF$2,$A492)</f>
        <v>1044.33605321795</v>
      </c>
      <c r="AG492" s="0" t="n">
        <f aca="false">W_PH(AG$2,$A492)</f>
        <v>1044.39712200371</v>
      </c>
      <c r="AH492" s="0" t="n">
        <f aca="false">W_PH(AH$2,$A492)</f>
        <v>1045.00834879565</v>
      </c>
      <c r="AI492" s="0" t="n">
        <f aca="false">W_PH(AI$2,$A492)</f>
        <v>1045.62093256269</v>
      </c>
      <c r="AJ492" s="0" t="n">
        <f aca="false">W_PH(AJ$2,$A492)</f>
        <v>1046.23542568373</v>
      </c>
      <c r="AK492" s="0" t="n">
        <f aca="false">W_PH(AK$2,$A492)</f>
        <v>1046.85238297245</v>
      </c>
      <c r="AL492" s="0" t="n">
        <f aca="false">W_PH(AL$2,$A492)</f>
        <v>1047.47236058141</v>
      </c>
      <c r="AM492" s="0" t="n">
        <f aca="false">W_PH(AM$2,$A492)</f>
        <v>1048.09591152469</v>
      </c>
      <c r="AN492" s="0" t="n">
        <f aca="false">W_PH(AN$2,$A492)</f>
        <v>1048.72359246831</v>
      </c>
      <c r="AO492" s="0" t="n">
        <f aca="false">W_PH(AO$2,$A492)</f>
        <v>1049.35595813658</v>
      </c>
      <c r="AP492" s="0" t="n">
        <f aca="false">W_PH(AP$2,$A492)</f>
        <v>2015</v>
      </c>
      <c r="AQ492" s="0" t="n">
        <f aca="false">W_PH(AQ$2,$A492)</f>
        <v>2015</v>
      </c>
      <c r="AR492" s="0" t="n">
        <f aca="false">W_PH(AR$2,$A492)</f>
        <v>2015</v>
      </c>
      <c r="AS492" s="0" t="n">
        <f aca="false">W_PH(AS$2,$A492)</f>
        <v>2015</v>
      </c>
    </row>
    <row r="493" customFormat="false" ht="13.8" hidden="false" customHeight="false" outlineLevel="0" collapsed="false">
      <c r="A493" s="0" t="n">
        <v>6530</v>
      </c>
      <c r="B493" s="0" t="n">
        <f aca="false">W_PH(B$2,$A493)</f>
        <v>1044.6726324125</v>
      </c>
      <c r="C493" s="0" t="n">
        <f aca="false">W_PH(C$2,$A493)</f>
        <v>1044.67269469489</v>
      </c>
      <c r="D493" s="0" t="n">
        <f aca="false">W_PH(D$2,$A493)</f>
        <v>1044.67275473581</v>
      </c>
      <c r="E493" s="0" t="n">
        <f aca="false">W_PH(E$2,$A493)</f>
        <v>1044.67281701821</v>
      </c>
      <c r="F493" s="0" t="n">
        <f aca="false">W_PH(F$2,$A493)</f>
        <v>1044.67287705913</v>
      </c>
      <c r="G493" s="0" t="n">
        <f aca="false">W_PH(G$2,$A493)</f>
        <v>1044.6734875552</v>
      </c>
      <c r="H493" s="0" t="n">
        <f aca="false">W_PH(H$2,$A493)</f>
        <v>1044.67409805156</v>
      </c>
      <c r="I493" s="0" t="n">
        <f aca="false">W_PH(I$2,$A493)</f>
        <v>1044.67470742748</v>
      </c>
      <c r="J493" s="0" t="n">
        <f aca="false">W_PH(J$2,$A493)</f>
        <v>1044.67531904519</v>
      </c>
      <c r="K493" s="0" t="n">
        <f aca="false">W_PH(K$2,$A493)</f>
        <v>1044.67592842171</v>
      </c>
      <c r="L493" s="0" t="n">
        <f aca="false">W_PH(L$2,$A493)</f>
        <v>1044.67654004003</v>
      </c>
      <c r="M493" s="0" t="n">
        <f aca="false">W_PH(M$2,$A493)</f>
        <v>1044.67714941715</v>
      </c>
      <c r="N493" s="0" t="n">
        <f aca="false">W_PH(N$2,$A493)</f>
        <v>1044.67775991532</v>
      </c>
      <c r="O493" s="0" t="n">
        <f aca="false">W_PH(O$2,$A493)</f>
        <v>1044.6783704138</v>
      </c>
      <c r="P493" s="0" t="n">
        <f aca="false">W_PH(P$2,$A493)</f>
        <v>1044.68447317394</v>
      </c>
      <c r="Q493" s="0" t="n">
        <f aca="false">W_PH(Q$2,$A493)</f>
        <v>1044.69057708586</v>
      </c>
      <c r="R493" s="0" t="n">
        <f aca="false">W_PH(R$2,$A493)</f>
        <v>1044.6966810294</v>
      </c>
      <c r="S493" s="0" t="n">
        <f aca="false">W_PH(S$2,$A493)</f>
        <v>1044.70278388434</v>
      </c>
      <c r="T493" s="0" t="n">
        <f aca="false">W_PH(T$2,$A493)</f>
        <v>1044.70888677202</v>
      </c>
      <c r="U493" s="0" t="n">
        <f aca="false">W_PH(U$2,$A493)</f>
        <v>1044.71498969303</v>
      </c>
      <c r="V493" s="0" t="n">
        <f aca="false">W_PH(V$2,$A493)</f>
        <v>1044.72109376874</v>
      </c>
      <c r="W493" s="0" t="n">
        <f aca="false">W_PH(W$2,$A493)</f>
        <v>1044.72719787895</v>
      </c>
      <c r="X493" s="0" t="n">
        <f aca="false">W_PH(X$2,$A493)</f>
        <v>1044.73330090339</v>
      </c>
      <c r="Y493" s="0" t="n">
        <f aca="false">W_PH(Y$2,$A493)</f>
        <v>1044.79433768564</v>
      </c>
      <c r="Z493" s="0" t="n">
        <f aca="false">W_PH(Z$2,$A493)</f>
        <v>1044.85537860623</v>
      </c>
      <c r="AA493" s="0" t="n">
        <f aca="false">W_PH(AA$2,$A493)</f>
        <v>1044.91642311945</v>
      </c>
      <c r="AB493" s="0" t="n">
        <f aca="false">W_PH(AB$2,$A493)</f>
        <v>1044.97747292162</v>
      </c>
      <c r="AC493" s="0" t="n">
        <f aca="false">W_PH(AC$2,$A493)</f>
        <v>1045.03852746692</v>
      </c>
      <c r="AD493" s="0" t="n">
        <f aca="false">W_PH(AD$2,$A493)</f>
        <v>1045.09958845188</v>
      </c>
      <c r="AE493" s="0" t="n">
        <f aca="false">W_PH(AE$2,$A493)</f>
        <v>1045.16065420915</v>
      </c>
      <c r="AF493" s="0" t="n">
        <f aca="false">W_PH(AF$2,$A493)</f>
        <v>1045.2217275567</v>
      </c>
      <c r="AG493" s="0" t="n">
        <f aca="false">W_PH(AG$2,$A493)</f>
        <v>1045.28280907005</v>
      </c>
      <c r="AH493" s="0" t="n">
        <f aca="false">W_PH(AH$2,$A493)</f>
        <v>1045.89414832296</v>
      </c>
      <c r="AI493" s="0" t="n">
        <f aca="false">W_PH(AI$2,$A493)</f>
        <v>1046.50683623515</v>
      </c>
      <c r="AJ493" s="0" t="n">
        <f aca="false">W_PH(AJ$2,$A493)</f>
        <v>1047.12142489759</v>
      </c>
      <c r="AK493" s="0" t="n">
        <f aca="false">W_PH(AK$2,$A493)</f>
        <v>1047.73846659598</v>
      </c>
      <c r="AL493" s="0" t="n">
        <f aca="false">W_PH(AL$2,$A493)</f>
        <v>1048.358511582</v>
      </c>
      <c r="AM493" s="0" t="n">
        <f aca="false">W_PH(AM$2,$A493)</f>
        <v>1048.9821148513</v>
      </c>
      <c r="AN493" s="0" t="n">
        <f aca="false">W_PH(AN$2,$A493)</f>
        <v>1049.60982830244</v>
      </c>
      <c r="AO493" s="0" t="n">
        <f aca="false">W_PH(AO$2,$A493)</f>
        <v>1050.24220414769</v>
      </c>
      <c r="AP493" s="0" t="n">
        <f aca="false">W_PH(AP$2,$A493)</f>
        <v>2015</v>
      </c>
      <c r="AQ493" s="0" t="n">
        <f aca="false">W_PH(AQ$2,$A493)</f>
        <v>2015</v>
      </c>
      <c r="AR493" s="0" t="n">
        <f aca="false">W_PH(AR$2,$A493)</f>
        <v>2015</v>
      </c>
      <c r="AS493" s="0" t="n">
        <f aca="false">W_PH(AS$2,$A493)</f>
        <v>2015</v>
      </c>
    </row>
    <row r="494" customFormat="false" ht="13.8" hidden="false" customHeight="false" outlineLevel="0" collapsed="false">
      <c r="A494" s="0" t="n">
        <v>6540</v>
      </c>
      <c r="B494" s="0" t="n">
        <f aca="false">W_PH(B$2,$A494)</f>
        <v>1045.55706224937</v>
      </c>
      <c r="C494" s="0" t="n">
        <f aca="false">W_PH(C$2,$A494)</f>
        <v>1045.55712459574</v>
      </c>
      <c r="D494" s="0" t="n">
        <f aca="false">W_PH(D$2,$A494)</f>
        <v>1045.55718470248</v>
      </c>
      <c r="E494" s="0" t="n">
        <f aca="false">W_PH(E$2,$A494)</f>
        <v>1045.55724704886</v>
      </c>
      <c r="F494" s="0" t="n">
        <f aca="false">W_PH(F$2,$A494)</f>
        <v>1045.55730715561</v>
      </c>
      <c r="G494" s="0" t="n">
        <f aca="false">W_PH(G$2,$A494)</f>
        <v>1045.55791718179</v>
      </c>
      <c r="H494" s="0" t="n">
        <f aca="false">W_PH(H$2,$A494)</f>
        <v>1045.55852832809</v>
      </c>
      <c r="I494" s="0" t="n">
        <f aca="false">W_PH(I$2,$A494)</f>
        <v>1045.55913947468</v>
      </c>
      <c r="J494" s="0" t="n">
        <f aca="false">W_PH(J$2,$A494)</f>
        <v>1045.55974950175</v>
      </c>
      <c r="K494" s="0" t="n">
        <f aca="false">W_PH(K$2,$A494)</f>
        <v>1045.56035952912</v>
      </c>
      <c r="L494" s="0" t="n">
        <f aca="false">W_PH(L$2,$A494)</f>
        <v>1045.56096955679</v>
      </c>
      <c r="M494" s="0" t="n">
        <f aca="false">W_PH(M$2,$A494)</f>
        <v>1045.56157958476</v>
      </c>
      <c r="N494" s="0" t="n">
        <f aca="false">W_PH(N$2,$A494)</f>
        <v>1045.56219073285</v>
      </c>
      <c r="O494" s="0" t="n">
        <f aca="false">W_PH(O$2,$A494)</f>
        <v>1045.56280188124</v>
      </c>
      <c r="P494" s="0" t="n">
        <f aca="false">W_PH(P$2,$A494)</f>
        <v>1045.56890554306</v>
      </c>
      <c r="Q494" s="0" t="n">
        <f aca="false">W_PH(Q$2,$A494)</f>
        <v>1045.57501035541</v>
      </c>
      <c r="R494" s="0" t="n">
        <f aca="false">W_PH(R$2,$A494)</f>
        <v>1045.58111407919</v>
      </c>
      <c r="S494" s="0" t="n">
        <f aca="false">W_PH(S$2,$A494)</f>
        <v>1045.58721895466</v>
      </c>
      <c r="T494" s="0" t="n">
        <f aca="false">W_PH(T$2,$A494)</f>
        <v>1045.59332386255</v>
      </c>
      <c r="U494" s="0" t="n">
        <f aca="false">W_PH(U$2,$A494)</f>
        <v>1045.59942880344</v>
      </c>
      <c r="V494" s="0" t="n">
        <f aca="false">W_PH(V$2,$A494)</f>
        <v>1045.6055337779</v>
      </c>
      <c r="W494" s="0" t="n">
        <f aca="false">W_PH(W$2,$A494)</f>
        <v>1045.61163766661</v>
      </c>
      <c r="X494" s="0" t="n">
        <f aca="false">W_PH(X$2,$A494)</f>
        <v>1045.61774159002</v>
      </c>
      <c r="Y494" s="0" t="n">
        <f aca="false">W_PH(Y$2,$A494)</f>
        <v>1045.67879069842</v>
      </c>
      <c r="Z494" s="0" t="n">
        <f aca="false">W_PH(Z$2,$A494)</f>
        <v>1045.73984278785</v>
      </c>
      <c r="AA494" s="0" t="n">
        <f aca="false">W_PH(AA$2,$A494)</f>
        <v>1045.80089843088</v>
      </c>
      <c r="AB494" s="0" t="n">
        <f aca="false">W_PH(AB$2,$A494)</f>
        <v>1045.86196044056</v>
      </c>
      <c r="AC494" s="0" t="n">
        <f aca="false">W_PH(AC$2,$A494)</f>
        <v>1045.92302602909</v>
      </c>
      <c r="AD494" s="0" t="n">
        <f aca="false">W_PH(AD$2,$A494)</f>
        <v>1045.98409688927</v>
      </c>
      <c r="AE494" s="0" t="n">
        <f aca="false">W_PH(AE$2,$A494)</f>
        <v>1046.04517471423</v>
      </c>
      <c r="AF494" s="0" t="n">
        <f aca="false">W_PH(AF$2,$A494)</f>
        <v>1046.10625895637</v>
      </c>
      <c r="AG494" s="0" t="n">
        <f aca="false">W_PH(AG$2,$A494)</f>
        <v>1046.16735130904</v>
      </c>
      <c r="AH494" s="0" t="n">
        <f aca="false">W_PH(AH$2,$A494)</f>
        <v>1046.77879988351</v>
      </c>
      <c r="AI494" s="0" t="n">
        <f aca="false">W_PH(AI$2,$A494)</f>
        <v>1047.39158888045</v>
      </c>
      <c r="AJ494" s="0" t="n">
        <f aca="false">W_PH(AJ$2,$A494)</f>
        <v>1048.00626899272</v>
      </c>
      <c r="AK494" s="0" t="n">
        <f aca="false">W_PH(AK$2,$A494)</f>
        <v>1048.62338886848</v>
      </c>
      <c r="AL494" s="0" t="n">
        <f aca="false">W_PH(AL$2,$A494)</f>
        <v>1049.24349962375</v>
      </c>
      <c r="AM494" s="0" t="n">
        <f aca="false">W_PH(AM$2,$A494)</f>
        <v>1049.8671515015</v>
      </c>
      <c r="AN494" s="0" t="n">
        <f aca="false">W_PH(AN$2,$A494)</f>
        <v>1050.49489277474</v>
      </c>
      <c r="AO494" s="0" t="n">
        <f aca="false">W_PH(AO$2,$A494)</f>
        <v>1051.12727653791</v>
      </c>
      <c r="AP494" s="0" t="n">
        <f aca="false">W_PH(AP$2,$A494)</f>
        <v>2015</v>
      </c>
      <c r="AQ494" s="0" t="n">
        <f aca="false">W_PH(AQ$2,$A494)</f>
        <v>2015</v>
      </c>
      <c r="AR494" s="0" t="n">
        <f aca="false">W_PH(AR$2,$A494)</f>
        <v>2015</v>
      </c>
      <c r="AS494" s="0" t="n">
        <f aca="false">W_PH(AS$2,$A494)</f>
        <v>2015</v>
      </c>
    </row>
    <row r="495" customFormat="false" ht="13.8" hidden="false" customHeight="false" outlineLevel="0" collapsed="false">
      <c r="A495" s="0" t="n">
        <v>6550</v>
      </c>
      <c r="B495" s="0" t="n">
        <f aca="false">W_PH(B$2,$A495)</f>
        <v>1046.44035845487</v>
      </c>
      <c r="C495" s="0" t="n">
        <f aca="false">W_PH(C$2,$A495)</f>
        <v>1046.44041974548</v>
      </c>
      <c r="D495" s="0" t="n">
        <f aca="false">W_PH(D$2,$A495)</f>
        <v>1046.4404799172</v>
      </c>
      <c r="E495" s="0" t="n">
        <f aca="false">W_PH(E$2,$A495)</f>
        <v>1046.4405423267</v>
      </c>
      <c r="F495" s="0" t="n">
        <f aca="false">W_PH(F$2,$A495)</f>
        <v>1046.44060249842</v>
      </c>
      <c r="G495" s="0" t="n">
        <f aca="false">W_PH(G$2,$A495)</f>
        <v>1046.44121316696</v>
      </c>
      <c r="H495" s="0" t="n">
        <f aca="false">W_PH(H$2,$A495)</f>
        <v>1046.44182383578</v>
      </c>
      <c r="I495" s="0" t="n">
        <f aca="false">W_PH(I$2,$A495)</f>
        <v>1046.4424345049</v>
      </c>
      <c r="J495" s="0" t="n">
        <f aca="false">W_PH(J$2,$A495)</f>
        <v>1046.44304517432</v>
      </c>
      <c r="K495" s="0" t="n">
        <f aca="false">W_PH(K$2,$A495)</f>
        <v>1046.44365584403</v>
      </c>
      <c r="L495" s="0" t="n">
        <f aca="false">W_PH(L$2,$A495)</f>
        <v>1046.44426651404</v>
      </c>
      <c r="M495" s="0" t="n">
        <f aca="false">W_PH(M$2,$A495)</f>
        <v>1046.44487718434</v>
      </c>
      <c r="N495" s="0" t="n">
        <f aca="false">W_PH(N$2,$A495)</f>
        <v>1046.44548785494</v>
      </c>
      <c r="O495" s="0" t="n">
        <f aca="false">W_PH(O$2,$A495)</f>
        <v>1046.44609852584</v>
      </c>
      <c r="P495" s="0" t="n">
        <f aca="false">W_PH(P$2,$A495)</f>
        <v>1046.4522030135</v>
      </c>
      <c r="Q495" s="0" t="n">
        <f aca="false">W_PH(Q$2,$A495)</f>
        <v>1046.45830865044</v>
      </c>
      <c r="R495" s="0" t="n">
        <f aca="false">W_PH(R$2,$A495)</f>
        <v>1046.46441431833</v>
      </c>
      <c r="S495" s="0" t="n">
        <f aca="false">W_PH(S$2,$A495)</f>
        <v>1046.47052001774</v>
      </c>
      <c r="T495" s="0" t="n">
        <f aca="false">W_PH(T$2,$A495)</f>
        <v>1046.47662574923</v>
      </c>
      <c r="U495" s="0" t="n">
        <f aca="false">W_PH(U$2,$A495)</f>
        <v>1046.48273151339</v>
      </c>
      <c r="V495" s="0" t="n">
        <f aca="false">W_PH(V$2,$A495)</f>
        <v>1046.48883731077</v>
      </c>
      <c r="W495" s="0" t="n">
        <f aca="false">W_PH(W$2,$A495)</f>
        <v>1046.49494202299</v>
      </c>
      <c r="X495" s="0" t="n">
        <f aca="false">W_PH(X$2,$A495)</f>
        <v>1046.5010490075</v>
      </c>
      <c r="Y495" s="0" t="n">
        <f aca="false">W_PH(Y$2,$A495)</f>
        <v>1046.56210744071</v>
      </c>
      <c r="Z495" s="0" t="n">
        <f aca="false">W_PH(Z$2,$A495)</f>
        <v>1046.62317105697</v>
      </c>
      <c r="AA495" s="0" t="n">
        <f aca="false">W_PH(AA$2,$A495)</f>
        <v>1046.68423818839</v>
      </c>
      <c r="AB495" s="0" t="n">
        <f aca="false">W_PH(AB$2,$A495)</f>
        <v>1046.74530940504</v>
      </c>
      <c r="AC495" s="0" t="n">
        <f aca="false">W_PH(AC$2,$A495)</f>
        <v>1046.80638751577</v>
      </c>
      <c r="AD495" s="0" t="n">
        <f aca="false">W_PH(AD$2,$A495)</f>
        <v>1046.8674697328</v>
      </c>
      <c r="AE495" s="0" t="n">
        <f aca="false">W_PH(AE$2,$A495)</f>
        <v>1046.92855774557</v>
      </c>
      <c r="AF495" s="0" t="n">
        <f aca="false">W_PH(AF$2,$A495)</f>
        <v>1046.98965324386</v>
      </c>
      <c r="AG495" s="0" t="n">
        <f aca="false">W_PH(AG$2,$A495)</f>
        <v>1047.05075567841</v>
      </c>
      <c r="AH495" s="0" t="n">
        <f aca="false">W_PH(AH$2,$A495)</f>
        <v>1047.66230826653</v>
      </c>
      <c r="AI495" s="0" t="n">
        <f aca="false">W_PH(AI$2,$A495)</f>
        <v>1048.27519535771</v>
      </c>
      <c r="AJ495" s="0" t="n">
        <f aca="false">W_PH(AJ$2,$A495)</f>
        <v>1048.88996289996</v>
      </c>
      <c r="AK495" s="0" t="n">
        <f aca="false">W_PH(AK$2,$A495)</f>
        <v>1049.50715928846</v>
      </c>
      <c r="AL495" s="0" t="n">
        <f aca="false">W_PH(AL$2,$A495)</f>
        <v>1050.1273309007</v>
      </c>
      <c r="AM495" s="0" t="n">
        <f aca="false">W_PH(AM$2,$A495)</f>
        <v>1050.75102661343</v>
      </c>
      <c r="AN495" s="0" t="n">
        <f aca="false">W_PH(AN$2,$A495)</f>
        <v>1051.37879334235</v>
      </c>
      <c r="AO495" s="0" t="n">
        <f aca="false">W_PH(AO$2,$A495)</f>
        <v>1052.01118057561</v>
      </c>
      <c r="AP495" s="0" t="n">
        <f aca="false">W_PH(AP$2,$A495)</f>
        <v>2015</v>
      </c>
      <c r="AQ495" s="0" t="n">
        <f aca="false">W_PH(AQ$2,$A495)</f>
        <v>2015</v>
      </c>
      <c r="AR495" s="0" t="n">
        <f aca="false">W_PH(AR$2,$A495)</f>
        <v>2015</v>
      </c>
      <c r="AS495" s="0" t="n">
        <f aca="false">W_PH(AS$2,$A495)</f>
        <v>2015</v>
      </c>
    </row>
    <row r="496" customFormat="false" ht="13.8" hidden="false" customHeight="false" outlineLevel="0" collapsed="false">
      <c r="A496" s="0" t="n">
        <v>6560</v>
      </c>
      <c r="B496" s="0" t="n">
        <f aca="false">W_PH(B$2,$A496)</f>
        <v>1047.3225234068</v>
      </c>
      <c r="C496" s="0" t="n">
        <f aca="false">W_PH(C$2,$A496)</f>
        <v>1047.32258476061</v>
      </c>
      <c r="D496" s="0" t="n">
        <f aca="false">W_PH(D$2,$A496)</f>
        <v>1047.32264499646</v>
      </c>
      <c r="E496" s="0" t="n">
        <f aca="false">W_PH(E$2,$A496)</f>
        <v>1047.32270635028</v>
      </c>
      <c r="F496" s="0" t="n">
        <f aca="false">W_PH(F$2,$A496)</f>
        <v>1047.3227677041</v>
      </c>
      <c r="G496" s="0" t="n">
        <f aca="false">W_PH(G$2,$A496)</f>
        <v>1047.32337900656</v>
      </c>
      <c r="H496" s="0" t="n">
        <f aca="false">W_PH(H$2,$A496)</f>
        <v>1047.32398807337</v>
      </c>
      <c r="I496" s="0" t="n">
        <f aca="false">W_PH(I$2,$A496)</f>
        <v>1047.32459937641</v>
      </c>
      <c r="J496" s="0" t="n">
        <f aca="false">W_PH(J$2,$A496)</f>
        <v>1047.32521067974</v>
      </c>
      <c r="K496" s="0" t="n">
        <f aca="false">W_PH(K$2,$A496)</f>
        <v>1047.3258208654</v>
      </c>
      <c r="L496" s="0" t="n">
        <f aca="false">W_PH(L$2,$A496)</f>
        <v>1047.32643105134</v>
      </c>
      <c r="M496" s="0" t="n">
        <f aca="false">W_PH(M$2,$A496)</f>
        <v>1047.32704235555</v>
      </c>
      <c r="N496" s="0" t="n">
        <f aca="false">W_PH(N$2,$A496)</f>
        <v>1047.32765254208</v>
      </c>
      <c r="O496" s="0" t="n">
        <f aca="false">W_PH(O$2,$A496)</f>
        <v>1047.32826272891</v>
      </c>
      <c r="P496" s="0" t="n">
        <f aca="false">W_PH(P$2,$A496)</f>
        <v>1047.33437020335</v>
      </c>
      <c r="Q496" s="0" t="n">
        <f aca="false">W_PH(Q$2,$A496)</f>
        <v>1047.34047658986</v>
      </c>
      <c r="R496" s="0" t="n">
        <f aca="false">W_PH(R$2,$A496)</f>
        <v>1047.346584125</v>
      </c>
      <c r="S496" s="0" t="n">
        <f aca="false">W_PH(S$2,$A496)</f>
        <v>1047.35269057334</v>
      </c>
      <c r="T496" s="0" t="n">
        <f aca="false">W_PH(T$2,$A496)</f>
        <v>1047.35879705344</v>
      </c>
      <c r="U496" s="0" t="n">
        <f aca="false">W_PH(U$2,$A496)</f>
        <v>1047.36490356586</v>
      </c>
      <c r="V496" s="0" t="n">
        <f aca="false">W_PH(V$2,$A496)</f>
        <v>1047.37101011117</v>
      </c>
      <c r="W496" s="0" t="n">
        <f aca="false">W_PH(W$2,$A496)</f>
        <v>1047.37711668995</v>
      </c>
      <c r="X496" s="0" t="n">
        <f aca="false">W_PH(X$2,$A496)</f>
        <v>1047.38322330275</v>
      </c>
      <c r="Y496" s="0" t="n">
        <f aca="false">W_PH(Y$2,$A496)</f>
        <v>1047.44429366348</v>
      </c>
      <c r="Z496" s="0" t="n">
        <f aca="false">W_PH(Z$2,$A496)</f>
        <v>1047.50536805187</v>
      </c>
      <c r="AA496" s="0" t="n">
        <f aca="false">W_PH(AA$2,$A496)</f>
        <v>1047.56644479911</v>
      </c>
      <c r="AB496" s="0" t="n">
        <f aca="false">W_PH(AB$2,$A496)</f>
        <v>1047.62752670926</v>
      </c>
      <c r="AC496" s="0" t="n">
        <f aca="false">W_PH(AC$2,$A496)</f>
        <v>1047.68861435012</v>
      </c>
      <c r="AD496" s="0" t="n">
        <f aca="false">W_PH(AD$2,$A496)</f>
        <v>1047.74970828954</v>
      </c>
      <c r="AE496" s="0" t="n">
        <f aca="false">W_PH(AE$2,$A496)</f>
        <v>1047.81080685816</v>
      </c>
      <c r="AF496" s="0" t="n">
        <f aca="false">W_PH(AF$2,$A496)</f>
        <v>1047.87191286077</v>
      </c>
      <c r="AG496" s="0" t="n">
        <f aca="false">W_PH(AG$2,$A496)</f>
        <v>1047.93302574652</v>
      </c>
      <c r="AH496" s="0" t="n">
        <f aca="false">W_PH(AH$2,$A496)</f>
        <v>1048.54467823471</v>
      </c>
      <c r="AI496" s="0" t="n">
        <f aca="false">W_PH(AI$2,$A496)</f>
        <v>1049.15765825795</v>
      </c>
      <c r="AJ496" s="0" t="n">
        <f aca="false">W_PH(AJ$2,$A496)</f>
        <v>1049.77250927956</v>
      </c>
      <c r="AK496" s="0" t="n">
        <f aca="false">W_PH(AK$2,$A496)</f>
        <v>1050.3897783347</v>
      </c>
      <c r="AL496" s="0" t="n">
        <f aca="false">W_PH(AL$2,$A496)</f>
        <v>1051.01000708247</v>
      </c>
      <c r="AM496" s="0" t="n">
        <f aca="false">W_PH(AM$2,$A496)</f>
        <v>1051.63374417091</v>
      </c>
      <c r="AN496" s="0" t="n">
        <f aca="false">W_PH(AN$2,$A496)</f>
        <v>1052.26153292658</v>
      </c>
      <c r="AO496" s="0" t="n">
        <f aca="false">W_PH(AO$2,$A496)</f>
        <v>1052.89392149654</v>
      </c>
      <c r="AP496" s="0" t="n">
        <f aca="false">W_PH(AP$2,$A496)</f>
        <v>2015</v>
      </c>
      <c r="AQ496" s="0" t="n">
        <f aca="false">W_PH(AQ$2,$A496)</f>
        <v>2015</v>
      </c>
      <c r="AR496" s="0" t="n">
        <f aca="false">W_PH(AR$2,$A496)</f>
        <v>2015</v>
      </c>
      <c r="AS496" s="0" t="n">
        <f aca="false">W_PH(AS$2,$A496)</f>
        <v>2015</v>
      </c>
    </row>
    <row r="497" customFormat="false" ht="13.8" hidden="false" customHeight="false" outlineLevel="0" collapsed="false">
      <c r="A497" s="0" t="n">
        <v>6570</v>
      </c>
      <c r="B497" s="0" t="n">
        <f aca="false">W_PH(B$2,$A497)</f>
        <v>1048.20356169995</v>
      </c>
      <c r="C497" s="0" t="n">
        <f aca="false">W_PH(C$2,$A497)</f>
        <v>1048.20362199909</v>
      </c>
      <c r="D497" s="0" t="n">
        <f aca="false">W_PH(D$2,$A497)</f>
        <v>1048.20368341528</v>
      </c>
      <c r="E497" s="0" t="n">
        <f aca="false">W_PH(E$2,$A497)</f>
        <v>1048.20374483148</v>
      </c>
      <c r="F497" s="0" t="n">
        <f aca="false">W_PH(F$2,$A497)</f>
        <v>1048.20380513063</v>
      </c>
      <c r="G497" s="0" t="n">
        <f aca="false">W_PH(G$2,$A497)</f>
        <v>1048.20441705867</v>
      </c>
      <c r="H497" s="0" t="n">
        <f aca="false">W_PH(H$2,$A497)</f>
        <v>1048.2050267529</v>
      </c>
      <c r="I497" s="0" t="n">
        <f aca="false">W_PH(I$2,$A497)</f>
        <v>1048.20563868152</v>
      </c>
      <c r="J497" s="0" t="n">
        <f aca="false">W_PH(J$2,$A497)</f>
        <v>1048.20624837632</v>
      </c>
      <c r="K497" s="0" t="n">
        <f aca="false">W_PH(K$2,$A497)</f>
        <v>1048.20686030552</v>
      </c>
      <c r="L497" s="0" t="n">
        <f aca="false">W_PH(L$2,$A497)</f>
        <v>1048.2074700009</v>
      </c>
      <c r="M497" s="0" t="n">
        <f aca="false">W_PH(M$2,$A497)</f>
        <v>1048.20808081362</v>
      </c>
      <c r="N497" s="0" t="n">
        <f aca="false">W_PH(N$2,$A497)</f>
        <v>1048.20869162664</v>
      </c>
      <c r="O497" s="0" t="n">
        <f aca="false">W_PH(O$2,$A497)</f>
        <v>1048.20930243995</v>
      </c>
      <c r="P497" s="0" t="n">
        <f aca="false">W_PH(P$2,$A497)</f>
        <v>1048.21540947209</v>
      </c>
      <c r="Q497" s="0" t="n">
        <f aca="false">W_PH(Q$2,$A497)</f>
        <v>1048.22151765104</v>
      </c>
      <c r="R497" s="0" t="n">
        <f aca="false">W_PH(R$2,$A497)</f>
        <v>1048.2276258603</v>
      </c>
      <c r="S497" s="0" t="n">
        <f aca="false">W_PH(S$2,$A497)</f>
        <v>1048.23373410044</v>
      </c>
      <c r="T497" s="0" t="n">
        <f aca="false">W_PH(T$2,$A497)</f>
        <v>1048.23984125494</v>
      </c>
      <c r="U497" s="0" t="n">
        <f aca="false">W_PH(U$2,$A497)</f>
        <v>1048.24594844143</v>
      </c>
      <c r="V497" s="0" t="n">
        <f aca="false">W_PH(V$2,$A497)</f>
        <v>1048.25205677759</v>
      </c>
      <c r="W497" s="0" t="n">
        <f aca="false">W_PH(W$2,$A497)</f>
        <v>1048.25816514689</v>
      </c>
      <c r="X497" s="0" t="n">
        <f aca="false">W_PH(X$2,$A497)</f>
        <v>1048.26427243277</v>
      </c>
      <c r="Y497" s="0" t="n">
        <f aca="false">W_PH(Y$2,$A497)</f>
        <v>1048.32535285498</v>
      </c>
      <c r="Z497" s="0" t="n">
        <f aca="false">W_PH(Z$2,$A497)</f>
        <v>1048.38643615154</v>
      </c>
      <c r="AA497" s="0" t="n">
        <f aca="false">W_PH(AA$2,$A497)</f>
        <v>1048.44752400484</v>
      </c>
      <c r="AB497" s="0" t="n">
        <f aca="false">W_PH(AB$2,$A497)</f>
        <v>1048.50861698017</v>
      </c>
      <c r="AC497" s="0" t="n">
        <f aca="false">W_PH(AC$2,$A497)</f>
        <v>1048.56971340781</v>
      </c>
      <c r="AD497" s="0" t="n">
        <f aca="false">W_PH(AD$2,$A497)</f>
        <v>1048.63081608782</v>
      </c>
      <c r="AE497" s="0" t="n">
        <f aca="false">W_PH(AE$2,$A497)</f>
        <v>1048.69192558555</v>
      </c>
      <c r="AF497" s="0" t="n">
        <f aca="false">W_PH(AF$2,$A497)</f>
        <v>1048.7530424664</v>
      </c>
      <c r="AG497" s="0" t="n">
        <f aca="false">W_PH(AG$2,$A497)</f>
        <v>1048.81416506011</v>
      </c>
      <c r="AH497" s="0" t="n">
        <f aca="false">W_PH(AH$2,$A497)</f>
        <v>1049.42591340583</v>
      </c>
      <c r="AI497" s="0" t="n">
        <f aca="false">W_PH(AI$2,$A497)</f>
        <v>1050.03898239137</v>
      </c>
      <c r="AJ497" s="0" t="n">
        <f aca="false">W_PH(AJ$2,$A497)</f>
        <v>1050.65391413181</v>
      </c>
      <c r="AK497" s="0" t="n">
        <f aca="false">W_PH(AK$2,$A497)</f>
        <v>1051.27125095612</v>
      </c>
      <c r="AL497" s="0" t="n">
        <f aca="false">W_PH(AL$2,$A497)</f>
        <v>1051.89153430704</v>
      </c>
      <c r="AM497" s="0" t="n">
        <f aca="false">W_PH(AM$2,$A497)</f>
        <v>1052.51530813104</v>
      </c>
      <c r="AN497" s="0" t="n">
        <f aca="false">W_PH(AN$2,$A497)</f>
        <v>1053.14311667121</v>
      </c>
      <c r="AO497" s="0" t="n">
        <f aca="false">W_PH(AO$2,$A497)</f>
        <v>1053.77550225679</v>
      </c>
      <c r="AP497" s="0" t="n">
        <f aca="false">W_PH(AP$2,$A497)</f>
        <v>2015</v>
      </c>
      <c r="AQ497" s="0" t="n">
        <f aca="false">W_PH(AQ$2,$A497)</f>
        <v>2015</v>
      </c>
      <c r="AR497" s="0" t="n">
        <f aca="false">W_PH(AR$2,$A497)</f>
        <v>2015</v>
      </c>
      <c r="AS497" s="0" t="n">
        <f aca="false">W_PH(AS$2,$A497)</f>
        <v>2015</v>
      </c>
    </row>
    <row r="498" customFormat="false" ht="13.8" hidden="false" customHeight="false" outlineLevel="0" collapsed="false">
      <c r="A498" s="0" t="n">
        <v>6580</v>
      </c>
      <c r="B498" s="0" t="n">
        <f aca="false">W_PH(B$2,$A498)</f>
        <v>1049.08347678875</v>
      </c>
      <c r="C498" s="0" t="n">
        <f aca="false">W_PH(C$2,$A498)</f>
        <v>1049.08353826649</v>
      </c>
      <c r="D498" s="0" t="n">
        <f aca="false">W_PH(D$2,$A498)</f>
        <v>1049.0835986281</v>
      </c>
      <c r="E498" s="0" t="n">
        <f aca="false">W_PH(E$2,$A498)</f>
        <v>1049.08366010585</v>
      </c>
      <c r="F498" s="0" t="n">
        <f aca="false">W_PH(F$2,$A498)</f>
        <v>1049.08372158359</v>
      </c>
      <c r="G498" s="0" t="n">
        <f aca="false">W_PH(G$2,$A498)</f>
        <v>1049.0843318967</v>
      </c>
      <c r="H498" s="0" t="n">
        <f aca="false">W_PH(H$2,$A498)</f>
        <v>1049.08494221009</v>
      </c>
      <c r="I498" s="0" t="n">
        <f aca="false">W_PH(I$2,$A498)</f>
        <v>1049.08555363989</v>
      </c>
      <c r="J498" s="0" t="n">
        <f aca="false">W_PH(J$2,$A498)</f>
        <v>1049.08616506997</v>
      </c>
      <c r="K498" s="0" t="n">
        <f aca="false">W_PH(K$2,$A498)</f>
        <v>1049.08677538422</v>
      </c>
      <c r="L498" s="0" t="n">
        <f aca="false">W_PH(L$2,$A498)</f>
        <v>1049.08738569875</v>
      </c>
      <c r="M498" s="0" t="n">
        <f aca="false">W_PH(M$2,$A498)</f>
        <v>1049.0879971297</v>
      </c>
      <c r="N498" s="0" t="n">
        <f aca="false">W_PH(N$2,$A498)</f>
        <v>1049.08860856093</v>
      </c>
      <c r="O498" s="0" t="n">
        <f aca="false">W_PH(O$2,$A498)</f>
        <v>1049.08921887632</v>
      </c>
      <c r="P498" s="0" t="n">
        <f aca="false">W_PH(P$2,$A498)</f>
        <v>1049.09532762687</v>
      </c>
      <c r="Q498" s="0" t="n">
        <f aca="false">W_PH(Q$2,$A498)</f>
        <v>1049.10143640686</v>
      </c>
      <c r="R498" s="0" t="n">
        <f aca="false">W_PH(R$2,$A498)</f>
        <v>1049.10754410068</v>
      </c>
      <c r="S498" s="0" t="n">
        <f aca="false">W_PH(S$2,$A498)</f>
        <v>1049.11365405738</v>
      </c>
      <c r="T498" s="0" t="n">
        <f aca="false">W_PH(T$2,$A498)</f>
        <v>1049.11976181287</v>
      </c>
      <c r="U498" s="0" t="n">
        <f aca="false">W_PH(U$2,$A498)</f>
        <v>1049.12587183239</v>
      </c>
      <c r="V498" s="0" t="n">
        <f aca="false">W_PH(V$2,$A498)</f>
        <v>1049.1319796518</v>
      </c>
      <c r="W498" s="0" t="n">
        <f aca="false">W_PH(W$2,$A498)</f>
        <v>1049.13808862019</v>
      </c>
      <c r="X498" s="0" t="n">
        <f aca="false">W_PH(X$2,$A498)</f>
        <v>1049.14419762196</v>
      </c>
      <c r="Y498" s="0" t="n">
        <f aca="false">W_PH(Y$2,$A498)</f>
        <v>1049.20528736642</v>
      </c>
      <c r="Z498" s="0" t="n">
        <f aca="false">W_PH(Z$2,$A498)</f>
        <v>1049.26638106689</v>
      </c>
      <c r="AA498" s="0" t="n">
        <f aca="false">W_PH(AA$2,$A498)</f>
        <v>1049.32747928615</v>
      </c>
      <c r="AB498" s="0" t="n">
        <f aca="false">W_PH(AB$2,$A498)</f>
        <v>1049.38858035398</v>
      </c>
      <c r="AC498" s="0" t="n">
        <f aca="false">W_PH(AC$2,$A498)</f>
        <v>1049.44968818249</v>
      </c>
      <c r="AD498" s="0" t="n">
        <f aca="false">W_PH(AD$2,$A498)</f>
        <v>1049.51079998478</v>
      </c>
      <c r="AE498" s="0" t="n">
        <f aca="false">W_PH(AE$2,$A498)</f>
        <v>1049.5719196735</v>
      </c>
      <c r="AF498" s="0" t="n">
        <f aca="false">W_PH(AF$2,$A498)</f>
        <v>1049.63304446129</v>
      </c>
      <c r="AG498" s="0" t="n">
        <f aca="false">W_PH(AG$2,$A498)</f>
        <v>1049.69417714444</v>
      </c>
      <c r="AH498" s="0" t="n">
        <f aca="false">W_PH(AH$2,$A498)</f>
        <v>1050.306018493</v>
      </c>
      <c r="AI498" s="0" t="n">
        <f aca="false">W_PH(AI$2,$A498)</f>
        <v>1050.91917254117</v>
      </c>
      <c r="AJ498" s="0" t="n">
        <f aca="false">W_PH(AJ$2,$A498)</f>
        <v>1051.5341811869</v>
      </c>
      <c r="AK498" s="0" t="n">
        <f aca="false">W_PH(AK$2,$A498)</f>
        <v>1052.1515820729</v>
      </c>
      <c r="AL498" s="0" t="n">
        <f aca="false">W_PH(AL$2,$A498)</f>
        <v>1052.77191531698</v>
      </c>
      <c r="AM498" s="0" t="n">
        <f aca="false">W_PH(AM$2,$A498)</f>
        <v>1053.39572354573</v>
      </c>
      <c r="AN498" s="0" t="n">
        <f aca="false">W_PH(AN$2,$A498)</f>
        <v>1054.02354744477</v>
      </c>
      <c r="AO498" s="0" t="n">
        <f aca="false">W_PH(AO$2,$A498)</f>
        <v>1054.65592578844</v>
      </c>
      <c r="AP498" s="0" t="n">
        <f aca="false">W_PH(AP$2,$A498)</f>
        <v>2015</v>
      </c>
      <c r="AQ498" s="0" t="n">
        <f aca="false">W_PH(AQ$2,$A498)</f>
        <v>2015</v>
      </c>
      <c r="AR498" s="0" t="n">
        <f aca="false">W_PH(AR$2,$A498)</f>
        <v>2015</v>
      </c>
      <c r="AS498" s="0" t="n">
        <f aca="false">W_PH(AS$2,$A498)</f>
        <v>2015</v>
      </c>
    </row>
    <row r="499" customFormat="false" ht="13.8" hidden="false" customHeight="false" outlineLevel="0" collapsed="false">
      <c r="A499" s="0" t="n">
        <v>6590</v>
      </c>
      <c r="B499" s="0" t="n">
        <f aca="false">W_PH(B$2,$A499)</f>
        <v>1049.96227322243</v>
      </c>
      <c r="C499" s="0" t="n">
        <f aca="false">W_PH(C$2,$A499)</f>
        <v>1049.96233476089</v>
      </c>
      <c r="D499" s="0" t="n">
        <f aca="false">W_PH(D$2,$A499)</f>
        <v>1049.96239629936</v>
      </c>
      <c r="E499" s="0" t="n">
        <f aca="false">W_PH(E$2,$A499)</f>
        <v>1049.96245672263</v>
      </c>
      <c r="F499" s="0" t="n">
        <f aca="false">W_PH(F$2,$A499)</f>
        <v>1049.96251826111</v>
      </c>
      <c r="G499" s="0" t="n">
        <f aca="false">W_PH(G$2,$A499)</f>
        <v>1049.96312918519</v>
      </c>
      <c r="H499" s="0" t="n">
        <f aca="false">W_PH(H$2,$A499)</f>
        <v>1049.96374010955</v>
      </c>
      <c r="I499" s="0" t="n">
        <f aca="false">W_PH(I$2,$A499)</f>
        <v>1049.9643510342</v>
      </c>
      <c r="J499" s="0" t="n">
        <f aca="false">W_PH(J$2,$A499)</f>
        <v>1049.96496195912</v>
      </c>
      <c r="K499" s="0" t="n">
        <f aca="false">W_PH(K$2,$A499)</f>
        <v>1049.96557288433</v>
      </c>
      <c r="L499" s="0" t="n">
        <f aca="false">W_PH(L$2,$A499)</f>
        <v>1049.96618380983</v>
      </c>
      <c r="M499" s="0" t="n">
        <f aca="false">W_PH(M$2,$A499)</f>
        <v>1049.9667947356</v>
      </c>
      <c r="N499" s="0" t="n">
        <f aca="false">W_PH(N$2,$A499)</f>
        <v>1049.96740566166</v>
      </c>
      <c r="O499" s="0" t="n">
        <f aca="false">W_PH(O$2,$A499)</f>
        <v>1049.96801658801</v>
      </c>
      <c r="P499" s="0" t="n">
        <f aca="false">W_PH(P$2,$A499)</f>
        <v>1049.9741269825</v>
      </c>
      <c r="Q499" s="0" t="n">
        <f aca="false">W_PH(Q$2,$A499)</f>
        <v>1049.9802362909</v>
      </c>
      <c r="R499" s="0" t="n">
        <f aca="false">W_PH(R$2,$A499)</f>
        <v>1049.98634562898</v>
      </c>
      <c r="S499" s="0" t="n">
        <f aca="false">W_PH(S$2,$A499)</f>
        <v>1049.9924549973</v>
      </c>
      <c r="T499" s="0" t="n">
        <f aca="false">W_PH(T$2,$A499)</f>
        <v>1049.99856439642</v>
      </c>
      <c r="U499" s="0" t="n">
        <f aca="false">W_PH(U$2,$A499)</f>
        <v>1050.00467382691</v>
      </c>
      <c r="V499" s="0" t="n">
        <f aca="false">W_PH(V$2,$A499)</f>
        <v>1050.01078440459</v>
      </c>
      <c r="W499" s="0" t="n">
        <f aca="false">W_PH(W$2,$A499)</f>
        <v>1050.01689389949</v>
      </c>
      <c r="X499" s="0" t="n">
        <f aca="false">W_PH(X$2,$A499)</f>
        <v>1050.02300454272</v>
      </c>
      <c r="Y499" s="0" t="n">
        <f aca="false">W_PH(Y$2,$A499)</f>
        <v>1050.08410399358</v>
      </c>
      <c r="Z499" s="0" t="n">
        <f aca="false">W_PH(Z$2,$A499)</f>
        <v>1050.14520624994</v>
      </c>
      <c r="AA499" s="0" t="n">
        <f aca="false">W_PH(AA$2,$A499)</f>
        <v>1050.20631298739</v>
      </c>
      <c r="AB499" s="0" t="n">
        <f aca="false">W_PH(AB$2,$A499)</f>
        <v>1050.26742476625</v>
      </c>
      <c r="AC499" s="0" t="n">
        <f aca="false">W_PH(AC$2,$A499)</f>
        <v>1050.32854103123</v>
      </c>
      <c r="AD499" s="0" t="n">
        <f aca="false">W_PH(AD$2,$A499)</f>
        <v>1050.38966234246</v>
      </c>
      <c r="AE499" s="0" t="n">
        <f aca="false">W_PH(AE$2,$A499)</f>
        <v>1050.45079149176</v>
      </c>
      <c r="AF499" s="0" t="n">
        <f aca="false">W_PH(AF$2,$A499)</f>
        <v>1050.51192569212</v>
      </c>
      <c r="AG499" s="0" t="n">
        <f aca="false">W_PH(AG$2,$A499)</f>
        <v>1050.57306773546</v>
      </c>
      <c r="AH499" s="0" t="n">
        <f aca="false">W_PH(AH$2,$A499)</f>
        <v>1051.18499706672</v>
      </c>
      <c r="AI499" s="0" t="n">
        <f aca="false">W_PH(AI$2,$A499)</f>
        <v>1051.79823346377</v>
      </c>
      <c r="AJ499" s="0" t="n">
        <f aca="false">W_PH(AJ$2,$A499)</f>
        <v>1052.413313033</v>
      </c>
      <c r="AK499" s="0" t="n">
        <f aca="false">W_PH(AK$2,$A499)</f>
        <v>1053.03077433877</v>
      </c>
      <c r="AL499" s="0" t="n">
        <f aca="false">W_PH(AL$2,$A499)</f>
        <v>1053.65115507262</v>
      </c>
      <c r="AM499" s="0" t="n">
        <f aca="false">W_PH(AM$2,$A499)</f>
        <v>1054.27499319604</v>
      </c>
      <c r="AN499" s="0" t="n">
        <f aca="false">W_PH(AN$2,$A499)</f>
        <v>1054.90282921374</v>
      </c>
      <c r="AO499" s="0" t="n">
        <f aca="false">W_PH(AO$2,$A499)</f>
        <v>1055.53519948641</v>
      </c>
      <c r="AP499" s="0" t="n">
        <f aca="false">W_PH(AP$2,$A499)</f>
        <v>2015</v>
      </c>
      <c r="AQ499" s="0" t="n">
        <f aca="false">W_PH(AQ$2,$A499)</f>
        <v>2015</v>
      </c>
      <c r="AR499" s="0" t="n">
        <f aca="false">W_PH(AR$2,$A499)</f>
        <v>2015</v>
      </c>
      <c r="AS499" s="0" t="n">
        <f aca="false">W_PH(AS$2,$A499)</f>
        <v>2015</v>
      </c>
    </row>
    <row r="500" customFormat="false" ht="13.8" hidden="false" customHeight="false" outlineLevel="0" collapsed="false">
      <c r="A500" s="0" t="n">
        <v>6600</v>
      </c>
      <c r="B500" s="0" t="n">
        <f aca="false">W_PH(B$2,$A500)</f>
        <v>1050.83995664058</v>
      </c>
      <c r="C500" s="0" t="n">
        <f aca="false">W_PH(C$2,$A500)</f>
        <v>1050.84001712468</v>
      </c>
      <c r="D500" s="0" t="n">
        <f aca="false">W_PH(D$2,$A500)</f>
        <v>1050.84007760877</v>
      </c>
      <c r="E500" s="0" t="n">
        <f aca="false">W_PH(E$2,$A500)</f>
        <v>1050.84013920717</v>
      </c>
      <c r="F500" s="0" t="n">
        <f aca="false">W_PH(F$2,$A500)</f>
        <v>1050.84020080557</v>
      </c>
      <c r="G500" s="0" t="n">
        <f aca="false">W_PH(G$2,$A500)</f>
        <v>1050.84081121823</v>
      </c>
      <c r="H500" s="0" t="n">
        <f aca="false">W_PH(H$2,$A500)</f>
        <v>1050.84142163117</v>
      </c>
      <c r="I500" s="0" t="n">
        <f aca="false">W_PH(I$2,$A500)</f>
        <v>1050.84203315869</v>
      </c>
      <c r="J500" s="0" t="n">
        <f aca="false">W_PH(J$2,$A500)</f>
        <v>1050.84264468648</v>
      </c>
      <c r="K500" s="0" t="n">
        <f aca="false">W_PH(K$2,$A500)</f>
        <v>1050.84325621455</v>
      </c>
      <c r="L500" s="0" t="n">
        <f aca="false">W_PH(L$2,$A500)</f>
        <v>1050.84386662861</v>
      </c>
      <c r="M500" s="0" t="n">
        <f aca="false">W_PH(M$2,$A500)</f>
        <v>1050.84447704295</v>
      </c>
      <c r="N500" s="0" t="n">
        <f aca="false">W_PH(N$2,$A500)</f>
        <v>1050.84508857187</v>
      </c>
      <c r="O500" s="0" t="n">
        <f aca="false">W_PH(O$2,$A500)</f>
        <v>1050.84570010107</v>
      </c>
      <c r="P500" s="0" t="n">
        <f aca="false">W_PH(P$2,$A500)</f>
        <v>1050.85181095152</v>
      </c>
      <c r="Q500" s="0" t="n">
        <f aca="false">W_PH(Q$2,$A500)</f>
        <v>1050.85792071648</v>
      </c>
      <c r="R500" s="0" t="n">
        <f aca="false">W_PH(R$2,$A500)</f>
        <v>1050.86403051081</v>
      </c>
      <c r="S500" s="0" t="n">
        <f aca="false">W_PH(S$2,$A500)</f>
        <v>1050.8701414494</v>
      </c>
      <c r="T500" s="0" t="n">
        <f aca="false">W_PH(T$2,$A500)</f>
        <v>1050.87625241849</v>
      </c>
      <c r="U500" s="0" t="n">
        <f aca="false">W_PH(U$2,$A500)</f>
        <v>1050.88236341864</v>
      </c>
      <c r="V500" s="0" t="n">
        <f aca="false">W_PH(V$2,$A500)</f>
        <v>1050.88847445041</v>
      </c>
      <c r="W500" s="0" t="n">
        <f aca="false">W_PH(W$2,$A500)</f>
        <v>1050.89458439999</v>
      </c>
      <c r="X500" s="0" t="n">
        <f aca="false">W_PH(X$2,$A500)</f>
        <v>1050.90069438229</v>
      </c>
      <c r="Y500" s="0" t="n">
        <f aca="false">W_PH(Y$2,$A500)</f>
        <v>1050.96180281411</v>
      </c>
      <c r="Z500" s="0" t="n">
        <f aca="false">W_PH(Z$2,$A500)</f>
        <v>1051.02291513218</v>
      </c>
      <c r="AA500" s="0" t="n">
        <f aca="false">W_PH(AA$2,$A500)</f>
        <v>1051.08403189435</v>
      </c>
      <c r="AB500" s="0" t="n">
        <f aca="false">W_PH(AB$2,$A500)</f>
        <v>1051.14515142915</v>
      </c>
      <c r="AC500" s="0" t="n">
        <f aca="false">W_PH(AC$2,$A500)</f>
        <v>1051.20627652352</v>
      </c>
      <c r="AD500" s="0" t="n">
        <f aca="false">W_PH(AD$2,$A500)</f>
        <v>1051.26740773539</v>
      </c>
      <c r="AE500" s="0" t="n">
        <f aca="false">W_PH(AE$2,$A500)</f>
        <v>1051.32854450781</v>
      </c>
      <c r="AF500" s="0" t="n">
        <f aca="false">W_PH(AF$2,$A500)</f>
        <v>1051.38968851352</v>
      </c>
      <c r="AG500" s="0" t="n">
        <f aca="false">W_PH(AG$2,$A500)</f>
        <v>1051.45083919547</v>
      </c>
      <c r="AH500" s="0" t="n">
        <f aca="false">W_PH(AH$2,$A500)</f>
        <v>1052.06285267557</v>
      </c>
      <c r="AI500" s="0" t="n">
        <f aca="false">W_PH(AI$2,$A500)</f>
        <v>1052.67616765595</v>
      </c>
      <c r="AJ500" s="0" t="n">
        <f aca="false">W_PH(AJ$2,$A500)</f>
        <v>1053.2913155903</v>
      </c>
      <c r="AK500" s="0" t="n">
        <f aca="false">W_PH(AK$2,$A500)</f>
        <v>1053.9088348589</v>
      </c>
      <c r="AL500" s="0" t="n">
        <f aca="false">W_PH(AL$2,$A500)</f>
        <v>1054.5292573865</v>
      </c>
      <c r="AM500" s="0" t="n">
        <f aca="false">W_PH(AM$2,$A500)</f>
        <v>1055.15312431843</v>
      </c>
      <c r="AN500" s="0" t="n">
        <f aca="false">W_PH(AN$2,$A500)</f>
        <v>1055.7809681579</v>
      </c>
      <c r="AO500" s="0" t="n">
        <f aca="false">W_PH(AO$2,$A500)</f>
        <v>1056.41332622351</v>
      </c>
      <c r="AP500" s="0" t="n">
        <f aca="false">W_PH(AP$2,$A500)</f>
        <v>2015</v>
      </c>
      <c r="AQ500" s="0" t="n">
        <f aca="false">W_PH(AQ$2,$A500)</f>
        <v>2015</v>
      </c>
      <c r="AR500" s="0" t="n">
        <f aca="false">W_PH(AR$2,$A500)</f>
        <v>2015</v>
      </c>
      <c r="AS500" s="0" t="n">
        <f aca="false">W_PH(AS$2,$A500)</f>
        <v>2015</v>
      </c>
    </row>
    <row r="501" customFormat="false" ht="13.8" hidden="false" customHeight="false" outlineLevel="0" collapsed="false">
      <c r="A501" s="0" t="n">
        <v>6610</v>
      </c>
      <c r="B501" s="0" t="n">
        <f aca="false">W_PH(B$2,$A501)</f>
        <v>1051.71652708856</v>
      </c>
      <c r="C501" s="0" t="n">
        <f aca="false">W_PH(C$2,$A501)</f>
        <v>1051.71658874607</v>
      </c>
      <c r="D501" s="0" t="n">
        <f aca="false">W_PH(D$2,$A501)</f>
        <v>1051.7166492902</v>
      </c>
      <c r="E501" s="0" t="n">
        <f aca="false">W_PH(E$2,$A501)</f>
        <v>1051.71670983434</v>
      </c>
      <c r="F501" s="0" t="n">
        <f aca="false">W_PH(F$2,$A501)</f>
        <v>1051.71677149185</v>
      </c>
      <c r="G501" s="0" t="n">
        <f aca="false">W_PH(G$2,$A501)</f>
        <v>1051.71738250028</v>
      </c>
      <c r="H501" s="0" t="n">
        <f aca="false">W_PH(H$2,$A501)</f>
        <v>1051.71799462237</v>
      </c>
      <c r="I501" s="0" t="n">
        <f aca="false">W_PH(I$2,$A501)</f>
        <v>1051.71860451797</v>
      </c>
      <c r="J501" s="0" t="n">
        <f aca="false">W_PH(J$2,$A501)</f>
        <v>1051.71921664061</v>
      </c>
      <c r="K501" s="0" t="n">
        <f aca="false">W_PH(K$2,$A501)</f>
        <v>1051.71982653675</v>
      </c>
      <c r="L501" s="0" t="n">
        <f aca="false">W_PH(L$2,$A501)</f>
        <v>1051.72043865995</v>
      </c>
      <c r="M501" s="0" t="n">
        <f aca="false">W_PH(M$2,$A501)</f>
        <v>1051.72104967004</v>
      </c>
      <c r="N501" s="0" t="n">
        <f aca="false">W_PH(N$2,$A501)</f>
        <v>1051.7216606804</v>
      </c>
      <c r="O501" s="0" t="n">
        <f aca="false">W_PH(O$2,$A501)</f>
        <v>1051.72227169105</v>
      </c>
      <c r="P501" s="0" t="n">
        <f aca="false">W_PH(P$2,$A501)</f>
        <v>1051.72838292637</v>
      </c>
      <c r="Q501" s="0" t="n">
        <f aca="false">W_PH(Q$2,$A501)</f>
        <v>1051.73449530361</v>
      </c>
      <c r="R501" s="0" t="n">
        <f aca="false">W_PH(R$2,$A501)</f>
        <v>1051.74060548313</v>
      </c>
      <c r="S501" s="0" t="n">
        <f aca="false">W_PH(S$2,$A501)</f>
        <v>1051.7467179191</v>
      </c>
      <c r="T501" s="0" t="n">
        <f aca="false">W_PH(T$2,$A501)</f>
        <v>1051.75282815843</v>
      </c>
      <c r="U501" s="0" t="n">
        <f aca="false">W_PH(U$2,$A501)</f>
        <v>1051.75894065535</v>
      </c>
      <c r="V501" s="0" t="n">
        <f aca="false">W_PH(V$2,$A501)</f>
        <v>1051.7650509567</v>
      </c>
      <c r="W501" s="0" t="n">
        <f aca="false">W_PH(W$2,$A501)</f>
        <v>1051.77116351679</v>
      </c>
      <c r="X501" s="0" t="n">
        <f aca="false">W_PH(X$2,$A501)</f>
        <v>1051.77727499584</v>
      </c>
      <c r="Y501" s="0" t="n">
        <f aca="false">W_PH(Y$2,$A501)</f>
        <v>1051.8383928047</v>
      </c>
      <c r="Z501" s="0" t="n">
        <f aca="false">W_PH(Z$2,$A501)</f>
        <v>1051.89951335203</v>
      </c>
      <c r="AA501" s="0" t="n">
        <f aca="false">W_PH(AA$2,$A501)</f>
        <v>1051.96063719304</v>
      </c>
      <c r="AB501" s="0" t="n">
        <f aca="false">W_PH(AB$2,$A501)</f>
        <v>1052.02176599669</v>
      </c>
      <c r="AC501" s="0" t="n">
        <f aca="false">W_PH(AC$2,$A501)</f>
        <v>1052.08289920461</v>
      </c>
      <c r="AD501" s="0" t="n">
        <f aca="false">W_PH(AD$2,$A501)</f>
        <v>1052.14403848598</v>
      </c>
      <c r="AE501" s="0" t="n">
        <f aca="false">W_PH(AE$2,$A501)</f>
        <v>1052.20518439631</v>
      </c>
      <c r="AF501" s="0" t="n">
        <f aca="false">W_PH(AF$2,$A501)</f>
        <v>1052.2663363771</v>
      </c>
      <c r="AG501" s="0" t="n">
        <f aca="false">W_PH(AG$2,$A501)</f>
        <v>1052.32749498368</v>
      </c>
      <c r="AH501" s="0" t="n">
        <f aca="false">W_PH(AH$2,$A501)</f>
        <v>1052.93958996122</v>
      </c>
      <c r="AI501" s="0" t="n">
        <f aca="false">W_PH(AI$2,$A501)</f>
        <v>1053.5529775957</v>
      </c>
      <c r="AJ501" s="0" t="n">
        <f aca="false">W_PH(AJ$2,$A501)</f>
        <v>1054.16819251534</v>
      </c>
      <c r="AK501" s="0" t="n">
        <f aca="false">W_PH(AK$2,$A501)</f>
        <v>1054.78576400051</v>
      </c>
      <c r="AL501" s="0" t="n">
        <f aca="false">W_PH(AL$2,$A501)</f>
        <v>1055.40622828164</v>
      </c>
      <c r="AM501" s="0" t="n">
        <f aca="false">W_PH(AM$2,$A501)</f>
        <v>1056.03011740151</v>
      </c>
      <c r="AN501" s="0" t="n">
        <f aca="false">W_PH(AN$2,$A501)</f>
        <v>1056.65796706553</v>
      </c>
      <c r="AO501" s="0" t="n">
        <f aca="false">W_PH(AO$2,$A501)</f>
        <v>1057.29031108863</v>
      </c>
      <c r="AP501" s="0" t="n">
        <f aca="false">W_PH(AP$2,$A501)</f>
        <v>2015</v>
      </c>
      <c r="AQ501" s="0" t="n">
        <f aca="false">W_PH(AQ$2,$A501)</f>
        <v>2015</v>
      </c>
      <c r="AR501" s="0" t="n">
        <f aca="false">W_PH(AR$2,$A501)</f>
        <v>2015</v>
      </c>
      <c r="AS501" s="0" t="n">
        <f aca="false">W_PH(AS$2,$A501)</f>
        <v>2015</v>
      </c>
    </row>
    <row r="502" customFormat="false" ht="13.8" hidden="false" customHeight="false" outlineLevel="0" collapsed="false">
      <c r="A502" s="0" t="n">
        <v>6620</v>
      </c>
      <c r="B502" s="0" t="n">
        <f aca="false">W_PH(B$2,$A502)</f>
        <v>1052.59199127758</v>
      </c>
      <c r="C502" s="0" t="n">
        <f aca="false">W_PH(C$2,$A502)</f>
        <v>1052.59205299341</v>
      </c>
      <c r="D502" s="0" t="n">
        <f aca="false">W_PH(D$2,$A502)</f>
        <v>1052.59211359678</v>
      </c>
      <c r="E502" s="0" t="n">
        <f aca="false">W_PH(E$2,$A502)</f>
        <v>1052.59217420016</v>
      </c>
      <c r="F502" s="0" t="n">
        <f aca="false">W_PH(F$2,$A502)</f>
        <v>1052.592235916</v>
      </c>
      <c r="G502" s="0" t="n">
        <f aca="false">W_PH(G$2,$A502)</f>
        <v>1052.59284751225</v>
      </c>
      <c r="H502" s="0" t="n">
        <f aca="false">W_PH(H$2,$A502)</f>
        <v>1052.59345799631</v>
      </c>
      <c r="I502" s="0" t="n">
        <f aca="false">W_PH(I$2,$A502)</f>
        <v>1052.59406848063</v>
      </c>
      <c r="J502" s="0" t="n">
        <f aca="false">W_PH(J$2,$A502)</f>
        <v>1052.59468119017</v>
      </c>
      <c r="K502" s="0" t="n">
        <f aca="false">W_PH(K$2,$A502)</f>
        <v>1052.59529167504</v>
      </c>
      <c r="L502" s="0" t="n">
        <f aca="false">W_PH(L$2,$A502)</f>
        <v>1052.59590216019</v>
      </c>
      <c r="M502" s="0" t="n">
        <f aca="false">W_PH(M$2,$A502)</f>
        <v>1052.59651487056</v>
      </c>
      <c r="N502" s="0" t="n">
        <f aca="false">W_PH(N$2,$A502)</f>
        <v>1052.59712535625</v>
      </c>
      <c r="O502" s="0" t="n">
        <f aca="false">W_PH(O$2,$A502)</f>
        <v>1052.59773584222</v>
      </c>
      <c r="P502" s="0" t="n">
        <f aca="false">W_PH(P$2,$A502)</f>
        <v>1052.60384961706</v>
      </c>
      <c r="Q502" s="0" t="n">
        <f aca="false">W_PH(Q$2,$A502)</f>
        <v>1052.60996119516</v>
      </c>
      <c r="R502" s="0" t="n">
        <f aca="false">W_PH(R$2,$A502)</f>
        <v>1052.61607280204</v>
      </c>
      <c r="S502" s="0" t="n">
        <f aca="false">W_PH(S$2,$A502)</f>
        <v>1052.62218555075</v>
      </c>
      <c r="T502" s="0" t="n">
        <f aca="false">W_PH(T$2,$A502)</f>
        <v>1052.62829832936</v>
      </c>
      <c r="U502" s="0" t="n">
        <f aca="false">W_PH(U$2,$A502)</f>
        <v>1052.63441002589</v>
      </c>
      <c r="V502" s="0" t="n">
        <f aca="false">W_PH(V$2,$A502)</f>
        <v>1052.64052175341</v>
      </c>
      <c r="W502" s="0" t="n">
        <f aca="false">W_PH(W$2,$A502)</f>
        <v>1052.646634625</v>
      </c>
      <c r="X502" s="0" t="n">
        <f aca="false">W_PH(X$2,$A502)</f>
        <v>1052.6527475287</v>
      </c>
      <c r="Y502" s="0" t="n">
        <f aca="false">W_PH(Y$2,$A502)</f>
        <v>1052.71387289011</v>
      </c>
      <c r="Z502" s="0" t="n">
        <f aca="false">W_PH(Z$2,$A502)</f>
        <v>1052.77500206967</v>
      </c>
      <c r="AA502" s="0" t="n">
        <f aca="false">W_PH(AA$2,$A502)</f>
        <v>1052.83613450762</v>
      </c>
      <c r="AB502" s="0" t="n">
        <f aca="false">W_PH(AB$2,$A502)</f>
        <v>1052.89727186959</v>
      </c>
      <c r="AC502" s="0" t="n">
        <f aca="false">W_PH(AC$2,$A502)</f>
        <v>1052.95841248279</v>
      </c>
      <c r="AD502" s="0" t="n">
        <f aca="false">W_PH(AD$2,$A502)</f>
        <v>1053.01956135179</v>
      </c>
      <c r="AE502" s="0" t="n">
        <f aca="false">W_PH(AE$2,$A502)</f>
        <v>1053.0807145779</v>
      </c>
      <c r="AF502" s="0" t="n">
        <f aca="false">W_PH(AF$2,$A502)</f>
        <v>1053.14187382692</v>
      </c>
      <c r="AG502" s="0" t="n">
        <f aca="false">W_PH(AG$2,$A502)</f>
        <v>1053.20304076499</v>
      </c>
      <c r="AH502" s="0" t="n">
        <f aca="false">W_PH(AH$2,$A502)</f>
        <v>1053.81521242615</v>
      </c>
      <c r="AI502" s="0" t="n">
        <f aca="false">W_PH(AI$2,$A502)</f>
        <v>1054.42867131573</v>
      </c>
      <c r="AJ502" s="0" t="n">
        <f aca="false">W_PH(AJ$2,$A502)</f>
        <v>1055.04394632612</v>
      </c>
      <c r="AK502" s="0" t="n">
        <f aca="false">W_PH(AK$2,$A502)</f>
        <v>1055.66156881485</v>
      </c>
      <c r="AL502" s="0" t="n">
        <f aca="false">W_PH(AL$2,$A502)</f>
        <v>1056.28206816478</v>
      </c>
      <c r="AM502" s="0" t="n">
        <f aca="false">W_PH(AM$2,$A502)</f>
        <v>1056.90597962464</v>
      </c>
      <c r="AN502" s="0" t="n">
        <f aca="false">W_PH(AN$2,$A502)</f>
        <v>1057.53383093869</v>
      </c>
      <c r="AO502" s="0" t="n">
        <f aca="false">W_PH(AO$2,$A502)</f>
        <v>1058.16615466505</v>
      </c>
      <c r="AP502" s="0" t="n">
        <f aca="false">W_PH(AP$2,$A502)</f>
        <v>2015</v>
      </c>
      <c r="AQ502" s="0" t="n">
        <f aca="false">W_PH(AQ$2,$A502)</f>
        <v>2015</v>
      </c>
      <c r="AR502" s="0" t="n">
        <f aca="false">W_PH(AR$2,$A502)</f>
        <v>2015</v>
      </c>
      <c r="AS502" s="0" t="n">
        <f aca="false">W_PH(AS$2,$A502)</f>
        <v>2015</v>
      </c>
    </row>
    <row r="503" customFormat="false" ht="13.8" hidden="false" customHeight="false" outlineLevel="0" collapsed="false">
      <c r="A503" s="0" t="n">
        <v>6630</v>
      </c>
      <c r="B503" s="0" t="n">
        <f aca="false">W_PH(B$2,$A503)</f>
        <v>1053.46635144195</v>
      </c>
      <c r="C503" s="0" t="n">
        <f aca="false">W_PH(C$2,$A503)</f>
        <v>1053.46641321533</v>
      </c>
      <c r="D503" s="0" t="n">
        <f aca="false">W_PH(D$2,$A503)</f>
        <v>1053.46647498871</v>
      </c>
      <c r="E503" s="0" t="n">
        <f aca="false">W_PH(E$2,$A503)</f>
        <v>1053.46653565054</v>
      </c>
      <c r="F503" s="0" t="n">
        <f aca="false">W_PH(F$2,$A503)</f>
        <v>1053.46659631236</v>
      </c>
      <c r="G503" s="0" t="n">
        <f aca="false">W_PH(G$2,$A503)</f>
        <v>1053.46720737701</v>
      </c>
      <c r="H503" s="0" t="n">
        <f aca="false">W_PH(H$2,$A503)</f>
        <v>1053.46781844192</v>
      </c>
      <c r="I503" s="0" t="n">
        <f aca="false">W_PH(I$2,$A503)</f>
        <v>1053.46843061866</v>
      </c>
      <c r="J503" s="0" t="n">
        <f aca="false">W_PH(J$2,$A503)</f>
        <v>1053.46904168412</v>
      </c>
      <c r="K503" s="0" t="n">
        <f aca="false">W_PH(K$2,$A503)</f>
        <v>1053.46965386141</v>
      </c>
      <c r="L503" s="0" t="n">
        <f aca="false">W_PH(L$2,$A503)</f>
        <v>1053.47026492741</v>
      </c>
      <c r="M503" s="0" t="n">
        <f aca="false">W_PH(M$2,$A503)</f>
        <v>1053.47087599367</v>
      </c>
      <c r="N503" s="0" t="n">
        <f aca="false">W_PH(N$2,$A503)</f>
        <v>1053.47148706022</v>
      </c>
      <c r="O503" s="0" t="n">
        <f aca="false">W_PH(O$2,$A503)</f>
        <v>1053.47209812703</v>
      </c>
      <c r="P503" s="0" t="n">
        <f aca="false">W_PH(P$2,$A503)</f>
        <v>1053.47821103346</v>
      </c>
      <c r="Q503" s="0" t="n">
        <f aca="false">W_PH(Q$2,$A503)</f>
        <v>1053.48432396784</v>
      </c>
      <c r="R503" s="0" t="n">
        <f aca="false">W_PH(R$2,$A503)</f>
        <v>1053.4904369307</v>
      </c>
      <c r="S503" s="0" t="n">
        <f aca="false">W_PH(S$2,$A503)</f>
        <v>1053.49654992259</v>
      </c>
      <c r="T503" s="0" t="n">
        <f aca="false">W_PH(T$2,$A503)</f>
        <v>1053.50266294408</v>
      </c>
      <c r="U503" s="0" t="n">
        <f aca="false">W_PH(U$2,$A503)</f>
        <v>1053.50877599571</v>
      </c>
      <c r="V503" s="0" t="n">
        <f aca="false">W_PH(V$2,$A503)</f>
        <v>1053.51488907802</v>
      </c>
      <c r="W503" s="0" t="n">
        <f aca="false">W_PH(W$2,$A503)</f>
        <v>1053.52100219158</v>
      </c>
      <c r="X503" s="0" t="n">
        <f aca="false">W_PH(X$2,$A503)</f>
        <v>1053.52711533693</v>
      </c>
      <c r="Y503" s="0" t="n">
        <f aca="false">W_PH(Y$2,$A503)</f>
        <v>1053.58824866007</v>
      </c>
      <c r="Z503" s="0" t="n">
        <f aca="false">W_PH(Z$2,$A503)</f>
        <v>1053.64938576796</v>
      </c>
      <c r="AA503" s="0" t="n">
        <f aca="false">W_PH(AA$2,$A503)</f>
        <v>1053.71052721118</v>
      </c>
      <c r="AB503" s="0" t="n">
        <f aca="false">W_PH(AB$2,$A503)</f>
        <v>1053.77167131649</v>
      </c>
      <c r="AC503" s="0" t="n">
        <f aca="false">W_PH(AC$2,$A503)</f>
        <v>1053.83282085809</v>
      </c>
      <c r="AD503" s="0" t="n">
        <f aca="false">W_PH(AD$2,$A503)</f>
        <v>1053.89397638663</v>
      </c>
      <c r="AE503" s="0" t="n">
        <f aca="false">W_PH(AE$2,$A503)</f>
        <v>1053.95513734067</v>
      </c>
      <c r="AF503" s="0" t="n">
        <f aca="false">W_PH(AF$2,$A503)</f>
        <v>1054.01630538292</v>
      </c>
      <c r="AG503" s="0" t="n">
        <f aca="false">W_PH(AG$2,$A503)</f>
        <v>1054.07747995183</v>
      </c>
      <c r="AH503" s="0" t="n">
        <f aca="false">W_PH(AH$2,$A503)</f>
        <v>1054.68972466449</v>
      </c>
      <c r="AI503" s="0" t="n">
        <f aca="false">W_PH(AI$2,$A503)</f>
        <v>1055.30325012919</v>
      </c>
      <c r="AJ503" s="0" t="n">
        <f aca="false">W_PH(AJ$2,$A503)</f>
        <v>1055.91858286477</v>
      </c>
      <c r="AK503" s="0" t="n">
        <f aca="false">W_PH(AK$2,$A503)</f>
        <v>1056.53625185744</v>
      </c>
      <c r="AL503" s="0" t="n">
        <f aca="false">W_PH(AL$2,$A503)</f>
        <v>1057.15678412452</v>
      </c>
      <c r="AM503" s="0" t="n">
        <f aca="false">W_PH(AM$2,$A503)</f>
        <v>1057.78071143152</v>
      </c>
      <c r="AN503" s="0" t="n">
        <f aca="false">W_PH(AN$2,$A503)</f>
        <v>1058.40856251538</v>
      </c>
      <c r="AO503" s="0" t="n">
        <f aca="false">W_PH(AO$2,$A503)</f>
        <v>1059.04086646268</v>
      </c>
      <c r="AP503" s="0" t="n">
        <f aca="false">W_PH(AP$2,$A503)</f>
        <v>2015</v>
      </c>
      <c r="AQ503" s="0" t="n">
        <f aca="false">W_PH(AQ$2,$A503)</f>
        <v>2015</v>
      </c>
      <c r="AR503" s="0" t="n">
        <f aca="false">W_PH(AR$2,$A503)</f>
        <v>2015</v>
      </c>
      <c r="AS503" s="0" t="n">
        <f aca="false">W_PH(AS$2,$A503)</f>
        <v>2015</v>
      </c>
    </row>
    <row r="504" customFormat="false" ht="13.8" hidden="false" customHeight="false" outlineLevel="0" collapsed="false">
      <c r="A504" s="0" t="n">
        <v>6640</v>
      </c>
      <c r="B504" s="0" t="n">
        <f aca="false">W_PH(B$2,$A504)</f>
        <v>1054.33961424269</v>
      </c>
      <c r="C504" s="0" t="n">
        <f aca="false">W_PH(C$2,$A504)</f>
        <v>1054.33967496218</v>
      </c>
      <c r="D504" s="0" t="n">
        <f aca="false">W_PH(D$2,$A504)</f>
        <v>1054.33973568167</v>
      </c>
      <c r="E504" s="0" t="n">
        <f aca="false">W_PH(E$2,$A504)</f>
        <v>1054.33979640116</v>
      </c>
      <c r="F504" s="0" t="n">
        <f aca="false">W_PH(F$2,$A504)</f>
        <v>1054.33985823131</v>
      </c>
      <c r="G504" s="0" t="n">
        <f aca="false">W_PH(G$2,$A504)</f>
        <v>1054.34046875837</v>
      </c>
      <c r="H504" s="0" t="n">
        <f aca="false">W_PH(H$2,$A504)</f>
        <v>1054.34108039636</v>
      </c>
      <c r="I504" s="0" t="n">
        <f aca="false">W_PH(I$2,$A504)</f>
        <v>1054.34169203461</v>
      </c>
      <c r="J504" s="0" t="n">
        <f aca="false">W_PH(J$2,$A504)</f>
        <v>1054.34230367313</v>
      </c>
      <c r="K504" s="0" t="n">
        <f aca="false">W_PH(K$2,$A504)</f>
        <v>1054.34291531192</v>
      </c>
      <c r="L504" s="0" t="n">
        <f aca="false">W_PH(L$2,$A504)</f>
        <v>1054.34352695097</v>
      </c>
      <c r="M504" s="0" t="n">
        <f aca="false">W_PH(M$2,$A504)</f>
        <v>1054.34413747964</v>
      </c>
      <c r="N504" s="0" t="n">
        <f aca="false">W_PH(N$2,$A504)</f>
        <v>1054.34474911924</v>
      </c>
      <c r="O504" s="0" t="n">
        <f aca="false">W_PH(O$2,$A504)</f>
        <v>1054.34535964845</v>
      </c>
      <c r="P504" s="0" t="n">
        <f aca="false">W_PH(P$2,$A504)</f>
        <v>1054.3514738408</v>
      </c>
      <c r="Q504" s="0" t="n">
        <f aca="false">W_PH(Q$2,$A504)</f>
        <v>1054.3575880608</v>
      </c>
      <c r="R504" s="0" t="n">
        <f aca="false">W_PH(R$2,$A504)</f>
        <v>1054.36370230902</v>
      </c>
      <c r="S504" s="0" t="n">
        <f aca="false">W_PH(S$2,$A504)</f>
        <v>1054.3698154753</v>
      </c>
      <c r="T504" s="0" t="n">
        <f aca="false">W_PH(T$2,$A504)</f>
        <v>1054.37592867086</v>
      </c>
      <c r="U504" s="0" t="n">
        <f aca="false">W_PH(U$2,$A504)</f>
        <v>1054.38204300696</v>
      </c>
      <c r="V504" s="0" t="n">
        <f aca="false">W_PH(V$2,$A504)</f>
        <v>1054.38815737347</v>
      </c>
      <c r="W504" s="0" t="n">
        <f aca="false">W_PH(W$2,$A504)</f>
        <v>1054.3942706602</v>
      </c>
      <c r="X504" s="0" t="n">
        <f aca="false">W_PH(X$2,$A504)</f>
        <v>1054.40038397841</v>
      </c>
      <c r="Y504" s="0" t="n">
        <f aca="false">W_PH(Y$2,$A504)</f>
        <v>1054.4615256773</v>
      </c>
      <c r="Z504" s="0" t="n">
        <f aca="false">W_PH(Z$2,$A504)</f>
        <v>1054.52267001716</v>
      </c>
      <c r="AA504" s="0" t="n">
        <f aca="false">W_PH(AA$2,$A504)</f>
        <v>1054.58381865692</v>
      </c>
      <c r="AB504" s="0" t="n">
        <f aca="false">W_PH(AB$2,$A504)</f>
        <v>1054.64496992277</v>
      </c>
      <c r="AC504" s="0" t="n">
        <f aca="false">W_PH(AC$2,$A504)</f>
        <v>1054.70612658469</v>
      </c>
      <c r="AD504" s="0" t="n">
        <f aca="false">W_PH(AD$2,$A504)</f>
        <v>1054.76729030212</v>
      </c>
      <c r="AE504" s="0" t="n">
        <f aca="false">W_PH(AE$2,$A504)</f>
        <v>1054.82845828987</v>
      </c>
      <c r="AF504" s="0" t="n">
        <f aca="false">W_PH(AF$2,$A504)</f>
        <v>1054.88963331846</v>
      </c>
      <c r="AG504" s="0" t="n">
        <f aca="false">W_PH(AG$2,$A504)</f>
        <v>1054.95081482485</v>
      </c>
      <c r="AH504" s="0" t="n">
        <f aca="false">W_PH(AH$2,$A504)</f>
        <v>1055.56313013337</v>
      </c>
      <c r="AI504" s="0" t="n">
        <f aca="false">W_PH(AI$2,$A504)</f>
        <v>1056.17671756031</v>
      </c>
      <c r="AJ504" s="0" t="n">
        <f aca="false">W_PH(AJ$2,$A504)</f>
        <v>1056.7921057161</v>
      </c>
      <c r="AK504" s="0" t="n">
        <f aca="false">W_PH(AK$2,$A504)</f>
        <v>1057.4098156641</v>
      </c>
      <c r="AL504" s="0" t="n">
        <f aca="false">W_PH(AL$2,$A504)</f>
        <v>1058.03037875426</v>
      </c>
      <c r="AM504" s="0" t="n">
        <f aca="false">W_PH(AM$2,$A504)</f>
        <v>1058.65431994538</v>
      </c>
      <c r="AN504" s="0" t="n">
        <f aca="false">W_PH(AN$2,$A504)</f>
        <v>1059.28216674397</v>
      </c>
      <c r="AO504" s="0" t="n">
        <f aca="false">W_PH(AO$2,$A504)</f>
        <v>1059.91444701163</v>
      </c>
      <c r="AP504" s="0" t="n">
        <f aca="false">W_PH(AP$2,$A504)</f>
        <v>2015</v>
      </c>
      <c r="AQ504" s="0" t="n">
        <f aca="false">W_PH(AQ$2,$A504)</f>
        <v>2015</v>
      </c>
      <c r="AR504" s="0" t="n">
        <f aca="false">W_PH(AR$2,$A504)</f>
        <v>2015</v>
      </c>
      <c r="AS504" s="0" t="n">
        <f aca="false">W_PH(AS$2,$A504)</f>
        <v>2015</v>
      </c>
    </row>
    <row r="505" customFormat="false" ht="13.8" hidden="false" customHeight="false" outlineLevel="0" collapsed="false">
      <c r="A505" s="0" t="n">
        <v>6650</v>
      </c>
      <c r="B505" s="0" t="n">
        <f aca="false">W_PH(B$2,$A505)</f>
        <v>1055.21177854228</v>
      </c>
      <c r="C505" s="0" t="n">
        <f aca="false">W_PH(C$2,$A505)</f>
        <v>1055.21184042842</v>
      </c>
      <c r="D505" s="0" t="n">
        <f aca="false">W_PH(D$2,$A505)</f>
        <v>1055.21190120481</v>
      </c>
      <c r="E505" s="0" t="n">
        <f aca="false">W_PH(E$2,$A505)</f>
        <v>1055.21196309095</v>
      </c>
      <c r="F505" s="0" t="n">
        <f aca="false">W_PH(F$2,$A505)</f>
        <v>1055.21202386734</v>
      </c>
      <c r="G505" s="0" t="n">
        <f aca="false">W_PH(G$2,$A505)</f>
        <v>1055.21263496067</v>
      </c>
      <c r="H505" s="0" t="n">
        <f aca="false">W_PH(H$2,$A505)</f>
        <v>1055.21324605426</v>
      </c>
      <c r="I505" s="0" t="n">
        <f aca="false">W_PH(I$2,$A505)</f>
        <v>1055.21385825786</v>
      </c>
      <c r="J505" s="0" t="n">
        <f aca="false">W_PH(J$2,$A505)</f>
        <v>1055.21446935198</v>
      </c>
      <c r="K505" s="0" t="n">
        <f aca="false">W_PH(K$2,$A505)</f>
        <v>1055.21508044636</v>
      </c>
      <c r="L505" s="0" t="n">
        <f aca="false">W_PH(L$2,$A505)</f>
        <v>1055.21569265076</v>
      </c>
      <c r="M505" s="0" t="n">
        <f aca="false">W_PH(M$2,$A505)</f>
        <v>1055.21630374568</v>
      </c>
      <c r="N505" s="0" t="n">
        <f aca="false">W_PH(N$2,$A505)</f>
        <v>1055.21691484086</v>
      </c>
      <c r="O505" s="0" t="n">
        <f aca="false">W_PH(O$2,$A505)</f>
        <v>1055.21752704607</v>
      </c>
      <c r="P505" s="0" t="n">
        <f aca="false">W_PH(P$2,$A505)</f>
        <v>1055.22364134468</v>
      </c>
      <c r="Q505" s="0" t="n">
        <f aca="false">W_PH(Q$2,$A505)</f>
        <v>1055.22975567066</v>
      </c>
      <c r="R505" s="0" t="n">
        <f aca="false">W_PH(R$2,$A505)</f>
        <v>1055.23587002456</v>
      </c>
      <c r="S505" s="0" t="n">
        <f aca="false">W_PH(S$2,$A505)</f>
        <v>1055.24198440691</v>
      </c>
      <c r="T505" s="0" t="n">
        <f aca="false">W_PH(T$2,$A505)</f>
        <v>1055.24809992805</v>
      </c>
      <c r="U505" s="0" t="n">
        <f aca="false">W_PH(U$2,$A505)</f>
        <v>1055.25421325916</v>
      </c>
      <c r="V505" s="0" t="n">
        <f aca="false">W_PH(V$2,$A505)</f>
        <v>1055.26032883997</v>
      </c>
      <c r="W505" s="0" t="n">
        <f aca="false">W_PH(W$2,$A505)</f>
        <v>1055.2664422318</v>
      </c>
      <c r="X505" s="0" t="n">
        <f aca="false">W_PH(X$2,$A505)</f>
        <v>1055.27255787444</v>
      </c>
      <c r="Y505" s="0" t="n">
        <f aca="false">W_PH(Y$2,$A505)</f>
        <v>1055.3337050381</v>
      </c>
      <c r="Z505" s="0" t="n">
        <f aca="false">W_PH(Z$2,$A505)</f>
        <v>1055.39485703074</v>
      </c>
      <c r="AA505" s="0" t="n">
        <f aca="false">W_PH(AA$2,$A505)</f>
        <v>1055.4560110683</v>
      </c>
      <c r="AB505" s="0" t="n">
        <f aca="false">W_PH(AB$2,$A505)</f>
        <v>1055.5171710265</v>
      </c>
      <c r="AC505" s="0" t="n">
        <f aca="false">W_PH(AC$2,$A505)</f>
        <v>1055.57833523107</v>
      </c>
      <c r="AD505" s="0" t="n">
        <f aca="false">W_PH(AD$2,$A505)</f>
        <v>1055.63950533796</v>
      </c>
      <c r="AE505" s="0" t="n">
        <f aca="false">W_PH(AE$2,$A505)</f>
        <v>1055.70068078276</v>
      </c>
      <c r="AF505" s="0" t="n">
        <f aca="false">W_PH(AF$2,$A505)</f>
        <v>1055.76186211123</v>
      </c>
      <c r="AG505" s="0" t="n">
        <f aca="false">W_PH(AG$2,$A505)</f>
        <v>1055.82305097958</v>
      </c>
      <c r="AH505" s="0" t="n">
        <f aca="false">W_PH(AH$2,$A505)</f>
        <v>1056.43543226895</v>
      </c>
      <c r="AI505" s="0" t="n">
        <f aca="false">W_PH(AI$2,$A505)</f>
        <v>1057.04907933532</v>
      </c>
      <c r="AJ505" s="0" t="n">
        <f aca="false">W_PH(AJ$2,$A505)</f>
        <v>1057.66451621728</v>
      </c>
      <c r="AK505" s="0" t="n">
        <f aca="false">W_PH(AK$2,$A505)</f>
        <v>1058.28226720403</v>
      </c>
      <c r="AL505" s="0" t="n">
        <f aca="false">W_PH(AL$2,$A505)</f>
        <v>1058.90285685496</v>
      </c>
      <c r="AM505" s="0" t="n">
        <f aca="false">W_PH(AM$2,$A505)</f>
        <v>1059.52680890948</v>
      </c>
      <c r="AN505" s="0" t="n">
        <f aca="false">W_PH(AN$2,$A505)</f>
        <v>1060.15464742828</v>
      </c>
      <c r="AO505" s="0" t="n">
        <f aca="false">W_PH(AO$2,$A505)</f>
        <v>1060.78690017477</v>
      </c>
      <c r="AP505" s="0" t="n">
        <f aca="false">W_PH(AP$2,$A505)</f>
        <v>2015</v>
      </c>
      <c r="AQ505" s="0" t="n">
        <f aca="false">W_PH(AQ$2,$A505)</f>
        <v>2015</v>
      </c>
      <c r="AR505" s="0" t="n">
        <f aca="false">W_PH(AR$2,$A505)</f>
        <v>2015</v>
      </c>
      <c r="AS505" s="0" t="n">
        <f aca="false">W_PH(AS$2,$A505)</f>
        <v>2015</v>
      </c>
    </row>
    <row r="506" customFormat="false" ht="13.8" hidden="false" customHeight="false" outlineLevel="0" collapsed="false">
      <c r="A506" s="0" t="n">
        <v>6660</v>
      </c>
      <c r="B506" s="0" t="n">
        <f aca="false">W_PH(B$2,$A506)</f>
        <v>1056.08285317807</v>
      </c>
      <c r="C506" s="0" t="n">
        <f aca="false">W_PH(C$2,$A506)</f>
        <v>1056.08291401058</v>
      </c>
      <c r="D506" s="0" t="n">
        <f aca="false">W_PH(D$2,$A506)</f>
        <v>1056.08297484311</v>
      </c>
      <c r="E506" s="0" t="n">
        <f aca="false">W_PH(E$2,$A506)</f>
        <v>1056.08303567563</v>
      </c>
      <c r="F506" s="0" t="n">
        <f aca="false">W_PH(F$2,$A506)</f>
        <v>1056.08309650816</v>
      </c>
      <c r="G506" s="0" t="n">
        <f aca="false">W_PH(G$2,$A506)</f>
        <v>1056.08370926895</v>
      </c>
      <c r="H506" s="0" t="n">
        <f aca="false">W_PH(H$2,$A506)</f>
        <v>1056.08431981231</v>
      </c>
      <c r="I506" s="0" t="n">
        <f aca="false">W_PH(I$2,$A506)</f>
        <v>1056.08493257363</v>
      </c>
      <c r="J506" s="0" t="n">
        <f aca="false">W_PH(J$2,$A506)</f>
        <v>1056.08554311752</v>
      </c>
      <c r="K506" s="0" t="n">
        <f aca="false">W_PH(K$2,$A506)</f>
        <v>1056.08615477051</v>
      </c>
      <c r="L506" s="0" t="n">
        <f aca="false">W_PH(L$2,$A506)</f>
        <v>1056.08676642377</v>
      </c>
      <c r="M506" s="0" t="n">
        <f aca="false">W_PH(M$2,$A506)</f>
        <v>1056.08737807729</v>
      </c>
      <c r="N506" s="0" t="n">
        <f aca="false">W_PH(N$2,$A506)</f>
        <v>1056.08798973108</v>
      </c>
      <c r="O506" s="0" t="n">
        <f aca="false">W_PH(O$2,$A506)</f>
        <v>1056.08860027628</v>
      </c>
      <c r="P506" s="0" t="n">
        <f aca="false">W_PH(P$2,$A506)</f>
        <v>1056.0947168315</v>
      </c>
      <c r="Q506" s="0" t="n">
        <f aca="false">W_PH(Q$2,$A506)</f>
        <v>1056.1008311961</v>
      </c>
      <c r="R506" s="0" t="n">
        <f aca="false">W_PH(R$2,$A506)</f>
        <v>1056.10694558831</v>
      </c>
      <c r="S506" s="0" t="n">
        <f aca="false">W_PH(S$2,$A506)</f>
        <v>1056.11306222645</v>
      </c>
      <c r="T506" s="0" t="n">
        <f aca="false">W_PH(T$2,$A506)</f>
        <v>1056.11917667556</v>
      </c>
      <c r="U506" s="0" t="n">
        <f aca="false">W_PH(U$2,$A506)</f>
        <v>1056.12529115392</v>
      </c>
      <c r="V506" s="0" t="n">
        <f aca="false">W_PH(V$2,$A506)</f>
        <v>1056.13140787987</v>
      </c>
      <c r="W506" s="0" t="n">
        <f aca="false">W_PH(W$2,$A506)</f>
        <v>1056.13752241838</v>
      </c>
      <c r="X506" s="0" t="n">
        <f aca="false">W_PH(X$2,$A506)</f>
        <v>1056.14363809668</v>
      </c>
      <c r="Y506" s="0" t="n">
        <f aca="false">W_PH(Y$2,$A506)</f>
        <v>1056.20479337159</v>
      </c>
      <c r="Z506" s="0" t="n">
        <f aca="false">W_PH(Z$2,$A506)</f>
        <v>1056.26595122444</v>
      </c>
      <c r="AA506" s="0" t="n">
        <f aca="false">W_PH(AA$2,$A506)</f>
        <v>1056.32711330757</v>
      </c>
      <c r="AB506" s="0" t="n">
        <f aca="false">W_PH(AB$2,$A506)</f>
        <v>1056.3882779461</v>
      </c>
      <c r="AC506" s="0" t="n">
        <f aca="false">W_PH(AC$2,$A506)</f>
        <v>1056.44945012017</v>
      </c>
      <c r="AD506" s="0" t="n">
        <f aca="false">W_PH(AD$2,$A506)</f>
        <v>1056.51062593639</v>
      </c>
      <c r="AE506" s="0" t="n">
        <f aca="false">W_PH(AE$2,$A506)</f>
        <v>1056.57180815673</v>
      </c>
      <c r="AF506" s="0" t="n">
        <f aca="false">W_PH(AF$2,$A506)</f>
        <v>1056.63299510583</v>
      </c>
      <c r="AG506" s="0" t="n">
        <f aca="false">W_PH(AG$2,$A506)</f>
        <v>1056.69419065553</v>
      </c>
      <c r="AH506" s="0" t="n">
        <f aca="false">W_PH(AH$2,$A506)</f>
        <v>1057.30663448657</v>
      </c>
      <c r="AI506" s="0" t="n">
        <f aca="false">W_PH(AI$2,$A506)</f>
        <v>1057.92033781856</v>
      </c>
      <c r="AJ506" s="0" t="n">
        <f aca="false">W_PH(AJ$2,$A506)</f>
        <v>1058.53582236032</v>
      </c>
      <c r="AK506" s="0" t="n">
        <f aca="false">W_PH(AK$2,$A506)</f>
        <v>1059.15360896281</v>
      </c>
      <c r="AL506" s="0" t="n">
        <f aca="false">W_PH(AL$2,$A506)</f>
        <v>1059.77422097404</v>
      </c>
      <c r="AM506" s="0" t="n">
        <f aca="false">W_PH(AM$2,$A506)</f>
        <v>1060.3981798154</v>
      </c>
      <c r="AN506" s="0" t="n">
        <f aca="false">W_PH(AN$2,$A506)</f>
        <v>1061.02600946102</v>
      </c>
      <c r="AO506" s="0" t="n">
        <f aca="false">W_PH(AO$2,$A506)</f>
        <v>1061.6582320185</v>
      </c>
      <c r="AP506" s="0" t="n">
        <f aca="false">W_PH(AP$2,$A506)</f>
        <v>2015</v>
      </c>
      <c r="AQ506" s="0" t="n">
        <f aca="false">W_PH(AQ$2,$A506)</f>
        <v>2015</v>
      </c>
      <c r="AR506" s="0" t="n">
        <f aca="false">W_PH(AR$2,$A506)</f>
        <v>2015</v>
      </c>
      <c r="AS506" s="0" t="n">
        <f aca="false">W_PH(AS$2,$A506)</f>
        <v>2015</v>
      </c>
    </row>
    <row r="507" customFormat="false" ht="13.8" hidden="false" customHeight="false" outlineLevel="0" collapsed="false">
      <c r="A507" s="0" t="n">
        <v>6670</v>
      </c>
      <c r="B507" s="0" t="n">
        <f aca="false">W_PH(B$2,$A507)</f>
        <v>1056.95283808668</v>
      </c>
      <c r="C507" s="0" t="n">
        <f aca="false">W_PH(C$2,$A507)</f>
        <v>1056.95289897458</v>
      </c>
      <c r="D507" s="0" t="n">
        <f aca="false">W_PH(D$2,$A507)</f>
        <v>1056.95295986248</v>
      </c>
      <c r="E507" s="0" t="n">
        <f aca="false">W_PH(E$2,$A507)</f>
        <v>1056.95302075038</v>
      </c>
      <c r="F507" s="0" t="n">
        <f aca="false">W_PH(F$2,$A507)</f>
        <v>1056.95308163828</v>
      </c>
      <c r="G507" s="0" t="n">
        <f aca="false">W_PH(G$2,$A507)</f>
        <v>1056.95369384128</v>
      </c>
      <c r="H507" s="0" t="n">
        <f aca="false">W_PH(H$2,$A507)</f>
        <v>1056.95430604454</v>
      </c>
      <c r="I507" s="0" t="n">
        <f aca="false">W_PH(I$2,$A507)</f>
        <v>1056.95491714012</v>
      </c>
      <c r="J507" s="0" t="n">
        <f aca="false">W_PH(J$2,$A507)</f>
        <v>1056.95552823595</v>
      </c>
      <c r="K507" s="0" t="n">
        <f aca="false">W_PH(K$2,$A507)</f>
        <v>1056.95614043999</v>
      </c>
      <c r="L507" s="0" t="n">
        <f aca="false">W_PH(L$2,$A507)</f>
        <v>1056.95675264429</v>
      </c>
      <c r="M507" s="0" t="n">
        <f aca="false">W_PH(M$2,$A507)</f>
        <v>1056.95736374091</v>
      </c>
      <c r="N507" s="0" t="n">
        <f aca="false">W_PH(N$2,$A507)</f>
        <v>1056.95797483778</v>
      </c>
      <c r="O507" s="0" t="n">
        <f aca="false">W_PH(O$2,$A507)</f>
        <v>1056.95858593492</v>
      </c>
      <c r="P507" s="0" t="n">
        <f aca="false">W_PH(P$2,$A507)</f>
        <v>1056.96470246058</v>
      </c>
      <c r="Q507" s="0" t="n">
        <f aca="false">W_PH(Q$2,$A507)</f>
        <v>1056.97081901307</v>
      </c>
      <c r="R507" s="0" t="n">
        <f aca="false">W_PH(R$2,$A507)</f>
        <v>1056.97693448495</v>
      </c>
      <c r="S507" s="0" t="n">
        <f aca="false">W_PH(S$2,$A507)</f>
        <v>1056.98304998472</v>
      </c>
      <c r="T507" s="0" t="n">
        <f aca="false">W_PH(T$2,$A507)</f>
        <v>1056.98916551291</v>
      </c>
      <c r="U507" s="0" t="n">
        <f aca="false">W_PH(U$2,$A507)</f>
        <v>1056.99528107009</v>
      </c>
      <c r="V507" s="0" t="n">
        <f aca="false">W_PH(V$2,$A507)</f>
        <v>1057.00139776477</v>
      </c>
      <c r="W507" s="0" t="n">
        <f aca="false">W_PH(W$2,$A507)</f>
        <v>1057.00751338152</v>
      </c>
      <c r="X507" s="0" t="n">
        <f aca="false">W_PH(X$2,$A507)</f>
        <v>1057.01363013687</v>
      </c>
      <c r="Y507" s="0" t="n">
        <f aca="false">W_PH(Y$2,$A507)</f>
        <v>1057.0747906283</v>
      </c>
      <c r="Z507" s="0" t="n">
        <f aca="false">W_PH(Z$2,$A507)</f>
        <v>1057.13595477474</v>
      </c>
      <c r="AA507" s="0" t="n">
        <f aca="false">W_PH(AA$2,$A507)</f>
        <v>1057.1971231173</v>
      </c>
      <c r="AB507" s="0" t="n">
        <f aca="false">W_PH(AB$2,$A507)</f>
        <v>1057.25829619712</v>
      </c>
      <c r="AC507" s="0" t="n">
        <f aca="false">W_PH(AC$2,$A507)</f>
        <v>1057.31947233865</v>
      </c>
      <c r="AD507" s="0" t="n">
        <f aca="false">W_PH(AD$2,$A507)</f>
        <v>1057.38065429952</v>
      </c>
      <c r="AE507" s="0" t="n">
        <f aca="false">W_PH(AE$2,$A507)</f>
        <v>1057.44184262095</v>
      </c>
      <c r="AF507" s="0" t="n">
        <f aca="false">W_PH(AF$2,$A507)</f>
        <v>1057.50303784421</v>
      </c>
      <c r="AG507" s="0" t="n">
        <f aca="false">W_PH(AG$2,$A507)</f>
        <v>1057.5642382933</v>
      </c>
      <c r="AH507" s="0" t="n">
        <f aca="false">W_PH(AH$2,$A507)</f>
        <v>1058.17674129026</v>
      </c>
      <c r="AI507" s="0" t="n">
        <f aca="false">W_PH(AI$2,$A507)</f>
        <v>1058.79049757673</v>
      </c>
      <c r="AJ507" s="0" t="n">
        <f aca="false">W_PH(AJ$2,$A507)</f>
        <v>1059.40602543601</v>
      </c>
      <c r="AK507" s="0" t="n">
        <f aca="false">W_PH(AK$2,$A507)</f>
        <v>1060.02384562962</v>
      </c>
      <c r="AL507" s="0" t="n">
        <f aca="false">W_PH(AL$2,$A507)</f>
        <v>1060.64447697505</v>
      </c>
      <c r="AM507" s="0" t="n">
        <f aca="false">W_PH(AM$2,$A507)</f>
        <v>1061.26844081367</v>
      </c>
      <c r="AN507" s="0" t="n">
        <f aca="false">W_PH(AN$2,$A507)</f>
        <v>1061.8962554796</v>
      </c>
      <c r="AO507" s="0" t="n">
        <f aca="false">W_PH(AO$2,$A507)</f>
        <v>1062.52844412062</v>
      </c>
      <c r="AP507" s="0" t="n">
        <f aca="false">W_PH(AP$2,$A507)</f>
        <v>2015</v>
      </c>
      <c r="AQ507" s="0" t="n">
        <f aca="false">W_PH(AQ$2,$A507)</f>
        <v>2015</v>
      </c>
      <c r="AR507" s="0" t="n">
        <f aca="false">W_PH(AR$2,$A507)</f>
        <v>2015</v>
      </c>
      <c r="AS507" s="0" t="n">
        <f aca="false">W_PH(AS$2,$A507)</f>
        <v>2015</v>
      </c>
    </row>
    <row r="508" customFormat="false" ht="13.8" hidden="false" customHeight="false" outlineLevel="0" collapsed="false">
      <c r="A508" s="0" t="n">
        <v>6680</v>
      </c>
      <c r="B508" s="0" t="n">
        <f aca="false">W_PH(B$2,$A508)</f>
        <v>1057.82173762486</v>
      </c>
      <c r="C508" s="0" t="n">
        <f aca="false">W_PH(C$2,$A508)</f>
        <v>1057.82179856738</v>
      </c>
      <c r="D508" s="0" t="n">
        <f aca="false">W_PH(D$2,$A508)</f>
        <v>1057.82186061695</v>
      </c>
      <c r="E508" s="0" t="n">
        <f aca="false">W_PH(E$2,$A508)</f>
        <v>1057.82192155947</v>
      </c>
      <c r="F508" s="0" t="n">
        <f aca="false">W_PH(F$2,$A508)</f>
        <v>1057.82198360904</v>
      </c>
      <c r="G508" s="0" t="n">
        <f aca="false">W_PH(G$2,$A508)</f>
        <v>1057.82259524856</v>
      </c>
      <c r="H508" s="0" t="n">
        <f aca="false">W_PH(H$2,$A508)</f>
        <v>1057.82320688834</v>
      </c>
      <c r="I508" s="0" t="n">
        <f aca="false">W_PH(I$2,$A508)</f>
        <v>1057.82381852837</v>
      </c>
      <c r="J508" s="0" t="n">
        <f aca="false">W_PH(J$2,$A508)</f>
        <v>1057.82443016866</v>
      </c>
      <c r="K508" s="0" t="n">
        <f aca="false">W_PH(K$2,$A508)</f>
        <v>1057.8250418092</v>
      </c>
      <c r="L508" s="0" t="n">
        <f aca="false">W_PH(L$2,$A508)</f>
        <v>1057.82565345</v>
      </c>
      <c r="M508" s="0" t="n">
        <f aca="false">W_PH(M$2,$A508)</f>
        <v>1057.82626509106</v>
      </c>
      <c r="N508" s="0" t="n">
        <f aca="false">W_PH(N$2,$A508)</f>
        <v>1057.82687673238</v>
      </c>
      <c r="O508" s="0" t="n">
        <f aca="false">W_PH(O$2,$A508)</f>
        <v>1057.82748837396</v>
      </c>
      <c r="P508" s="0" t="n">
        <f aca="false">W_PH(P$2,$A508)</f>
        <v>1057.83360480415</v>
      </c>
      <c r="Q508" s="0" t="n">
        <f aca="false">W_PH(Q$2,$A508)</f>
        <v>1057.83972126087</v>
      </c>
      <c r="R508" s="0" t="n">
        <f aca="false">W_PH(R$2,$A508)</f>
        <v>1057.84583663761</v>
      </c>
      <c r="S508" s="0" t="n">
        <f aca="false">W_PH(S$2,$A508)</f>
        <v>1057.85195314902</v>
      </c>
      <c r="T508" s="0" t="n">
        <f aca="false">W_PH(T$2,$A508)</f>
        <v>1057.8580696886</v>
      </c>
      <c r="U508" s="0" t="n">
        <f aca="false">W_PH(U$2,$A508)</f>
        <v>1057.86418625686</v>
      </c>
      <c r="V508" s="0" t="n">
        <f aca="false">W_PH(V$2,$A508)</f>
        <v>1057.87030285437</v>
      </c>
      <c r="W508" s="0" t="n">
        <f aca="false">W_PH(W$2,$A508)</f>
        <v>1057.87641948164</v>
      </c>
      <c r="X508" s="0" t="n">
        <f aca="false">W_PH(X$2,$A508)</f>
        <v>1057.88253503212</v>
      </c>
      <c r="Y508" s="0" t="n">
        <f aca="false">W_PH(Y$2,$A508)</f>
        <v>1057.94370339359</v>
      </c>
      <c r="Z508" s="0" t="n">
        <f aca="false">W_PH(Z$2,$A508)</f>
        <v>1058.00487316436</v>
      </c>
      <c r="AA508" s="0" t="n">
        <f aca="false">W_PH(AA$2,$A508)</f>
        <v>1058.06604709744</v>
      </c>
      <c r="AB508" s="0" t="n">
        <f aca="false">W_PH(AB$2,$A508)</f>
        <v>1058.12722573164</v>
      </c>
      <c r="AC508" s="0" t="n">
        <f aca="false">W_PH(AC$2,$A508)</f>
        <v>1058.18840960579</v>
      </c>
      <c r="AD508" s="0" t="n">
        <f aca="false">W_PH(AD$2,$A508)</f>
        <v>1058.24959704371</v>
      </c>
      <c r="AE508" s="0" t="n">
        <f aca="false">W_PH(AE$2,$A508)</f>
        <v>1058.31079079907</v>
      </c>
      <c r="AF508" s="0" t="n">
        <f aca="false">W_PH(AF$2,$A508)</f>
        <v>1058.3719914108</v>
      </c>
      <c r="AG508" s="0" t="n">
        <f aca="false">W_PH(AG$2,$A508)</f>
        <v>1058.43319941786</v>
      </c>
      <c r="AH508" s="0" t="n">
        <f aca="false">W_PH(AH$2,$A508)</f>
        <v>1059.04575605151</v>
      </c>
      <c r="AI508" s="0" t="n">
        <f aca="false">W_PH(AI$2,$A508)</f>
        <v>1059.65956093342</v>
      </c>
      <c r="AJ508" s="0" t="n">
        <f aca="false">W_PH(AJ$2,$A508)</f>
        <v>1060.27512894015</v>
      </c>
      <c r="AK508" s="0" t="n">
        <f aca="false">W_PH(AK$2,$A508)</f>
        <v>1060.89297853597</v>
      </c>
      <c r="AL508" s="0" t="n">
        <f aca="false">W_PH(AL$2,$A508)</f>
        <v>1061.51362624641</v>
      </c>
      <c r="AM508" s="0" t="n">
        <f aca="false">W_PH(AM$2,$A508)</f>
        <v>1062.13759112224</v>
      </c>
      <c r="AN508" s="0" t="n">
        <f aca="false">W_PH(AN$2,$A508)</f>
        <v>1062.76539032496</v>
      </c>
      <c r="AO508" s="0" t="n">
        <f aca="false">W_PH(AO$2,$A508)</f>
        <v>1063.39754249241</v>
      </c>
      <c r="AP508" s="0" t="n">
        <f aca="false">W_PH(AP$2,$A508)</f>
        <v>2015</v>
      </c>
      <c r="AQ508" s="0" t="n">
        <f aca="false">W_PH(AQ$2,$A508)</f>
        <v>2015</v>
      </c>
      <c r="AR508" s="0" t="n">
        <f aca="false">W_PH(AR$2,$A508)</f>
        <v>2015</v>
      </c>
      <c r="AS508" s="0" t="n">
        <f aca="false">W_PH(AS$2,$A508)</f>
        <v>2015</v>
      </c>
    </row>
    <row r="509" customFormat="false" ht="13.8" hidden="false" customHeight="false" outlineLevel="0" collapsed="false">
      <c r="A509" s="0" t="n">
        <v>6690</v>
      </c>
      <c r="B509" s="0" t="n">
        <f aca="false">W_PH(B$2,$A509)</f>
        <v>1058.68955833921</v>
      </c>
      <c r="C509" s="0" t="n">
        <f aca="false">W_PH(C$2,$A509)</f>
        <v>1058.68961933562</v>
      </c>
      <c r="D509" s="0" t="n">
        <f aca="false">W_PH(D$2,$A509)</f>
        <v>1058.68968033203</v>
      </c>
      <c r="E509" s="0" t="n">
        <f aca="false">W_PH(E$2,$A509)</f>
        <v>1058.68974132844</v>
      </c>
      <c r="F509" s="0" t="n">
        <f aca="false">W_PH(F$2,$A509)</f>
        <v>1058.68980232485</v>
      </c>
      <c r="G509" s="0" t="n">
        <f aca="false">W_PH(G$2,$A509)</f>
        <v>1058.69041450141</v>
      </c>
      <c r="H509" s="0" t="n">
        <f aca="false">W_PH(H$2,$A509)</f>
        <v>1058.69102557207</v>
      </c>
      <c r="I509" s="0" t="n">
        <f aca="false">W_PH(I$2,$A509)</f>
        <v>1058.69163664298</v>
      </c>
      <c r="J509" s="0" t="n">
        <f aca="false">W_PH(J$2,$A509)</f>
        <v>1058.6922488203</v>
      </c>
      <c r="K509" s="0" t="n">
        <f aca="false">W_PH(K$2,$A509)</f>
        <v>1058.69286099787</v>
      </c>
      <c r="L509" s="0" t="n">
        <f aca="false">W_PH(L$2,$A509)</f>
        <v>1058.69347206955</v>
      </c>
      <c r="M509" s="0" t="n">
        <f aca="false">W_PH(M$2,$A509)</f>
        <v>1058.69408314149</v>
      </c>
      <c r="N509" s="0" t="n">
        <f aca="false">W_PH(N$2,$A509)</f>
        <v>1058.69469531983</v>
      </c>
      <c r="O509" s="0" t="n">
        <f aca="false">W_PH(O$2,$A509)</f>
        <v>1058.69530749842</v>
      </c>
      <c r="P509" s="0" t="n">
        <f aca="false">W_PH(P$2,$A509)</f>
        <v>1058.70142487404</v>
      </c>
      <c r="Q509" s="0" t="n">
        <f aca="false">W_PH(Q$2,$A509)</f>
        <v>1058.70754116977</v>
      </c>
      <c r="R509" s="0" t="n">
        <f aca="false">W_PH(R$2,$A509)</f>
        <v>1058.7136574923</v>
      </c>
      <c r="S509" s="0" t="n">
        <f aca="false">W_PH(S$2,$A509)</f>
        <v>1058.71977494834</v>
      </c>
      <c r="T509" s="0" t="n">
        <f aca="false">W_PH(T$2,$A509)</f>
        <v>1058.72589243227</v>
      </c>
      <c r="U509" s="0" t="n">
        <f aca="false">W_PH(U$2,$A509)</f>
        <v>1058.73200994462</v>
      </c>
      <c r="V509" s="0" t="n">
        <f aca="false">W_PH(V$2,$A509)</f>
        <v>1058.73812637973</v>
      </c>
      <c r="W509" s="0" t="n">
        <f aca="false">W_PH(W$2,$A509)</f>
        <v>1058.74424284432</v>
      </c>
      <c r="X509" s="0" t="n">
        <f aca="false">W_PH(X$2,$A509)</f>
        <v>1058.75036044514</v>
      </c>
      <c r="Y509" s="0" t="n">
        <f aca="false">W_PH(Y$2,$A509)</f>
        <v>1058.81153379796</v>
      </c>
      <c r="Z509" s="0" t="n">
        <f aca="false">W_PH(Z$2,$A509)</f>
        <v>1058.87270963708</v>
      </c>
      <c r="AA509" s="0" t="n">
        <f aca="false">W_PH(AA$2,$A509)</f>
        <v>1058.93388960519</v>
      </c>
      <c r="AB509" s="0" t="n">
        <f aca="false">W_PH(AB$2,$A509)</f>
        <v>1058.9950731323</v>
      </c>
      <c r="AC509" s="0" t="n">
        <f aca="false">W_PH(AC$2,$A509)</f>
        <v>1059.05626186128</v>
      </c>
      <c r="AD509" s="0" t="n">
        <f aca="false">W_PH(AD$2,$A509)</f>
        <v>1059.11745632868</v>
      </c>
      <c r="AE509" s="0" t="n">
        <f aca="false">W_PH(AE$2,$A509)</f>
        <v>1059.17865485771</v>
      </c>
      <c r="AF509" s="0" t="n">
        <f aca="false">W_PH(AF$2,$A509)</f>
        <v>1059.23986130485</v>
      </c>
      <c r="AG509" s="0" t="n">
        <f aca="false">W_PH(AG$2,$A509)</f>
        <v>1059.30107399328</v>
      </c>
      <c r="AH509" s="0" t="n">
        <f aca="false">W_PH(AH$2,$A509)</f>
        <v>1059.913683229</v>
      </c>
      <c r="AI509" s="0" t="n">
        <f aca="false">W_PH(AI$2,$A509)</f>
        <v>1060.52753241123</v>
      </c>
      <c r="AJ509" s="0" t="n">
        <f aca="false">W_PH(AJ$2,$A509)</f>
        <v>1061.14313856442</v>
      </c>
      <c r="AK509" s="0" t="n">
        <f aca="false">W_PH(AK$2,$A509)</f>
        <v>1061.76101343623</v>
      </c>
      <c r="AL509" s="0" t="n">
        <f aca="false">W_PH(AL$2,$A509)</f>
        <v>1062.38167460126</v>
      </c>
      <c r="AM509" s="0" t="n">
        <f aca="false">W_PH(AM$2,$A509)</f>
        <v>1063.00563772526</v>
      </c>
      <c r="AN509" s="0" t="n">
        <f aca="false">W_PH(AN$2,$A509)</f>
        <v>1063.63341658707</v>
      </c>
      <c r="AO509" s="0" t="n">
        <f aca="false">W_PH(AO$2,$A509)</f>
        <v>1064.2655308885</v>
      </c>
      <c r="AP509" s="0" t="n">
        <f aca="false">W_PH(AP$2,$A509)</f>
        <v>2015</v>
      </c>
      <c r="AQ509" s="0" t="n">
        <f aca="false">W_PH(AQ$2,$A509)</f>
        <v>2015</v>
      </c>
      <c r="AR509" s="0" t="n">
        <f aca="false">W_PH(AR$2,$A509)</f>
        <v>2015</v>
      </c>
      <c r="AS509" s="0" t="n">
        <f aca="false">W_PH(AS$2,$A509)</f>
        <v>2015</v>
      </c>
    </row>
    <row r="510" customFormat="false" ht="13.8" hidden="false" customHeight="false" outlineLevel="0" collapsed="false">
      <c r="A510" s="0" t="n">
        <v>6700</v>
      </c>
      <c r="B510" s="0" t="n">
        <f aca="false">W_PH(B$2,$A510)</f>
        <v>1059.55629901027</v>
      </c>
      <c r="C510" s="0" t="n">
        <f aca="false">W_PH(C$2,$A510)</f>
        <v>1059.55636005982</v>
      </c>
      <c r="D510" s="0" t="n">
        <f aca="false">W_PH(D$2,$A510)</f>
        <v>1059.55642221463</v>
      </c>
      <c r="E510" s="0" t="n">
        <f aca="false">W_PH(E$2,$A510)</f>
        <v>1059.55648326418</v>
      </c>
      <c r="F510" s="0" t="n">
        <f aca="false">W_PH(F$2,$A510)</f>
        <v>1059.55654431374</v>
      </c>
      <c r="G510" s="0" t="n">
        <f aca="false">W_PH(G$2,$A510)</f>
        <v>1059.55715480948</v>
      </c>
      <c r="H510" s="0" t="n">
        <f aca="false">W_PH(H$2,$A510)</f>
        <v>1059.55776751598</v>
      </c>
      <c r="I510" s="0" t="n">
        <f aca="false">W_PH(I$2,$A510)</f>
        <v>1059.55837911747</v>
      </c>
      <c r="J510" s="0" t="n">
        <f aca="false">W_PH(J$2,$A510)</f>
        <v>1059.55899071922</v>
      </c>
      <c r="K510" s="0" t="n">
        <f aca="false">W_PH(K$2,$A510)</f>
        <v>1059.55960232122</v>
      </c>
      <c r="L510" s="0" t="n">
        <f aca="false">W_PH(L$2,$A510)</f>
        <v>1059.56021392347</v>
      </c>
      <c r="M510" s="0" t="n">
        <f aca="false">W_PH(M$2,$A510)</f>
        <v>1059.56082663123</v>
      </c>
      <c r="N510" s="0" t="n">
        <f aca="false">W_PH(N$2,$A510)</f>
        <v>1059.56143712873</v>
      </c>
      <c r="O510" s="0" t="n">
        <f aca="false">W_PH(O$2,$A510)</f>
        <v>1059.56204983699</v>
      </c>
      <c r="P510" s="0" t="n">
        <f aca="false">W_PH(P$2,$A510)</f>
        <v>1059.56816698646</v>
      </c>
      <c r="Q510" s="0" t="n">
        <f aca="false">W_PH(Q$2,$A510)</f>
        <v>1059.57428416192</v>
      </c>
      <c r="R510" s="0" t="n">
        <f aca="false">W_PH(R$2,$A510)</f>
        <v>1059.58040246919</v>
      </c>
      <c r="S510" s="0" t="n">
        <f aca="false">W_PH(S$2,$A510)</f>
        <v>1059.58651969827</v>
      </c>
      <c r="T510" s="0" t="n">
        <f aca="false">W_PH(T$2,$A510)</f>
        <v>1059.59263695495</v>
      </c>
      <c r="U510" s="0" t="n">
        <f aca="false">W_PH(U$2,$A510)</f>
        <v>1059.59875534506</v>
      </c>
      <c r="V510" s="0" t="n">
        <f aca="false">W_PH(V$2,$A510)</f>
        <v>1059.60487155325</v>
      </c>
      <c r="W510" s="0" t="n">
        <f aca="false">W_PH(W$2,$A510)</f>
        <v>1059.61099000126</v>
      </c>
      <c r="X510" s="0" t="n">
        <f aca="false">W_PH(X$2,$A510)</f>
        <v>1059.61710847902</v>
      </c>
      <c r="Y510" s="0" t="n">
        <f aca="false">W_PH(Y$2,$A510)</f>
        <v>1059.67828616751</v>
      </c>
      <c r="Z510" s="0" t="n">
        <f aca="false">W_PH(Z$2,$A510)</f>
        <v>1059.73946741785</v>
      </c>
      <c r="AA510" s="0" t="n">
        <f aca="false">W_PH(AA$2,$A510)</f>
        <v>1059.80065276421</v>
      </c>
      <c r="AB510" s="0" t="n">
        <f aca="false">W_PH(AB$2,$A510)</f>
        <v>1059.86184163521</v>
      </c>
      <c r="AC510" s="0" t="n">
        <f aca="false">W_PH(AC$2,$A510)</f>
        <v>1059.9230356705</v>
      </c>
      <c r="AD510" s="0" t="n">
        <f aca="false">W_PH(AD$2,$A510)</f>
        <v>1059.98423429864</v>
      </c>
      <c r="AE510" s="0" t="n">
        <f aca="false">W_PH(AE$2,$A510)</f>
        <v>1060.04543915948</v>
      </c>
      <c r="AF510" s="0" t="n">
        <f aca="false">W_PH(AF$2,$A510)</f>
        <v>1060.10665078735</v>
      </c>
      <c r="AG510" s="0" t="n">
        <f aca="false">W_PH(AG$2,$A510)</f>
        <v>1060.16786750474</v>
      </c>
      <c r="AH510" s="0" t="n">
        <f aca="false">W_PH(AH$2,$A510)</f>
        <v>1060.78052504449</v>
      </c>
      <c r="AI510" s="0" t="n">
        <f aca="false">W_PH(AI$2,$A510)</f>
        <v>1061.39441650821</v>
      </c>
      <c r="AJ510" s="0" t="n">
        <f aca="false">W_PH(AJ$2,$A510)</f>
        <v>1062.01005664779</v>
      </c>
      <c r="AK510" s="0" t="n">
        <f aca="false">W_PH(AK$2,$A510)</f>
        <v>1062.62795383795</v>
      </c>
      <c r="AL510" s="0" t="n">
        <f aca="false">W_PH(AL$2,$A510)</f>
        <v>1063.24862560388</v>
      </c>
      <c r="AM510" s="0" t="n">
        <f aca="false">W_PH(AM$2,$A510)</f>
        <v>1063.87258202312</v>
      </c>
      <c r="AN510" s="0" t="n">
        <f aca="false">W_PH(AN$2,$A510)</f>
        <v>1064.50034016634</v>
      </c>
      <c r="AO510" s="0" t="n">
        <f aca="false">W_PH(AO$2,$A510)</f>
        <v>1065.13241192767</v>
      </c>
      <c r="AP510" s="0" t="n">
        <f aca="false">W_PH(AP$2,$A510)</f>
        <v>2015</v>
      </c>
      <c r="AQ510" s="0" t="n">
        <f aca="false">W_PH(AQ$2,$A510)</f>
        <v>2015</v>
      </c>
      <c r="AR510" s="0" t="n">
        <f aca="false">W_PH(AR$2,$A510)</f>
        <v>2015</v>
      </c>
      <c r="AS510" s="0" t="n">
        <f aca="false">W_PH(AS$2,$A510)</f>
        <v>2015</v>
      </c>
    </row>
    <row r="511" customFormat="false" ht="13.8" hidden="false" customHeight="false" outlineLevel="0" collapsed="false">
      <c r="A511" s="0" t="n">
        <v>6710</v>
      </c>
      <c r="B511" s="0" t="n">
        <f aca="false">W_PH(B$2,$A511)</f>
        <v>1060.42196724923</v>
      </c>
      <c r="C511" s="0" t="n">
        <f aca="false">W_PH(C$2,$A511)</f>
        <v>1060.4220283512</v>
      </c>
      <c r="D511" s="0" t="n">
        <f aca="false">W_PH(D$2,$A511)</f>
        <v>1060.42208945318</v>
      </c>
      <c r="E511" s="0" t="n">
        <f aca="false">W_PH(E$2,$A511)</f>
        <v>1060.42215055515</v>
      </c>
      <c r="F511" s="0" t="n">
        <f aca="false">W_PH(F$2,$A511)</f>
        <v>1060.42221165713</v>
      </c>
      <c r="G511" s="0" t="n">
        <f aca="false">W_PH(G$2,$A511)</f>
        <v>1060.42282267707</v>
      </c>
      <c r="H511" s="0" t="n">
        <f aca="false">W_PH(H$2,$A511)</f>
        <v>1060.42343480162</v>
      </c>
      <c r="I511" s="0" t="n">
        <f aca="false">W_PH(I$2,$A511)</f>
        <v>1060.42404692641</v>
      </c>
      <c r="J511" s="0" t="n">
        <f aca="false">W_PH(J$2,$A511)</f>
        <v>1060.42465794709</v>
      </c>
      <c r="K511" s="0" t="n">
        <f aca="false">W_PH(K$2,$A511)</f>
        <v>1060.42527007238</v>
      </c>
      <c r="L511" s="0" t="n">
        <f aca="false">W_PH(L$2,$A511)</f>
        <v>1060.42588219792</v>
      </c>
      <c r="M511" s="0" t="n">
        <f aca="false">W_PH(M$2,$A511)</f>
        <v>1060.42649321935</v>
      </c>
      <c r="N511" s="0" t="n">
        <f aca="false">W_PH(N$2,$A511)</f>
        <v>1060.42710644976</v>
      </c>
      <c r="O511" s="0" t="n">
        <f aca="false">W_PH(O$2,$A511)</f>
        <v>1060.42771747169</v>
      </c>
      <c r="P511" s="0" t="n">
        <f aca="false">W_PH(P$2,$A511)</f>
        <v>1060.43383543551</v>
      </c>
      <c r="Q511" s="0" t="n">
        <f aca="false">W_PH(Q$2,$A511)</f>
        <v>1060.43995342507</v>
      </c>
      <c r="R511" s="0" t="n">
        <f aca="false">W_PH(R$2,$A511)</f>
        <v>1060.4460714409</v>
      </c>
      <c r="S511" s="0" t="n">
        <f aca="false">W_PH(S$2,$A511)</f>
        <v>1060.45218948354</v>
      </c>
      <c r="T511" s="0" t="n">
        <f aca="false">W_PH(T$2,$A511)</f>
        <v>1060.45830755352</v>
      </c>
      <c r="U511" s="0" t="n">
        <f aca="false">W_PH(U$2,$A511)</f>
        <v>1060.46442565137</v>
      </c>
      <c r="V511" s="0" t="n">
        <f aca="false">W_PH(V$2,$A511)</f>
        <v>1060.47054377763</v>
      </c>
      <c r="W511" s="0" t="n">
        <f aca="false">W_PH(W$2,$A511)</f>
        <v>1060.47666193281</v>
      </c>
      <c r="X511" s="0" t="n">
        <f aca="false">W_PH(X$2,$A511)</f>
        <v>1060.48278011747</v>
      </c>
      <c r="Y511" s="0" t="n">
        <f aca="false">W_PH(Y$2,$A511)</f>
        <v>1060.54396259716</v>
      </c>
      <c r="Z511" s="0" t="n">
        <f aca="false">W_PH(Z$2,$A511)</f>
        <v>1060.60514971293</v>
      </c>
      <c r="AA511" s="0" t="n">
        <f aca="false">W_PH(AA$2,$A511)</f>
        <v>1060.66633978761</v>
      </c>
      <c r="AB511" s="0" t="n">
        <f aca="false">W_PH(AB$2,$A511)</f>
        <v>1060.72753445761</v>
      </c>
      <c r="AC511" s="0" t="n">
        <f aca="false">W_PH(AC$2,$A511)</f>
        <v>1060.78873315009</v>
      </c>
      <c r="AD511" s="0" t="n">
        <f aca="false">W_PH(AD$2,$A511)</f>
        <v>1060.84993639684</v>
      </c>
      <c r="AE511" s="0" t="n">
        <f aca="false">W_PH(AE$2,$A511)</f>
        <v>1060.91114583455</v>
      </c>
      <c r="AF511" s="0" t="n">
        <f aca="false">W_PH(AF$2,$A511)</f>
        <v>1060.97236089029</v>
      </c>
      <c r="AG511" s="0" t="n">
        <f aca="false">W_PH(AG$2,$A511)</f>
        <v>1061.03358320094</v>
      </c>
      <c r="AH511" s="0" t="n">
        <f aca="false">W_PH(AH$2,$A511)</f>
        <v>1061.64628702047</v>
      </c>
      <c r="AI511" s="0" t="n">
        <f aca="false">W_PH(AI$2,$A511)</f>
        <v>1062.26021769805</v>
      </c>
      <c r="AJ511" s="0" t="n">
        <f aca="false">W_PH(AJ$2,$A511)</f>
        <v>1062.8758855116</v>
      </c>
      <c r="AK511" s="0" t="n">
        <f aca="false">W_PH(AK$2,$A511)</f>
        <v>1063.49380322656</v>
      </c>
      <c r="AL511" s="0" t="n">
        <f aca="false">W_PH(AL$2,$A511)</f>
        <v>1064.11448168762</v>
      </c>
      <c r="AM511" s="0" t="n">
        <f aca="false">W_PH(AM$2,$A511)</f>
        <v>1064.73842983544</v>
      </c>
      <c r="AN511" s="0" t="n">
        <f aca="false">W_PH(AN$2,$A511)</f>
        <v>1065.36616249396</v>
      </c>
      <c r="AO511" s="0" t="n">
        <f aca="false">W_PH(AO$2,$A511)</f>
        <v>1065.99819042758</v>
      </c>
      <c r="AP511" s="0" t="n">
        <f aca="false">W_PH(AP$2,$A511)</f>
        <v>2015</v>
      </c>
      <c r="AQ511" s="0" t="n">
        <f aca="false">W_PH(AQ$2,$A511)</f>
        <v>2015</v>
      </c>
      <c r="AR511" s="0" t="n">
        <f aca="false">W_PH(AR$2,$A511)</f>
        <v>2015</v>
      </c>
      <c r="AS511" s="0" t="n">
        <f aca="false">W_PH(AS$2,$A511)</f>
        <v>2015</v>
      </c>
    </row>
    <row r="512" customFormat="false" ht="13.8" hidden="false" customHeight="false" outlineLevel="0" collapsed="false">
      <c r="A512" s="0" t="n">
        <v>6720</v>
      </c>
      <c r="B512" s="0" t="n">
        <f aca="false">W_PH(B$2,$A512)</f>
        <v>1061.28656401391</v>
      </c>
      <c r="C512" s="0" t="n">
        <f aca="false">W_PH(C$2,$A512)</f>
        <v>1061.28662516758</v>
      </c>
      <c r="D512" s="0" t="n">
        <f aca="false">W_PH(D$2,$A512)</f>
        <v>1061.28668632126</v>
      </c>
      <c r="E512" s="0" t="n">
        <f aca="false">W_PH(E$2,$A512)</f>
        <v>1061.28674747494</v>
      </c>
      <c r="F512" s="0" t="n">
        <f aca="false">W_PH(F$2,$A512)</f>
        <v>1061.28680862861</v>
      </c>
      <c r="G512" s="0" t="n">
        <f aca="false">W_PH(G$2,$A512)</f>
        <v>1061.28742016554</v>
      </c>
      <c r="H512" s="0" t="n">
        <f aca="false">W_PH(H$2,$A512)</f>
        <v>1061.2880317027</v>
      </c>
      <c r="I512" s="0" t="n">
        <f aca="false">W_PH(I$2,$A512)</f>
        <v>1061.28864324012</v>
      </c>
      <c r="J512" s="0" t="n">
        <f aca="false">W_PH(J$2,$A512)</f>
        <v>1061.28925477777</v>
      </c>
      <c r="K512" s="0" t="n">
        <f aca="false">W_PH(K$2,$A512)</f>
        <v>1061.28986741915</v>
      </c>
      <c r="L512" s="0" t="n">
        <f aca="false">W_PH(L$2,$A512)</f>
        <v>1061.29048006077</v>
      </c>
      <c r="M512" s="0" t="n">
        <f aca="false">W_PH(M$2,$A512)</f>
        <v>1061.29109159917</v>
      </c>
      <c r="N512" s="0" t="n">
        <f aca="false">W_PH(N$2,$A512)</f>
        <v>1061.29170313782</v>
      </c>
      <c r="O512" s="0" t="n">
        <f aca="false">W_PH(O$2,$A512)</f>
        <v>1061.29231467672</v>
      </c>
      <c r="P512" s="0" t="n">
        <f aca="false">W_PH(P$2,$A512)</f>
        <v>1061.29843338993</v>
      </c>
      <c r="Q512" s="0" t="n">
        <f aca="false">W_PH(Q$2,$A512)</f>
        <v>1061.30455212863</v>
      </c>
      <c r="R512" s="0" t="n">
        <f aca="false">W_PH(R$2,$A512)</f>
        <v>1061.31066978985</v>
      </c>
      <c r="S512" s="0" t="n">
        <f aca="false">W_PH(S$2,$A512)</f>
        <v>1061.31678858111</v>
      </c>
      <c r="T512" s="0" t="n">
        <f aca="false">W_PH(T$2,$A512)</f>
        <v>1061.32290739944</v>
      </c>
      <c r="U512" s="0" t="n">
        <f aca="false">W_PH(U$2,$A512)</f>
        <v>1061.32902514187</v>
      </c>
      <c r="V512" s="0" t="n">
        <f aca="false">W_PH(V$2,$A512)</f>
        <v>1061.33514511946</v>
      </c>
      <c r="W512" s="0" t="n">
        <f aca="false">W_PH(W$2,$A512)</f>
        <v>1061.34126291867</v>
      </c>
      <c r="X512" s="0" t="n">
        <f aca="false">W_PH(X$2,$A512)</f>
        <v>1061.3473818506</v>
      </c>
      <c r="Y512" s="0" t="n">
        <f aca="false">W_PH(Y$2,$A512)</f>
        <v>1061.40856958133</v>
      </c>
      <c r="Z512" s="0" t="n">
        <f aca="false">W_PH(Z$2,$A512)</f>
        <v>1061.46976081371</v>
      </c>
      <c r="AA512" s="0" t="n">
        <f aca="false">W_PH(AA$2,$A512)</f>
        <v>1061.53095497361</v>
      </c>
      <c r="AB512" s="0" t="n">
        <f aca="false">W_PH(AB$2,$A512)</f>
        <v>1061.59215369428</v>
      </c>
      <c r="AC512" s="0" t="n">
        <f aca="false">W_PH(AC$2,$A512)</f>
        <v>1061.65335640153</v>
      </c>
      <c r="AD512" s="0" t="n">
        <f aca="false">W_PH(AD$2,$A512)</f>
        <v>1061.7145658327</v>
      </c>
      <c r="AE512" s="0" t="n">
        <f aca="false">W_PH(AE$2,$A512)</f>
        <v>1061.77577920576</v>
      </c>
      <c r="AF512" s="0" t="n">
        <f aca="false">W_PH(AF$2,$A512)</f>
        <v>1061.83699925818</v>
      </c>
      <c r="AG512" s="0" t="n">
        <f aca="false">W_PH(AG$2,$A512)</f>
        <v>1061.89822651975</v>
      </c>
      <c r="AH512" s="0" t="n">
        <f aca="false">W_PH(AH$2,$A512)</f>
        <v>1062.51097023331</v>
      </c>
      <c r="AI512" s="0" t="n">
        <f aca="false">W_PH(AI$2,$A512)</f>
        <v>1063.12493600866</v>
      </c>
      <c r="AJ512" s="0" t="n">
        <f aca="false">W_PH(AJ$2,$A512)</f>
        <v>1063.7406318838</v>
      </c>
      <c r="AK512" s="0" t="n">
        <f aca="false">W_PH(AK$2,$A512)</f>
        <v>1064.35856506564</v>
      </c>
      <c r="AL512" s="0" t="n">
        <f aca="false">W_PH(AL$2,$A512)</f>
        <v>1064.97924637425</v>
      </c>
      <c r="AM512" s="0" t="n">
        <f aca="false">W_PH(AM$2,$A512)</f>
        <v>1065.60318473537</v>
      </c>
      <c r="AN512" s="0" t="n">
        <f aca="false">W_PH(AN$2,$A512)</f>
        <v>1066.23088941846</v>
      </c>
      <c r="AO512" s="0" t="n">
        <f aca="false">W_PH(AO$2,$A512)</f>
        <v>1066.86286895965</v>
      </c>
      <c r="AP512" s="0" t="n">
        <f aca="false">W_PH(AP$2,$A512)</f>
        <v>2015</v>
      </c>
      <c r="AQ512" s="0" t="n">
        <f aca="false">W_PH(AQ$2,$A512)</f>
        <v>2015</v>
      </c>
      <c r="AR512" s="0" t="n">
        <f aca="false">W_PH(AR$2,$A512)</f>
        <v>2015</v>
      </c>
      <c r="AS512" s="0" t="n">
        <f aca="false">W_PH(AS$2,$A512)</f>
        <v>2015</v>
      </c>
    </row>
    <row r="513" customFormat="false" ht="13.8" hidden="false" customHeight="false" outlineLevel="0" collapsed="false">
      <c r="A513" s="0" t="n">
        <v>6730</v>
      </c>
      <c r="B513" s="0" t="n">
        <f aca="false">W_PH(B$2,$A513)</f>
        <v>1062.15009245625</v>
      </c>
      <c r="C513" s="0" t="n">
        <f aca="false">W_PH(C$2,$A513)</f>
        <v>1062.1501536609</v>
      </c>
      <c r="D513" s="0" t="n">
        <f aca="false">W_PH(D$2,$A513)</f>
        <v>1062.15021486556</v>
      </c>
      <c r="E513" s="0" t="n">
        <f aca="false">W_PH(E$2,$A513)</f>
        <v>1062.15027607022</v>
      </c>
      <c r="F513" s="0" t="n">
        <f aca="false">W_PH(F$2,$A513)</f>
        <v>1062.15033727488</v>
      </c>
      <c r="G513" s="0" t="n">
        <f aca="false">W_PH(G$2,$A513)</f>
        <v>1062.15094932165</v>
      </c>
      <c r="H513" s="0" t="n">
        <f aca="false">W_PH(H$2,$A513)</f>
        <v>1062.15156136866</v>
      </c>
      <c r="I513" s="0" t="n">
        <f aca="false">W_PH(I$2,$A513)</f>
        <v>1062.15217341591</v>
      </c>
      <c r="J513" s="0" t="n">
        <f aca="false">W_PH(J$2,$A513)</f>
        <v>1062.1527854634</v>
      </c>
      <c r="K513" s="0" t="n">
        <f aca="false">W_PH(K$2,$A513)</f>
        <v>1062.15339751114</v>
      </c>
      <c r="L513" s="0" t="n">
        <f aca="false">W_PH(L$2,$A513)</f>
        <v>1062.15400955912</v>
      </c>
      <c r="M513" s="0" t="n">
        <f aca="false">W_PH(M$2,$A513)</f>
        <v>1062.15462160735</v>
      </c>
      <c r="N513" s="0" t="n">
        <f aca="false">W_PH(N$2,$A513)</f>
        <v>1062.15523365583</v>
      </c>
      <c r="O513" s="0" t="n">
        <f aca="false">W_PH(O$2,$A513)</f>
        <v>1062.15584570455</v>
      </c>
      <c r="P513" s="0" t="n">
        <f aca="false">W_PH(P$2,$A513)</f>
        <v>1062.16196400028</v>
      </c>
      <c r="Q513" s="0" t="n">
        <f aca="false">W_PH(Q$2,$A513)</f>
        <v>1062.16808232124</v>
      </c>
      <c r="R513" s="0" t="n">
        <f aca="false">W_PH(R$2,$A513)</f>
        <v>1062.17420177055</v>
      </c>
      <c r="S513" s="0" t="n">
        <f aca="false">W_PH(S$2,$A513)</f>
        <v>1062.18032124615</v>
      </c>
      <c r="T513" s="0" t="n">
        <f aca="false">W_PH(T$2,$A513)</f>
        <v>1062.18643964595</v>
      </c>
      <c r="U513" s="0" t="n">
        <f aca="false">W_PH(U$2,$A513)</f>
        <v>1062.19255807308</v>
      </c>
      <c r="V513" s="0" t="n">
        <f aca="false">W_PH(V$2,$A513)</f>
        <v>1062.1986776307</v>
      </c>
      <c r="W513" s="0" t="n">
        <f aca="false">W_PH(W$2,$A513)</f>
        <v>1062.20479721672</v>
      </c>
      <c r="X513" s="0" t="n">
        <f aca="false">W_PH(X$2,$A513)</f>
        <v>1062.21091572902</v>
      </c>
      <c r="Y513" s="0" t="n">
        <f aca="false">W_PH(Y$2,$A513)</f>
        <v>1062.27210807188</v>
      </c>
      <c r="Z513" s="0" t="n">
        <f aca="false">W_PH(Z$2,$A513)</f>
        <v>1062.33330388683</v>
      </c>
      <c r="AA513" s="0" t="n">
        <f aca="false">W_PH(AA$2,$A513)</f>
        <v>1062.39450259839</v>
      </c>
      <c r="AB513" s="0" t="n">
        <f aca="false">W_PH(AB$2,$A513)</f>
        <v>1062.45570583666</v>
      </c>
      <c r="AC513" s="0" t="n">
        <f aca="false">W_PH(AC$2,$A513)</f>
        <v>1062.51691192311</v>
      </c>
      <c r="AD513" s="0" t="n">
        <f aca="false">W_PH(AD$2,$A513)</f>
        <v>1062.57812579693</v>
      </c>
      <c r="AE513" s="0" t="n">
        <f aca="false">W_PH(AE$2,$A513)</f>
        <v>1062.63934357359</v>
      </c>
      <c r="AF513" s="0" t="n">
        <f aca="false">W_PH(AF$2,$A513)</f>
        <v>1062.70056798654</v>
      </c>
      <c r="AG513" s="0" t="n">
        <f aca="false">W_PH(AG$2,$A513)</f>
        <v>1062.76179735686</v>
      </c>
      <c r="AH513" s="0" t="n">
        <f aca="false">W_PH(AH$2,$A513)</f>
        <v>1063.37457905859</v>
      </c>
      <c r="AI513" s="0" t="n">
        <f aca="false">W_PH(AI$2,$A513)</f>
        <v>1063.9885780856</v>
      </c>
      <c r="AJ513" s="0" t="n">
        <f aca="false">W_PH(AJ$2,$A513)</f>
        <v>1064.60429582957</v>
      </c>
      <c r="AK513" s="0" t="n">
        <f aca="false">W_PH(AK$2,$A513)</f>
        <v>1065.22224279701</v>
      </c>
      <c r="AL513" s="0" t="n">
        <f aca="false">W_PH(AL$2,$A513)</f>
        <v>1065.84292537576</v>
      </c>
      <c r="AM513" s="0" t="n">
        <f aca="false">W_PH(AM$2,$A513)</f>
        <v>1066.46684916611</v>
      </c>
      <c r="AN513" s="0" t="n">
        <f aca="false">W_PH(AN$2,$A513)</f>
        <v>1067.09452232731</v>
      </c>
      <c r="AO513" s="0" t="n">
        <f aca="false">W_PH(AO$2,$A513)</f>
        <v>1067.7264533987</v>
      </c>
      <c r="AP513" s="0" t="n">
        <f aca="false">W_PH(AP$2,$A513)</f>
        <v>2015</v>
      </c>
      <c r="AQ513" s="0" t="n">
        <f aca="false">W_PH(AQ$2,$A513)</f>
        <v>2015</v>
      </c>
      <c r="AR513" s="0" t="n">
        <f aca="false">W_PH(AR$2,$A513)</f>
        <v>2015</v>
      </c>
      <c r="AS513" s="0" t="n">
        <f aca="false">W_PH(AS$2,$A513)</f>
        <v>2015</v>
      </c>
    </row>
    <row r="514" customFormat="false" ht="13.8" hidden="false" customHeight="false" outlineLevel="0" collapsed="false">
      <c r="A514" s="0" t="n">
        <v>6740</v>
      </c>
      <c r="B514" s="0" t="n">
        <f aca="false">W_PH(B$2,$A514)</f>
        <v>1063.01255901518</v>
      </c>
      <c r="C514" s="0" t="n">
        <f aca="false">W_PH(C$2,$A514)</f>
        <v>1063.01262027012</v>
      </c>
      <c r="D514" s="0" t="n">
        <f aca="false">W_PH(D$2,$A514)</f>
        <v>1063.01268152505</v>
      </c>
      <c r="E514" s="0" t="n">
        <f aca="false">W_PH(E$2,$A514)</f>
        <v>1063.01274277999</v>
      </c>
      <c r="F514" s="0" t="n">
        <f aca="false">W_PH(F$2,$A514)</f>
        <v>1063.01280403493</v>
      </c>
      <c r="G514" s="0" t="n">
        <f aca="false">W_PH(G$2,$A514)</f>
        <v>1063.01341658446</v>
      </c>
      <c r="H514" s="0" t="n">
        <f aca="false">W_PH(H$2,$A514)</f>
        <v>1063.01402803255</v>
      </c>
      <c r="I514" s="0" t="n">
        <f aca="false">W_PH(I$2,$A514)</f>
        <v>1063.01463948087</v>
      </c>
      <c r="J514" s="0" t="n">
        <f aca="false">W_PH(J$2,$A514)</f>
        <v>1063.01525203113</v>
      </c>
      <c r="K514" s="0" t="n">
        <f aca="false">W_PH(K$2,$A514)</f>
        <v>1063.01586458163</v>
      </c>
      <c r="L514" s="0" t="n">
        <f aca="false">W_PH(L$2,$A514)</f>
        <v>1063.01647492899</v>
      </c>
      <c r="M514" s="0" t="n">
        <f aca="false">W_PH(M$2,$A514)</f>
        <v>1063.01708747997</v>
      </c>
      <c r="N514" s="0" t="n">
        <f aca="false">W_PH(N$2,$A514)</f>
        <v>1063.0177000312</v>
      </c>
      <c r="O514" s="0" t="n">
        <f aca="false">W_PH(O$2,$A514)</f>
        <v>1063.01831148098</v>
      </c>
      <c r="P514" s="0" t="n">
        <f aca="false">W_PH(P$2,$A514)</f>
        <v>1063.02443150078</v>
      </c>
      <c r="Q514" s="0" t="n">
        <f aca="false">W_PH(Q$2,$A514)</f>
        <v>1063.03055044386</v>
      </c>
      <c r="R514" s="0" t="n">
        <f aca="false">W_PH(R$2,$A514)</f>
        <v>1063.03666941245</v>
      </c>
      <c r="S514" s="0" t="n">
        <f aca="false">W_PH(S$2,$A514)</f>
        <v>1063.04278840705</v>
      </c>
      <c r="T514" s="0" t="n">
        <f aca="false">W_PH(T$2,$A514)</f>
        <v>1063.04890742821</v>
      </c>
      <c r="U514" s="0" t="n">
        <f aca="false">W_PH(U$2,$A514)</f>
        <v>1063.05502757816</v>
      </c>
      <c r="V514" s="0" t="n">
        <f aca="false">W_PH(V$2,$A514)</f>
        <v>1063.06114775574</v>
      </c>
      <c r="W514" s="0" t="n">
        <f aca="false">W_PH(W$2,$A514)</f>
        <v>1063.0672668597</v>
      </c>
      <c r="X514" s="0" t="n">
        <f aca="false">W_PH(X$2,$A514)</f>
        <v>1063.07338599231</v>
      </c>
      <c r="Y514" s="0" t="n">
        <f aca="false">W_PH(Y$2,$A514)</f>
        <v>1063.13458121326</v>
      </c>
      <c r="Z514" s="0" t="n">
        <f aca="false">W_PH(Z$2,$A514)</f>
        <v>1063.19578208071</v>
      </c>
      <c r="AA514" s="0" t="n">
        <f aca="false">W_PH(AA$2,$A514)</f>
        <v>1063.25698471237</v>
      </c>
      <c r="AB514" s="0" t="n">
        <f aca="false">W_PH(AB$2,$A514)</f>
        <v>1063.31819073501</v>
      </c>
      <c r="AC514" s="0" t="n">
        <f aca="false">W_PH(AC$2,$A514)</f>
        <v>1063.37940177568</v>
      </c>
      <c r="AD514" s="0" t="n">
        <f aca="false">W_PH(AD$2,$A514)</f>
        <v>1063.44061835959</v>
      </c>
      <c r="AE514" s="0" t="n">
        <f aca="false">W_PH(AE$2,$A514)</f>
        <v>1063.50184101197</v>
      </c>
      <c r="AF514" s="0" t="n">
        <f aca="false">W_PH(AF$2,$A514)</f>
        <v>1063.56306805357</v>
      </c>
      <c r="AG514" s="0" t="n">
        <f aca="false">W_PH(AG$2,$A514)</f>
        <v>1063.62430221394</v>
      </c>
      <c r="AH514" s="0" t="n">
        <f aca="false">W_PH(AH$2,$A514)</f>
        <v>1064.23712005476</v>
      </c>
      <c r="AI514" s="0" t="n">
        <f aca="false">W_PH(AI$2,$A514)</f>
        <v>1064.85114502537</v>
      </c>
      <c r="AJ514" s="0" t="n">
        <f aca="false">W_PH(AJ$2,$A514)</f>
        <v>1065.46688402948</v>
      </c>
      <c r="AK514" s="0" t="n">
        <f aca="false">W_PH(AK$2,$A514)</f>
        <v>1066.0848420506</v>
      </c>
      <c r="AL514" s="0" t="n">
        <f aca="false">W_PH(AL$2,$A514)</f>
        <v>1066.70552105837</v>
      </c>
      <c r="AM514" s="0" t="n">
        <f aca="false">W_PH(AM$2,$A514)</f>
        <v>1067.32942776372</v>
      </c>
      <c r="AN514" s="0" t="n">
        <f aca="false">W_PH(AN$2,$A514)</f>
        <v>1067.95706701804</v>
      </c>
      <c r="AO514" s="0" t="n">
        <f aca="false">W_PH(AO$2,$A514)</f>
        <v>1068.58894405279</v>
      </c>
      <c r="AP514" s="0" t="n">
        <f aca="false">W_PH(AP$2,$A514)</f>
        <v>2015</v>
      </c>
      <c r="AQ514" s="0" t="n">
        <f aca="false">W_PH(AQ$2,$A514)</f>
        <v>2015</v>
      </c>
      <c r="AR514" s="0" t="n">
        <f aca="false">W_PH(AR$2,$A514)</f>
        <v>2015</v>
      </c>
      <c r="AS514" s="0" t="n">
        <f aca="false">W_PH(AS$2,$A514)</f>
        <v>2015</v>
      </c>
    </row>
    <row r="515" customFormat="false" ht="13.8" hidden="false" customHeight="false" outlineLevel="0" collapsed="false">
      <c r="A515" s="0" t="n">
        <v>6750</v>
      </c>
      <c r="B515" s="0" t="n">
        <f aca="false">W_PH(B$2,$A515)</f>
        <v>1063.87396569794</v>
      </c>
      <c r="C515" s="0" t="n">
        <f aca="false">W_PH(C$2,$A515)</f>
        <v>1063.87402700244</v>
      </c>
      <c r="D515" s="0" t="n">
        <f aca="false">W_PH(D$2,$A515)</f>
        <v>1063.87408830696</v>
      </c>
      <c r="E515" s="0" t="n">
        <f aca="false">W_PH(E$2,$A515)</f>
        <v>1063.87414961147</v>
      </c>
      <c r="F515" s="0" t="n">
        <f aca="false">W_PH(F$2,$A515)</f>
        <v>1063.87420981519</v>
      </c>
      <c r="G515" s="0" t="n">
        <f aca="false">W_PH(G$2,$A515)</f>
        <v>1063.87482175968</v>
      </c>
      <c r="H515" s="0" t="n">
        <f aca="false">W_PH(H$2,$A515)</f>
        <v>1063.87543370441</v>
      </c>
      <c r="I515" s="0" t="n">
        <f aca="false">W_PH(I$2,$A515)</f>
        <v>1063.87604564938</v>
      </c>
      <c r="J515" s="0" t="n">
        <f aca="false">W_PH(J$2,$A515)</f>
        <v>1063.87665869539</v>
      </c>
      <c r="K515" s="0" t="n">
        <f aca="false">W_PH(K$2,$A515)</f>
        <v>1063.87726954004</v>
      </c>
      <c r="L515" s="0" t="n">
        <f aca="false">W_PH(L$2,$A515)</f>
        <v>1063.87788258653</v>
      </c>
      <c r="M515" s="0" t="n">
        <f aca="false">W_PH(M$2,$A515)</f>
        <v>1063.87849343166</v>
      </c>
      <c r="N515" s="0" t="n">
        <f aca="false">W_PH(N$2,$A515)</f>
        <v>1063.87910647863</v>
      </c>
      <c r="O515" s="0" t="n">
        <f aca="false">W_PH(O$2,$A515)</f>
        <v>1063.87971732424</v>
      </c>
      <c r="P515" s="0" t="n">
        <f aca="false">W_PH(P$2,$A515)</f>
        <v>1063.88583680175</v>
      </c>
      <c r="Q515" s="0" t="n">
        <f aca="false">W_PH(Q$2,$A515)</f>
        <v>1063.89195630399</v>
      </c>
      <c r="R515" s="0" t="n">
        <f aca="false">W_PH(R$2,$A515)</f>
        <v>1063.89807583148</v>
      </c>
      <c r="S515" s="0" t="n">
        <f aca="false">W_PH(S$2,$A515)</f>
        <v>1063.90419648557</v>
      </c>
      <c r="T515" s="0" t="n">
        <f aca="false">W_PH(T$2,$A515)</f>
        <v>1063.91031606513</v>
      </c>
      <c r="U515" s="0" t="n">
        <f aca="false">W_PH(U$2,$A515)</f>
        <v>1063.91643567152</v>
      </c>
      <c r="V515" s="0" t="n">
        <f aca="false">W_PH(V$2,$A515)</f>
        <v>1063.92255640609</v>
      </c>
      <c r="W515" s="0" t="n">
        <f aca="false">W_PH(W$2,$A515)</f>
        <v>1063.92867606768</v>
      </c>
      <c r="X515" s="0" t="n">
        <f aca="false">W_PH(X$2,$A515)</f>
        <v>1063.93479575766</v>
      </c>
      <c r="Y515" s="0" t="n">
        <f aca="false">W_PH(Y$2,$A515)</f>
        <v>1063.99599433376</v>
      </c>
      <c r="Z515" s="0" t="n">
        <f aca="false">W_PH(Z$2,$A515)</f>
        <v>1064.05719852566</v>
      </c>
      <c r="AA515" s="0" t="n">
        <f aca="false">W_PH(AA$2,$A515)</f>
        <v>1064.11840445241</v>
      </c>
      <c r="AB515" s="0" t="n">
        <f aca="false">W_PH(AB$2,$A515)</f>
        <v>1064.17961483877</v>
      </c>
      <c r="AC515" s="0" t="n">
        <f aca="false">W_PH(AC$2,$A515)</f>
        <v>1064.24082910651</v>
      </c>
      <c r="AD515" s="0" t="n">
        <f aca="false">W_PH(AD$2,$A515)</f>
        <v>1064.30204887968</v>
      </c>
      <c r="AE515" s="0" t="n">
        <f aca="false">W_PH(AE$2,$A515)</f>
        <v>1064.36327468126</v>
      </c>
      <c r="AF515" s="0" t="n">
        <f aca="false">W_PH(AF$2,$A515)</f>
        <v>1064.42450593293</v>
      </c>
      <c r="AG515" s="0" t="n">
        <f aca="false">W_PH(AG$2,$A515)</f>
        <v>1064.48574315758</v>
      </c>
      <c r="AH515" s="0" t="n">
        <f aca="false">W_PH(AH$2,$A515)</f>
        <v>1065.09859093368</v>
      </c>
      <c r="AI515" s="0" t="n">
        <f aca="false">W_PH(AI$2,$A515)</f>
        <v>1065.71264232251</v>
      </c>
      <c r="AJ515" s="0" t="n">
        <f aca="false">W_PH(AJ$2,$A515)</f>
        <v>1066.32839871928</v>
      </c>
      <c r="AK515" s="0" t="n">
        <f aca="false">W_PH(AK$2,$A515)</f>
        <v>1066.94636401213</v>
      </c>
      <c r="AL515" s="0" t="n">
        <f aca="false">W_PH(AL$2,$A515)</f>
        <v>1067.56703687448</v>
      </c>
      <c r="AM515" s="0" t="n">
        <f aca="false">W_PH(AM$2,$A515)</f>
        <v>1068.19092292784</v>
      </c>
      <c r="AN515" s="0" t="n">
        <f aca="false">W_PH(AN$2,$A515)</f>
        <v>1068.81852594072</v>
      </c>
      <c r="AO515" s="0" t="n">
        <f aca="false">W_PH(AO$2,$A515)</f>
        <v>1069.45034785384</v>
      </c>
      <c r="AP515" s="0" t="n">
        <f aca="false">W_PH(AP$2,$A515)</f>
        <v>2015</v>
      </c>
      <c r="AQ515" s="0" t="n">
        <f aca="false">W_PH(AQ$2,$A515)</f>
        <v>2015</v>
      </c>
      <c r="AR515" s="0" t="n">
        <f aca="false">W_PH(AR$2,$A515)</f>
        <v>2015</v>
      </c>
      <c r="AS515" s="0" t="n">
        <f aca="false">W_PH(AS$2,$A515)</f>
        <v>2015</v>
      </c>
    </row>
    <row r="516" customFormat="false" ht="13.8" hidden="false" customHeight="false" outlineLevel="0" collapsed="false">
      <c r="A516" s="0" t="n">
        <v>6760</v>
      </c>
      <c r="B516" s="0" t="n">
        <f aca="false">W_PH(B$2,$A516)</f>
        <v>1064.73431449753</v>
      </c>
      <c r="C516" s="0" t="n">
        <f aca="false">W_PH(C$2,$A516)</f>
        <v>1064.73437585093</v>
      </c>
      <c r="D516" s="0" t="n">
        <f aca="false">W_PH(D$2,$A516)</f>
        <v>1064.73443720432</v>
      </c>
      <c r="E516" s="0" t="n">
        <f aca="false">W_PH(E$2,$A516)</f>
        <v>1064.73449855772</v>
      </c>
      <c r="F516" s="0" t="n">
        <f aca="false">W_PH(F$2,$A516)</f>
        <v>1064.7345588112</v>
      </c>
      <c r="G516" s="0" t="n">
        <f aca="false">W_PH(G$2,$A516)</f>
        <v>1064.7351712454</v>
      </c>
      <c r="H516" s="0" t="n">
        <f aca="false">W_PH(H$2,$A516)</f>
        <v>1064.73578257992</v>
      </c>
      <c r="I516" s="0" t="n">
        <f aca="false">W_PH(I$2,$A516)</f>
        <v>1064.7363950146</v>
      </c>
      <c r="J516" s="0" t="n">
        <f aca="false">W_PH(J$2,$A516)</f>
        <v>1064.73700744951</v>
      </c>
      <c r="K516" s="0" t="n">
        <f aca="false">W_PH(K$2,$A516)</f>
        <v>1064.73761878474</v>
      </c>
      <c r="L516" s="0" t="n">
        <f aca="false">W_PH(L$2,$A516)</f>
        <v>1064.73823012021</v>
      </c>
      <c r="M516" s="0" t="n">
        <f aca="false">W_PH(M$2,$A516)</f>
        <v>1064.73884365575</v>
      </c>
      <c r="N516" s="0" t="n">
        <f aca="false">W_PH(N$2,$A516)</f>
        <v>1064.7394549917</v>
      </c>
      <c r="O516" s="0" t="n">
        <f aca="false">W_PH(O$2,$A516)</f>
        <v>1064.74006632788</v>
      </c>
      <c r="P516" s="0" t="n">
        <f aca="false">W_PH(P$2,$A516)</f>
        <v>1064.74618630249</v>
      </c>
      <c r="Q516" s="0" t="n">
        <f aca="false">W_PH(Q$2,$A516)</f>
        <v>1064.75230630158</v>
      </c>
      <c r="R516" s="0" t="n">
        <f aca="false">W_PH(R$2,$A516)</f>
        <v>1064.75842632568</v>
      </c>
      <c r="S516" s="0" t="n">
        <f aca="false">W_PH(S$2,$A516)</f>
        <v>1064.7645463753</v>
      </c>
      <c r="T516" s="0" t="n">
        <f aca="false">W_PH(T$2,$A516)</f>
        <v>1064.77066645097</v>
      </c>
      <c r="U516" s="0" t="n">
        <f aca="false">W_PH(U$2,$A516)</f>
        <v>1064.7767865532</v>
      </c>
      <c r="V516" s="0" t="n">
        <f aca="false">W_PH(V$2,$A516)</f>
        <v>1064.78290668252</v>
      </c>
      <c r="W516" s="0" t="n">
        <f aca="false">W_PH(W$2,$A516)</f>
        <v>1064.78902683945</v>
      </c>
      <c r="X516" s="0" t="n">
        <f aca="false">W_PH(X$2,$A516)</f>
        <v>1064.7951470245</v>
      </c>
      <c r="Y516" s="0" t="n">
        <f aca="false">W_PH(Y$2,$A516)</f>
        <v>1064.85635053659</v>
      </c>
      <c r="Z516" s="0" t="n">
        <f aca="false">W_PH(Z$2,$A516)</f>
        <v>1064.91755743415</v>
      </c>
      <c r="AA516" s="0" t="n">
        <f aca="false">W_PH(AA$2,$A516)</f>
        <v>1064.97876603752</v>
      </c>
      <c r="AB516" s="0" t="n">
        <f aca="false">W_PH(AB$2,$A516)</f>
        <v>1065.03997906747</v>
      </c>
      <c r="AC516" s="0" t="n">
        <f aca="false">W_PH(AC$2,$A516)</f>
        <v>1065.10119704474</v>
      </c>
      <c r="AD516" s="0" t="n">
        <f aca="false">W_PH(AD$2,$A516)</f>
        <v>1065.16242049009</v>
      </c>
      <c r="AE516" s="0" t="n">
        <f aca="false">W_PH(AE$2,$A516)</f>
        <v>1065.22364992433</v>
      </c>
      <c r="AF516" s="0" t="n">
        <f aca="false">W_PH(AF$2,$A516)</f>
        <v>1065.28488366732</v>
      </c>
      <c r="AG516" s="0" t="n">
        <f aca="false">W_PH(AG$2,$A516)</f>
        <v>1065.34612444063</v>
      </c>
      <c r="AH516" s="0" t="n">
        <f aca="false">W_PH(AH$2,$A516)</f>
        <v>1065.95900041768</v>
      </c>
      <c r="AI516" s="0" t="n">
        <f aca="false">W_PH(AI$2,$A516)</f>
        <v>1066.5730732409</v>
      </c>
      <c r="AJ516" s="0" t="n">
        <f aca="false">W_PH(AJ$2,$A516)</f>
        <v>1067.18884432265</v>
      </c>
      <c r="AK516" s="0" t="n">
        <f aca="false">W_PH(AK$2,$A516)</f>
        <v>1067.80681205945</v>
      </c>
      <c r="AL516" s="0" t="n">
        <f aca="false">W_PH(AL$2,$A516)</f>
        <v>1068.42747735821</v>
      </c>
      <c r="AM516" s="0" t="n">
        <f aca="false">W_PH(AM$2,$A516)</f>
        <v>1069.05134035163</v>
      </c>
      <c r="AN516" s="0" t="n">
        <f aca="false">W_PH(AN$2,$A516)</f>
        <v>1069.67890373536</v>
      </c>
      <c r="AO516" s="0" t="n">
        <f aca="false">W_PH(AO$2,$A516)</f>
        <v>1070.31066727831</v>
      </c>
      <c r="AP516" s="0" t="n">
        <f aca="false">W_PH(AP$2,$A516)</f>
        <v>2015</v>
      </c>
      <c r="AQ516" s="0" t="n">
        <f aca="false">W_PH(AQ$2,$A516)</f>
        <v>2015</v>
      </c>
      <c r="AR516" s="0" t="n">
        <f aca="false">W_PH(AR$2,$A516)</f>
        <v>2015</v>
      </c>
      <c r="AS516" s="0" t="n">
        <f aca="false">W_PH(AS$2,$A516)</f>
        <v>2015</v>
      </c>
    </row>
    <row r="517" customFormat="false" ht="13.8" hidden="false" customHeight="false" outlineLevel="0" collapsed="false">
      <c r="A517" s="0" t="n">
        <v>6770</v>
      </c>
      <c r="B517" s="0" t="n">
        <f aca="false">W_PH(B$2,$A517)</f>
        <v>1065.59360959101</v>
      </c>
      <c r="C517" s="0" t="n">
        <f aca="false">W_PH(C$2,$A517)</f>
        <v>1065.59367099259</v>
      </c>
      <c r="D517" s="0" t="n">
        <f aca="false">W_PH(D$2,$A517)</f>
        <v>1065.59373239418</v>
      </c>
      <c r="E517" s="0" t="n">
        <f aca="false">W_PH(E$2,$A517)</f>
        <v>1065.59379379578</v>
      </c>
      <c r="F517" s="0" t="n">
        <f aca="false">W_PH(F$2,$A517)</f>
        <v>1065.59385409834</v>
      </c>
      <c r="G517" s="0" t="n">
        <f aca="false">W_PH(G$2,$A517)</f>
        <v>1065.59446701538</v>
      </c>
      <c r="H517" s="0" t="n">
        <f aca="false">W_PH(H$2,$A517)</f>
        <v>1065.59507883361</v>
      </c>
      <c r="I517" s="0" t="n">
        <f aca="false">W_PH(I$2,$A517)</f>
        <v>1065.59569065209</v>
      </c>
      <c r="J517" s="0" t="n">
        <f aca="false">W_PH(J$2,$A517)</f>
        <v>1065.59630247079</v>
      </c>
      <c r="K517" s="0" t="n">
        <f aca="false">W_PH(K$2,$A517)</f>
        <v>1065.59691428973</v>
      </c>
      <c r="L517" s="0" t="n">
        <f aca="false">W_PH(L$2,$A517)</f>
        <v>1065.59752610891</v>
      </c>
      <c r="M517" s="0" t="n">
        <f aca="false">W_PH(M$2,$A517)</f>
        <v>1065.59813792832</v>
      </c>
      <c r="N517" s="0" t="n">
        <f aca="false">W_PH(N$2,$A517)</f>
        <v>1065.59874974796</v>
      </c>
      <c r="O517" s="0" t="n">
        <f aca="false">W_PH(O$2,$A517)</f>
        <v>1065.59936266689</v>
      </c>
      <c r="P517" s="0" t="n">
        <f aca="false">W_PH(P$2,$A517)</f>
        <v>1065.60548197788</v>
      </c>
      <c r="Q517" s="0" t="n">
        <f aca="false">W_PH(Q$2,$A517)</f>
        <v>1065.61160241217</v>
      </c>
      <c r="R517" s="0" t="n">
        <f aca="false">W_PH(R$2,$A517)</f>
        <v>1065.61772287121</v>
      </c>
      <c r="S517" s="0" t="n">
        <f aca="false">W_PH(S$2,$A517)</f>
        <v>1065.62384335553</v>
      </c>
      <c r="T517" s="0" t="n">
        <f aca="false">W_PH(T$2,$A517)</f>
        <v>1065.62996386565</v>
      </c>
      <c r="U517" s="0" t="n">
        <f aca="false">W_PH(U$2,$A517)</f>
        <v>1065.63608440209</v>
      </c>
      <c r="V517" s="0" t="n">
        <f aca="false">W_PH(V$2,$A517)</f>
        <v>1065.64220496536</v>
      </c>
      <c r="W517" s="0" t="n">
        <f aca="false">W_PH(W$2,$A517)</f>
        <v>1065.64832555598</v>
      </c>
      <c r="X517" s="0" t="n">
        <f aca="false">W_PH(X$2,$A517)</f>
        <v>1065.65444617448</v>
      </c>
      <c r="Y517" s="0" t="n">
        <f aca="false">W_PH(Y$2,$A517)</f>
        <v>1065.71565180809</v>
      </c>
      <c r="Z517" s="0" t="n">
        <f aca="false">W_PH(Z$2,$A517)</f>
        <v>1065.77686079886</v>
      </c>
      <c r="AA517" s="0" t="n">
        <f aca="false">W_PH(AA$2,$A517)</f>
        <v>1065.83807366528</v>
      </c>
      <c r="AB517" s="0" t="n">
        <f aca="false">W_PH(AB$2,$A517)</f>
        <v>1065.89928982649</v>
      </c>
      <c r="AC517" s="0" t="n">
        <f aca="false">W_PH(AC$2,$A517)</f>
        <v>1065.96051090026</v>
      </c>
      <c r="AD517" s="0" t="n">
        <f aca="false">W_PH(AD$2,$A517)</f>
        <v>1066.02173630568</v>
      </c>
      <c r="AE517" s="0" t="n">
        <f aca="false">W_PH(AE$2,$A517)</f>
        <v>1066.08296766069</v>
      </c>
      <c r="AF517" s="0" t="n">
        <f aca="false">W_PH(AF$2,$A517)</f>
        <v>1066.14420548392</v>
      </c>
      <c r="AG517" s="0" t="n">
        <f aca="false">W_PH(AG$2,$A517)</f>
        <v>1066.20544809474</v>
      </c>
      <c r="AH517" s="0" t="n">
        <f aca="false">W_PH(AH$2,$A517)</f>
        <v>1066.81834839007</v>
      </c>
      <c r="AI517" s="0" t="n">
        <f aca="false">W_PH(AI$2,$A517)</f>
        <v>1067.43244102482</v>
      </c>
      <c r="AJ517" s="0" t="n">
        <f aca="false">W_PH(AJ$2,$A517)</f>
        <v>1068.04822303642</v>
      </c>
      <c r="AK517" s="0" t="n">
        <f aca="false">W_PH(AK$2,$A517)</f>
        <v>1068.66619065148</v>
      </c>
      <c r="AL517" s="0" t="n">
        <f aca="false">W_PH(AL$2,$A517)</f>
        <v>1069.2868448132</v>
      </c>
      <c r="AM517" s="0" t="n">
        <f aca="false">W_PH(AM$2,$A517)</f>
        <v>1069.91068238913</v>
      </c>
      <c r="AN517" s="0" t="n">
        <f aca="false">W_PH(AN$2,$A517)</f>
        <v>1070.53820280803</v>
      </c>
      <c r="AO517" s="0" t="n">
        <f aca="false">W_PH(AO$2,$A517)</f>
        <v>1071.16990699128</v>
      </c>
      <c r="AP517" s="0" t="n">
        <f aca="false">W_PH(AP$2,$A517)</f>
        <v>2015</v>
      </c>
      <c r="AQ517" s="0" t="n">
        <f aca="false">W_PH(AQ$2,$A517)</f>
        <v>2015</v>
      </c>
      <c r="AR517" s="0" t="n">
        <f aca="false">W_PH(AR$2,$A517)</f>
        <v>2015</v>
      </c>
      <c r="AS517" s="0" t="n">
        <f aca="false">W_PH(AS$2,$A517)</f>
        <v>2015</v>
      </c>
    </row>
    <row r="518" customFormat="false" ht="13.8" hidden="false" customHeight="false" outlineLevel="0" collapsed="false">
      <c r="A518" s="0" t="n">
        <v>6780</v>
      </c>
      <c r="B518" s="0" t="n">
        <f aca="false">W_PH(B$2,$A518)</f>
        <v>1066.45185513438</v>
      </c>
      <c r="C518" s="0" t="n">
        <f aca="false">W_PH(C$2,$A518)</f>
        <v>1066.45191548533</v>
      </c>
      <c r="D518" s="0" t="n">
        <f aca="false">W_PH(D$2,$A518)</f>
        <v>1066.45197693444</v>
      </c>
      <c r="E518" s="0" t="n">
        <f aca="false">W_PH(E$2,$A518)</f>
        <v>1066.45203728539</v>
      </c>
      <c r="F518" s="0" t="n">
        <f aca="false">W_PH(F$2,$A518)</f>
        <v>1066.4520987345</v>
      </c>
      <c r="G518" s="0" t="n">
        <f aca="false">W_PH(G$2,$A518)</f>
        <v>1066.45271102941</v>
      </c>
      <c r="H518" s="0" t="n">
        <f aca="false">W_PH(H$2,$A518)</f>
        <v>1066.45332332456</v>
      </c>
      <c r="I518" s="0" t="n">
        <f aca="false">W_PH(I$2,$A518)</f>
        <v>1066.45393561994</v>
      </c>
      <c r="J518" s="0" t="n">
        <f aca="false">W_PH(J$2,$A518)</f>
        <v>1066.45454791555</v>
      </c>
      <c r="K518" s="0" t="n">
        <f aca="false">W_PH(K$2,$A518)</f>
        <v>1066.45516021139</v>
      </c>
      <c r="L518" s="0" t="n">
        <f aca="false">W_PH(L$2,$A518)</f>
        <v>1066.45577140931</v>
      </c>
      <c r="M518" s="0" t="n">
        <f aca="false">W_PH(M$2,$A518)</f>
        <v>1066.45638370561</v>
      </c>
      <c r="N518" s="0" t="n">
        <f aca="false">W_PH(N$2,$A518)</f>
        <v>1066.456994904</v>
      </c>
      <c r="O518" s="0" t="n">
        <f aca="false">W_PH(O$2,$A518)</f>
        <v>1066.45760720077</v>
      </c>
      <c r="P518" s="0" t="n">
        <f aca="false">W_PH(P$2,$A518)</f>
        <v>1066.46372798522</v>
      </c>
      <c r="Q518" s="0" t="n">
        <f aca="false">W_PH(Q$2,$A518)</f>
        <v>1066.46984879366</v>
      </c>
      <c r="R518" s="0" t="n">
        <f aca="false">W_PH(R$2,$A518)</f>
        <v>1066.47596962663</v>
      </c>
      <c r="S518" s="0" t="n">
        <f aca="false">W_PH(S$2,$A518)</f>
        <v>1066.48209048464</v>
      </c>
      <c r="T518" s="0" t="n">
        <f aca="false">W_PH(T$2,$A518)</f>
        <v>1066.48821136819</v>
      </c>
      <c r="U518" s="0" t="n">
        <f aca="false">W_PH(U$2,$A518)</f>
        <v>1066.49433117963</v>
      </c>
      <c r="V518" s="0" t="n">
        <f aca="false">W_PH(V$2,$A518)</f>
        <v>1066.50045211583</v>
      </c>
      <c r="W518" s="0" t="n">
        <f aca="false">W_PH(W$2,$A518)</f>
        <v>1066.50657198093</v>
      </c>
      <c r="X518" s="0" t="n">
        <f aca="false">W_PH(X$2,$A518)</f>
        <v>1066.51269297185</v>
      </c>
      <c r="Y518" s="0" t="n">
        <f aca="false">W_PH(Y$2,$A518)</f>
        <v>1066.57390231705</v>
      </c>
      <c r="Z518" s="0" t="n">
        <f aca="false">W_PH(Z$2,$A518)</f>
        <v>1066.63511389334</v>
      </c>
      <c r="AA518" s="0" t="n">
        <f aca="false">W_PH(AA$2,$A518)</f>
        <v>1066.69632931521</v>
      </c>
      <c r="AB518" s="0" t="n">
        <f aca="false">W_PH(AB$2,$A518)</f>
        <v>1066.75754800052</v>
      </c>
      <c r="AC518" s="0" t="n">
        <f aca="false">W_PH(AC$2,$A518)</f>
        <v>1066.81877156396</v>
      </c>
      <c r="AD518" s="0" t="n">
        <f aca="false">W_PH(AD$2,$A518)</f>
        <v>1066.87999942333</v>
      </c>
      <c r="AE518" s="0" t="n">
        <f aca="false">W_PH(AE$2,$A518)</f>
        <v>1066.9412331935</v>
      </c>
      <c r="AF518" s="0" t="n">
        <f aca="false">W_PH(AF$2,$A518)</f>
        <v>1067.00247229221</v>
      </c>
      <c r="AG518" s="0" t="n">
        <f aca="false">W_PH(AG$2,$A518)</f>
        <v>1067.06371833452</v>
      </c>
      <c r="AH518" s="0" t="n">
        <f aca="false">W_PH(AH$2,$A518)</f>
        <v>1067.67664132226</v>
      </c>
      <c r="AI518" s="0" t="n">
        <f aca="false">W_PH(AI$2,$A518)</f>
        <v>1068.29074889905</v>
      </c>
      <c r="AJ518" s="0" t="n">
        <f aca="false">W_PH(AJ$2,$A518)</f>
        <v>1068.90653814147</v>
      </c>
      <c r="AK518" s="0" t="n">
        <f aca="false">W_PH(AK$2,$A518)</f>
        <v>1069.52450422267</v>
      </c>
      <c r="AL518" s="0" t="n">
        <f aca="false">W_PH(AL$2,$A518)</f>
        <v>1070.14514262706</v>
      </c>
      <c r="AM518" s="0" t="n">
        <f aca="false">W_PH(AM$2,$A518)</f>
        <v>1070.76895247833</v>
      </c>
      <c r="AN518" s="0" t="n">
        <f aca="false">W_PH(AN$2,$A518)</f>
        <v>1071.39642775136</v>
      </c>
      <c r="AO518" s="0" t="n">
        <f aca="false">W_PH(AO$2,$A518)</f>
        <v>1072.02806721812</v>
      </c>
      <c r="AP518" s="0" t="n">
        <f aca="false">W_PH(AP$2,$A518)</f>
        <v>2015</v>
      </c>
      <c r="AQ518" s="0" t="n">
        <f aca="false">W_PH(AQ$2,$A518)</f>
        <v>2015</v>
      </c>
      <c r="AR518" s="0" t="n">
        <f aca="false">W_PH(AR$2,$A518)</f>
        <v>2015</v>
      </c>
      <c r="AS518" s="0" t="n">
        <f aca="false">W_PH(AS$2,$A518)</f>
        <v>2015</v>
      </c>
    </row>
    <row r="519" customFormat="false" ht="13.8" hidden="false" customHeight="false" outlineLevel="0" collapsed="false">
      <c r="A519" s="0" t="n">
        <v>6790</v>
      </c>
      <c r="B519" s="0" t="n">
        <f aca="false">W_PH(B$2,$A519)</f>
        <v>1067.3090530683</v>
      </c>
      <c r="C519" s="0" t="n">
        <f aca="false">W_PH(C$2,$A519)</f>
        <v>1067.30911346697</v>
      </c>
      <c r="D519" s="0" t="n">
        <f aca="false">W_PH(D$2,$A519)</f>
        <v>1067.30917496292</v>
      </c>
      <c r="E519" s="0" t="n">
        <f aca="false">W_PH(E$2,$A519)</f>
        <v>1067.30923536159</v>
      </c>
      <c r="F519" s="0" t="n">
        <f aca="false">W_PH(F$2,$A519)</f>
        <v>1067.30929685754</v>
      </c>
      <c r="G519" s="0" t="n">
        <f aca="false">W_PH(G$2,$A519)</f>
        <v>1067.30990962262</v>
      </c>
      <c r="H519" s="0" t="n">
        <f aca="false">W_PH(H$2,$A519)</f>
        <v>1067.31052129066</v>
      </c>
      <c r="I519" s="0" t="n">
        <f aca="false">W_PH(I$2,$A519)</f>
        <v>1067.31113295892</v>
      </c>
      <c r="J519" s="0" t="n">
        <f aca="false">W_PH(J$2,$A519)</f>
        <v>1067.31174572469</v>
      </c>
      <c r="K519" s="0" t="n">
        <f aca="false">W_PH(K$2,$A519)</f>
        <v>1067.31235849069</v>
      </c>
      <c r="L519" s="0" t="n">
        <f aca="false">W_PH(L$2,$A519)</f>
        <v>1067.31296906236</v>
      </c>
      <c r="M519" s="0" t="n">
        <f aca="false">W_PH(M$2,$A519)</f>
        <v>1067.31358182882</v>
      </c>
      <c r="N519" s="0" t="n">
        <f aca="false">W_PH(N$2,$A519)</f>
        <v>1067.31419459551</v>
      </c>
      <c r="O519" s="0" t="n">
        <f aca="false">W_PH(O$2,$A519)</f>
        <v>1067.31480516788</v>
      </c>
      <c r="P519" s="0" t="n">
        <f aca="false">W_PH(P$2,$A519)</f>
        <v>1067.32092626632</v>
      </c>
      <c r="Q519" s="0" t="n">
        <f aca="false">W_PH(Q$2,$A519)</f>
        <v>1067.32704738854</v>
      </c>
      <c r="R519" s="0" t="n">
        <f aca="false">W_PH(R$2,$A519)</f>
        <v>1067.33316853503</v>
      </c>
      <c r="S519" s="0" t="n">
        <f aca="false">W_PH(S$2,$A519)</f>
        <v>1067.33928970632</v>
      </c>
      <c r="T519" s="0" t="n">
        <f aca="false">W_PH(T$2,$A519)</f>
        <v>1067.34541090293</v>
      </c>
      <c r="U519" s="0" t="n">
        <f aca="false">W_PH(U$2,$A519)</f>
        <v>1067.35153102804</v>
      </c>
      <c r="V519" s="0" t="n">
        <f aca="false">W_PH(V$2,$A519)</f>
        <v>1067.35765117948</v>
      </c>
      <c r="W519" s="0" t="n">
        <f aca="false">W_PH(W$2,$A519)</f>
        <v>1067.36377245509</v>
      </c>
      <c r="X519" s="0" t="n">
        <f aca="false">W_PH(X$2,$A519)</f>
        <v>1067.36989375806</v>
      </c>
      <c r="Y519" s="0" t="n">
        <f aca="false">W_PH(Y$2,$A519)</f>
        <v>1067.43110401653</v>
      </c>
      <c r="Z519" s="0" t="n">
        <f aca="false">W_PH(Z$2,$A519)</f>
        <v>1067.49231867418</v>
      </c>
      <c r="AA519" s="0" t="n">
        <f aca="false">W_PH(AA$2,$A519)</f>
        <v>1067.55353605028</v>
      </c>
      <c r="AB519" s="0" t="n">
        <f aca="false">W_PH(AB$2,$A519)</f>
        <v>1067.61475665879</v>
      </c>
      <c r="AC519" s="0" t="n">
        <f aca="false">W_PH(AC$2,$A519)</f>
        <v>1067.67598320897</v>
      </c>
      <c r="AD519" s="0" t="n">
        <f aca="false">W_PH(AD$2,$A519)</f>
        <v>1067.73721292214</v>
      </c>
      <c r="AE519" s="0" t="n">
        <f aca="false">W_PH(AE$2,$A519)</f>
        <v>1067.79844850769</v>
      </c>
      <c r="AF519" s="0" t="n">
        <f aca="false">W_PH(AF$2,$A519)</f>
        <v>1067.85969047989</v>
      </c>
      <c r="AG519" s="0" t="n">
        <f aca="false">W_PH(AG$2,$A519)</f>
        <v>1067.92093935303</v>
      </c>
      <c r="AH519" s="0" t="n">
        <f aca="false">W_PH(AH$2,$A519)</f>
        <v>1068.53387906549</v>
      </c>
      <c r="AI519" s="0" t="n">
        <f aca="false">W_PH(AI$2,$A519)</f>
        <v>1069.14800006908</v>
      </c>
      <c r="AJ519" s="0" t="n">
        <f aca="false">W_PH(AJ$2,$A519)</f>
        <v>1069.76379289872</v>
      </c>
      <c r="AK519" s="0" t="n">
        <f aca="false">W_PH(AK$2,$A519)</f>
        <v>1070.38175498284</v>
      </c>
      <c r="AL519" s="0" t="n">
        <f aca="false">W_PH(AL$2,$A519)</f>
        <v>1071.00237526688</v>
      </c>
      <c r="AM519" s="0" t="n">
        <f aca="false">W_PH(AM$2,$A519)</f>
        <v>1071.62615403533</v>
      </c>
      <c r="AN519" s="0" t="n">
        <f aca="false">W_PH(AN$2,$A519)</f>
        <v>1072.25358092825</v>
      </c>
      <c r="AO519" s="0" t="n">
        <f aca="false">W_PH(AO$2,$A519)</f>
        <v>1072.8851547859</v>
      </c>
      <c r="AP519" s="0" t="n">
        <f aca="false">W_PH(AP$2,$A519)</f>
        <v>2015</v>
      </c>
      <c r="AQ519" s="0" t="n">
        <f aca="false">W_PH(AQ$2,$A519)</f>
        <v>2015</v>
      </c>
      <c r="AR519" s="0" t="n">
        <f aca="false">W_PH(AR$2,$A519)</f>
        <v>2015</v>
      </c>
      <c r="AS519" s="0" t="n">
        <f aca="false">W_PH(AS$2,$A519)</f>
        <v>2015</v>
      </c>
    </row>
    <row r="520" customFormat="false" ht="13.8" hidden="false" customHeight="false" outlineLevel="0" collapsed="false">
      <c r="A520" s="0" t="n">
        <v>6800</v>
      </c>
      <c r="B520" s="0" t="n">
        <f aca="false">W_PH(B$2,$A520)</f>
        <v>1068.16520751252</v>
      </c>
      <c r="C520" s="0" t="n">
        <f aca="false">W_PH(C$2,$A520)</f>
        <v>1068.16526795824</v>
      </c>
      <c r="D520" s="0" t="n">
        <f aca="false">W_PH(D$2,$A520)</f>
        <v>1068.16532840396</v>
      </c>
      <c r="E520" s="0" t="n">
        <f aca="false">W_PH(E$2,$A520)</f>
        <v>1068.16538994608</v>
      </c>
      <c r="F520" s="0" t="n">
        <f aca="false">W_PH(F$2,$A520)</f>
        <v>1068.16545148821</v>
      </c>
      <c r="G520" s="0" t="n">
        <f aca="false">W_PH(G$2,$A520)</f>
        <v>1068.16606362038</v>
      </c>
      <c r="H520" s="0" t="n">
        <f aca="false">W_PH(H$2,$A520)</f>
        <v>1068.16667575277</v>
      </c>
      <c r="I520" s="0" t="n">
        <f aca="false">W_PH(I$2,$A520)</f>
        <v>1068.16728788539</v>
      </c>
      <c r="J520" s="0" t="n">
        <f aca="false">W_PH(J$2,$A520)</f>
        <v>1068.16790001824</v>
      </c>
      <c r="K520" s="0" t="n">
        <f aca="false">W_PH(K$2,$A520)</f>
        <v>1068.16851215132</v>
      </c>
      <c r="L520" s="0" t="n">
        <f aca="false">W_PH(L$2,$A520)</f>
        <v>1068.16912428463</v>
      </c>
      <c r="M520" s="0" t="n">
        <f aca="false">W_PH(M$2,$A520)</f>
        <v>1068.16973641816</v>
      </c>
      <c r="N520" s="0" t="n">
        <f aca="false">W_PH(N$2,$A520)</f>
        <v>1068.17034855192</v>
      </c>
      <c r="O520" s="0" t="n">
        <f aca="false">W_PH(O$2,$A520)</f>
        <v>1068.17095958951</v>
      </c>
      <c r="P520" s="0" t="n">
        <f aca="false">W_PH(P$2,$A520)</f>
        <v>1068.17708094218</v>
      </c>
      <c r="Q520" s="0" t="n">
        <f aca="false">W_PH(Q$2,$A520)</f>
        <v>1068.18320231838</v>
      </c>
      <c r="R520" s="0" t="n">
        <f aca="false">W_PH(R$2,$A520)</f>
        <v>1068.18932371864</v>
      </c>
      <c r="S520" s="0" t="n">
        <f aca="false">W_PH(S$2,$A520)</f>
        <v>1068.19544514345</v>
      </c>
      <c r="T520" s="0" t="n">
        <f aca="false">W_PH(T$2,$A520)</f>
        <v>1068.2015654969</v>
      </c>
      <c r="U520" s="0" t="n">
        <f aca="false">W_PH(U$2,$A520)</f>
        <v>1068.20768587592</v>
      </c>
      <c r="V520" s="0" t="n">
        <f aca="false">W_PH(V$2,$A520)</f>
        <v>1068.21380737747</v>
      </c>
      <c r="W520" s="0" t="n">
        <f aca="false">W_PH(W$2,$A520)</f>
        <v>1068.21992890563</v>
      </c>
      <c r="X520" s="0" t="n">
        <f aca="false">W_PH(X$2,$A520)</f>
        <v>1068.22605046091</v>
      </c>
      <c r="Y520" s="0" t="n">
        <f aca="false">W_PH(Y$2,$A520)</f>
        <v>1068.2872632318</v>
      </c>
      <c r="Z520" s="0" t="n">
        <f aca="false">W_PH(Z$2,$A520)</f>
        <v>1068.34847927727</v>
      </c>
      <c r="AA520" s="0" t="n">
        <f aca="false">W_PH(AA$2,$A520)</f>
        <v>1068.40969801263</v>
      </c>
      <c r="AB520" s="0" t="n">
        <f aca="false">W_PH(AB$2,$A520)</f>
        <v>1068.47092104638</v>
      </c>
      <c r="AC520" s="0" t="n">
        <f aca="false">W_PH(AC$2,$A520)</f>
        <v>1068.53214889055</v>
      </c>
      <c r="AD520" s="0" t="n">
        <f aca="false">W_PH(AD$2,$A520)</f>
        <v>1068.59338096038</v>
      </c>
      <c r="AE520" s="0" t="n">
        <f aca="false">W_PH(AE$2,$A520)</f>
        <v>1068.65461886464</v>
      </c>
      <c r="AF520" s="0" t="n">
        <f aca="false">W_PH(AF$2,$A520)</f>
        <v>1068.71586201852</v>
      </c>
      <c r="AG520" s="0" t="n">
        <f aca="false">W_PH(AG$2,$A520)</f>
        <v>1068.77711312796</v>
      </c>
      <c r="AH520" s="0" t="n">
        <f aca="false">W_PH(AH$2,$A520)</f>
        <v>1069.39006804862</v>
      </c>
      <c r="AI520" s="0" t="n">
        <f aca="false">W_PH(AI$2,$A520)</f>
        <v>1070.00419772121</v>
      </c>
      <c r="AJ520" s="0" t="n">
        <f aca="false">W_PH(AJ$2,$A520)</f>
        <v>1070.61999274669</v>
      </c>
      <c r="AK520" s="0" t="n">
        <f aca="false">W_PH(AK$2,$A520)</f>
        <v>1071.23794512504</v>
      </c>
      <c r="AL520" s="0" t="n">
        <f aca="false">W_PH(AL$2,$A520)</f>
        <v>1071.858547175</v>
      </c>
      <c r="AM520" s="0" t="n">
        <f aca="false">W_PH(AM$2,$A520)</f>
        <v>1072.48228935431</v>
      </c>
      <c r="AN520" s="0" t="n">
        <f aca="false">W_PH(AN$2,$A520)</f>
        <v>1073.10966688476</v>
      </c>
      <c r="AO520" s="0" t="n">
        <f aca="false">W_PH(AO$2,$A520)</f>
        <v>1073.7411731837</v>
      </c>
      <c r="AP520" s="0" t="n">
        <f aca="false">W_PH(AP$2,$A520)</f>
        <v>2015</v>
      </c>
      <c r="AQ520" s="0" t="n">
        <f aca="false">W_PH(AQ$2,$A520)</f>
        <v>2015</v>
      </c>
      <c r="AR520" s="0" t="n">
        <f aca="false">W_PH(AR$2,$A520)</f>
        <v>2015</v>
      </c>
      <c r="AS520" s="0" t="n">
        <f aca="false">W_PH(AS$2,$A520)</f>
        <v>2015</v>
      </c>
    </row>
    <row r="521" customFormat="false" ht="13.8" hidden="false" customHeight="false" outlineLevel="0" collapsed="false">
      <c r="A521" s="0" t="n">
        <v>6810</v>
      </c>
      <c r="B521" s="0" t="n">
        <f aca="false">W_PH(B$2,$A521)</f>
        <v>1069.02032037518</v>
      </c>
      <c r="C521" s="0" t="n">
        <f aca="false">W_PH(C$2,$A521)</f>
        <v>1069.02038196281</v>
      </c>
      <c r="D521" s="0" t="n">
        <f aca="false">W_PH(D$2,$A521)</f>
        <v>1069.02044355044</v>
      </c>
      <c r="E521" s="0" t="n">
        <f aca="false">W_PH(E$2,$A521)</f>
        <v>1069.02050404255</v>
      </c>
      <c r="F521" s="0" t="n">
        <f aca="false">W_PH(F$2,$A521)</f>
        <v>1069.02056453467</v>
      </c>
      <c r="G521" s="0" t="n">
        <f aca="false">W_PH(G$2,$A521)</f>
        <v>1069.0211782201</v>
      </c>
      <c r="H521" s="0" t="n">
        <f aca="false">W_PH(H$2,$A521)</f>
        <v>1069.02178971472</v>
      </c>
      <c r="I521" s="0" t="n">
        <f aca="false">W_PH(I$2,$A521)</f>
        <v>1069.02240120956</v>
      </c>
      <c r="J521" s="0" t="n">
        <f aca="false">W_PH(J$2,$A521)</f>
        <v>1069.02301380015</v>
      </c>
      <c r="K521" s="0" t="n">
        <f aca="false">W_PH(K$2,$A521)</f>
        <v>1069.02362639096</v>
      </c>
      <c r="L521" s="0" t="n">
        <f aca="false">W_PH(L$2,$A521)</f>
        <v>1069.02423788648</v>
      </c>
      <c r="M521" s="0" t="n">
        <f aca="false">W_PH(M$2,$A521)</f>
        <v>1069.02484938222</v>
      </c>
      <c r="N521" s="0" t="n">
        <f aca="false">W_PH(N$2,$A521)</f>
        <v>1069.02546197371</v>
      </c>
      <c r="O521" s="0" t="n">
        <f aca="false">W_PH(O$2,$A521)</f>
        <v>1069.02607456544</v>
      </c>
      <c r="P521" s="0" t="n">
        <f aca="false">W_PH(P$2,$A521)</f>
        <v>1069.03219611317</v>
      </c>
      <c r="Q521" s="0" t="n">
        <f aca="false">W_PH(Q$2,$A521)</f>
        <v>1069.03831658868</v>
      </c>
      <c r="R521" s="0" t="n">
        <f aca="false">W_PH(R$2,$A521)</f>
        <v>1069.04443708799</v>
      </c>
      <c r="S521" s="0" t="n">
        <f aca="false">W_PH(S$2,$A521)</f>
        <v>1069.05055870716</v>
      </c>
      <c r="T521" s="0" t="n">
        <f aca="false">W_PH(T$2,$A521)</f>
        <v>1069.05668035117</v>
      </c>
      <c r="U521" s="0" t="n">
        <f aca="false">W_PH(U$2,$A521)</f>
        <v>1069.06280202052</v>
      </c>
      <c r="V521" s="0" t="n">
        <f aca="false">W_PH(V$2,$A521)</f>
        <v>1069.06892262016</v>
      </c>
      <c r="W521" s="0" t="n">
        <f aca="false">W_PH(W$2,$A521)</f>
        <v>1069.07504324615</v>
      </c>
      <c r="X521" s="0" t="n">
        <f aca="false">W_PH(X$2,$A521)</f>
        <v>1069.08116499458</v>
      </c>
      <c r="Y521" s="0" t="n">
        <f aca="false">W_PH(Y$2,$A521)</f>
        <v>1069.1423796866</v>
      </c>
      <c r="Z521" s="0" t="n">
        <f aca="false">W_PH(Z$2,$A521)</f>
        <v>1069.20359762632</v>
      </c>
      <c r="AA521" s="0" t="n">
        <f aca="false">W_PH(AA$2,$A521)</f>
        <v>1069.26481822781</v>
      </c>
      <c r="AB521" s="0" t="n">
        <f aca="false">W_PH(AB$2,$A521)</f>
        <v>1069.32604309653</v>
      </c>
      <c r="AC521" s="0" t="n">
        <f aca="false">W_PH(AC$2,$A521)</f>
        <v>1069.3872716465</v>
      </c>
      <c r="AD521" s="0" t="n">
        <f aca="false">W_PH(AD$2,$A521)</f>
        <v>1069.44850548338</v>
      </c>
      <c r="AE521" s="0" t="n">
        <f aca="false">W_PH(AE$2,$A521)</f>
        <v>1069.50974511711</v>
      </c>
      <c r="AF521" s="0" t="n">
        <f aca="false">W_PH(AF$2,$A521)</f>
        <v>1069.57099105766</v>
      </c>
      <c r="AG521" s="0" t="n">
        <f aca="false">W_PH(AG$2,$A521)</f>
        <v>1069.63224162283</v>
      </c>
      <c r="AH521" s="0" t="n">
        <f aca="false">W_PH(AH$2,$A521)</f>
        <v>1070.24521028475</v>
      </c>
      <c r="AI521" s="0" t="n">
        <f aca="false">W_PH(AI$2,$A521)</f>
        <v>1070.85934612001</v>
      </c>
      <c r="AJ521" s="0" t="n">
        <f aca="false">W_PH(AJ$2,$A521)</f>
        <v>1071.47513980362</v>
      </c>
      <c r="AK521" s="0" t="n">
        <f aca="false">W_PH(AK$2,$A521)</f>
        <v>1072.0930801208</v>
      </c>
      <c r="AL521" s="0" t="n">
        <f aca="false">W_PH(AL$2,$A521)</f>
        <v>1072.71365837372</v>
      </c>
      <c r="AM521" s="0" t="n">
        <f aca="false">W_PH(AM$2,$A521)</f>
        <v>1073.33736510923</v>
      </c>
      <c r="AN521" s="0" t="n">
        <f aca="false">W_PH(AN$2,$A521)</f>
        <v>1073.96469014113</v>
      </c>
      <c r="AO521" s="0" t="n">
        <f aca="false">W_PH(AO$2,$A521)</f>
        <v>1074.59612367726</v>
      </c>
      <c r="AP521" s="0" t="n">
        <f aca="false">W_PH(AP$2,$A521)</f>
        <v>2015</v>
      </c>
      <c r="AQ521" s="0" t="n">
        <f aca="false">W_PH(AQ$2,$A521)</f>
        <v>2015</v>
      </c>
      <c r="AR521" s="0" t="n">
        <f aca="false">W_PH(AR$2,$A521)</f>
        <v>2015</v>
      </c>
      <c r="AS521" s="0" t="n">
        <f aca="false">W_PH(AS$2,$A521)</f>
        <v>2015</v>
      </c>
    </row>
    <row r="522" customFormat="false" ht="13.8" hidden="false" customHeight="false" outlineLevel="0" collapsed="false">
      <c r="A522" s="0" t="n">
        <v>6820</v>
      </c>
      <c r="B522" s="0" t="n">
        <f aca="false">W_PH(B$2,$A522)</f>
        <v>1069.87439683493</v>
      </c>
      <c r="C522" s="0" t="n">
        <f aca="false">W_PH(C$2,$A522)</f>
        <v>1069.87445737277</v>
      </c>
      <c r="D522" s="0" t="n">
        <f aca="false">W_PH(D$2,$A522)</f>
        <v>1069.87451900526</v>
      </c>
      <c r="E522" s="0" t="n">
        <f aca="false">W_PH(E$2,$A522)</f>
        <v>1069.87458063775</v>
      </c>
      <c r="F522" s="0" t="n">
        <f aca="false">W_PH(F$2,$A522)</f>
        <v>1069.87464227024</v>
      </c>
      <c r="G522" s="0" t="n">
        <f aca="false">W_PH(G$2,$A522)</f>
        <v>1069.8752542167</v>
      </c>
      <c r="H522" s="0" t="n">
        <f aca="false">W_PH(H$2,$A522)</f>
        <v>1069.87586616338</v>
      </c>
      <c r="I522" s="0" t="n">
        <f aca="false">W_PH(I$2,$A522)</f>
        <v>1069.87647811028</v>
      </c>
      <c r="J522" s="0" t="n">
        <f aca="false">W_PH(J$2,$A522)</f>
        <v>1069.87709005741</v>
      </c>
      <c r="K522" s="0" t="n">
        <f aca="false">W_PH(K$2,$A522)</f>
        <v>1069.87770200476</v>
      </c>
      <c r="L522" s="0" t="n">
        <f aca="false">W_PH(L$2,$A522)</f>
        <v>1069.87831395233</v>
      </c>
      <c r="M522" s="0" t="n">
        <f aca="false">W_PH(M$2,$A522)</f>
        <v>1069.87892590012</v>
      </c>
      <c r="N522" s="0" t="n">
        <f aca="false">W_PH(N$2,$A522)</f>
        <v>1069.87953784814</v>
      </c>
      <c r="O522" s="0" t="n">
        <f aca="false">W_PH(O$2,$A522)</f>
        <v>1069.88015089104</v>
      </c>
      <c r="P522" s="0" t="n">
        <f aca="false">W_PH(P$2,$A522)</f>
        <v>1069.88627148063</v>
      </c>
      <c r="Q522" s="0" t="n">
        <f aca="false">W_PH(Q$2,$A522)</f>
        <v>1069.89239318795</v>
      </c>
      <c r="R522" s="0" t="n">
        <f aca="false">W_PH(R$2,$A522)</f>
        <v>1069.89851491885</v>
      </c>
      <c r="S522" s="0" t="n">
        <f aca="false">W_PH(S$2,$A522)</f>
        <v>1069.90463667385</v>
      </c>
      <c r="T522" s="0" t="n">
        <f aca="false">W_PH(T$2,$A522)</f>
        <v>1069.91075735877</v>
      </c>
      <c r="U522" s="0" t="n">
        <f aca="false">W_PH(U$2,$A522)</f>
        <v>1069.91687806879</v>
      </c>
      <c r="V522" s="0" t="n">
        <f aca="false">W_PH(V$2,$A522)</f>
        <v>1069.9229998991</v>
      </c>
      <c r="W522" s="0" t="n">
        <f aca="false">W_PH(W$2,$A522)</f>
        <v>1069.92912175554</v>
      </c>
      <c r="X522" s="0" t="n">
        <f aca="false">W_PH(X$2,$A522)</f>
        <v>1069.93524363861</v>
      </c>
      <c r="Y522" s="0" t="n">
        <f aca="false">W_PH(Y$2,$A522)</f>
        <v>1069.9964596667</v>
      </c>
      <c r="Z522" s="0" t="n">
        <f aca="false">W_PH(Z$2,$A522)</f>
        <v>1070.05767782109</v>
      </c>
      <c r="AA522" s="0" t="n">
        <f aca="false">W_PH(AA$2,$A522)</f>
        <v>1070.11889970417</v>
      </c>
      <c r="AB522" s="0" t="n">
        <f aca="false">W_PH(AB$2,$A522)</f>
        <v>1070.18012691859</v>
      </c>
      <c r="AC522" s="0" t="n">
        <f aca="false">W_PH(AC$2,$A522)</f>
        <v>1070.24135668729</v>
      </c>
      <c r="AD522" s="0" t="n">
        <f aca="false">W_PH(AD$2,$A522)</f>
        <v>1070.3025917078</v>
      </c>
      <c r="AE522" s="0" t="n">
        <f aca="false">W_PH(AE$2,$A522)</f>
        <v>1070.36383248792</v>
      </c>
      <c r="AF522" s="0" t="n">
        <f aca="false">W_PH(AF$2,$A522)</f>
        <v>1070.42507844034</v>
      </c>
      <c r="AG522" s="0" t="n">
        <f aca="false">W_PH(AG$2,$A522)</f>
        <v>1070.48633116798</v>
      </c>
      <c r="AH522" s="0" t="n">
        <f aca="false">W_PH(AH$2,$A522)</f>
        <v>1071.09930777231</v>
      </c>
      <c r="AI522" s="0" t="n">
        <f aca="false">W_PH(AI$2,$A522)</f>
        <v>1071.71344731492</v>
      </c>
      <c r="AJ522" s="0" t="n">
        <f aca="false">W_PH(AJ$2,$A522)</f>
        <v>1072.32923726879</v>
      </c>
      <c r="AK522" s="0" t="n">
        <f aca="false">W_PH(AK$2,$A522)</f>
        <v>1072.94716321938</v>
      </c>
      <c r="AL522" s="0" t="n">
        <f aca="false">W_PH(AL$2,$A522)</f>
        <v>1073.56771546346</v>
      </c>
      <c r="AM522" s="0" t="n">
        <f aca="false">W_PH(AM$2,$A522)</f>
        <v>1074.19138135088</v>
      </c>
      <c r="AN522" s="0" t="n">
        <f aca="false">W_PH(AN$2,$A522)</f>
        <v>1074.81865079628</v>
      </c>
      <c r="AO522" s="0" t="n">
        <f aca="false">W_PH(AO$2,$A522)</f>
        <v>1075.45001191509</v>
      </c>
      <c r="AP522" s="0" t="n">
        <f aca="false">W_PH(AP$2,$A522)</f>
        <v>2015</v>
      </c>
      <c r="AQ522" s="0" t="n">
        <f aca="false">W_PH(AQ$2,$A522)</f>
        <v>2015</v>
      </c>
      <c r="AR522" s="0" t="n">
        <f aca="false">W_PH(AR$2,$A522)</f>
        <v>2015</v>
      </c>
      <c r="AS522" s="0" t="n">
        <f aca="false">W_PH(AS$2,$A522)</f>
        <v>2015</v>
      </c>
    </row>
    <row r="523" customFormat="false" ht="13.8" hidden="false" customHeight="false" outlineLevel="0" collapsed="false">
      <c r="A523" s="0" t="n">
        <v>6830</v>
      </c>
      <c r="B523" s="0" t="n">
        <f aca="false">W_PH(B$2,$A523)</f>
        <v>1070.72743876533</v>
      </c>
      <c r="C523" s="0" t="n">
        <f aca="false">W_PH(C$2,$A523)</f>
        <v>1070.72749934825</v>
      </c>
      <c r="D523" s="0" t="n">
        <f aca="false">W_PH(D$2,$A523)</f>
        <v>1070.72756102495</v>
      </c>
      <c r="E523" s="0" t="n">
        <f aca="false">W_PH(E$2,$A523)</f>
        <v>1070.72762270165</v>
      </c>
      <c r="F523" s="0" t="n">
        <f aca="false">W_PH(F$2,$A523)</f>
        <v>1070.72768437835</v>
      </c>
      <c r="G523" s="0" t="n">
        <f aca="false">W_PH(G$2,$A523)</f>
        <v>1070.7282956766</v>
      </c>
      <c r="H523" s="0" t="n">
        <f aca="false">W_PH(H$2,$A523)</f>
        <v>1070.72890806885</v>
      </c>
      <c r="I523" s="0" t="n">
        <f aca="false">W_PH(I$2,$A523)</f>
        <v>1070.72951936754</v>
      </c>
      <c r="J523" s="0" t="n">
        <f aca="false">W_PH(J$2,$A523)</f>
        <v>1070.73013176023</v>
      </c>
      <c r="K523" s="0" t="n">
        <f aca="false">W_PH(K$2,$A523)</f>
        <v>1070.73074415314</v>
      </c>
      <c r="L523" s="0" t="n">
        <f aca="false">W_PH(L$2,$A523)</f>
        <v>1070.73135654627</v>
      </c>
      <c r="M523" s="0" t="n">
        <f aca="false">W_PH(M$2,$A523)</f>
        <v>1070.73196893963</v>
      </c>
      <c r="N523" s="0" t="n">
        <f aca="false">W_PH(N$2,$A523)</f>
        <v>1070.7325813332</v>
      </c>
      <c r="O523" s="0" t="n">
        <f aca="false">W_PH(O$2,$A523)</f>
        <v>1070.733193727</v>
      </c>
      <c r="P523" s="0" t="n">
        <f aca="false">W_PH(P$2,$A523)</f>
        <v>1070.73931439603</v>
      </c>
      <c r="Q523" s="0" t="n">
        <f aca="false">W_PH(Q$2,$A523)</f>
        <v>1070.7454350879</v>
      </c>
      <c r="R523" s="0" t="n">
        <f aca="false">W_PH(R$2,$A523)</f>
        <v>1070.75155689691</v>
      </c>
      <c r="S523" s="0" t="n">
        <f aca="false">W_PH(S$2,$A523)</f>
        <v>1070.75767872979</v>
      </c>
      <c r="T523" s="0" t="n">
        <f aca="false">W_PH(T$2,$A523)</f>
        <v>1070.76380058703</v>
      </c>
      <c r="U523" s="0" t="n">
        <f aca="false">W_PH(U$2,$A523)</f>
        <v>1070.76992246916</v>
      </c>
      <c r="V523" s="0" t="n">
        <f aca="false">W_PH(V$2,$A523)</f>
        <v>1070.77604328284</v>
      </c>
      <c r="W523" s="0" t="n">
        <f aca="false">W_PH(W$2,$A523)</f>
        <v>1070.7821641224</v>
      </c>
      <c r="X523" s="0" t="n">
        <f aca="false">W_PH(X$2,$A523)</f>
        <v>1070.78828608217</v>
      </c>
      <c r="Y523" s="0" t="n">
        <f aca="false">W_PH(Y$2,$A523)</f>
        <v>1070.84950286711</v>
      </c>
      <c r="Z523" s="0" t="n">
        <f aca="false">W_PH(Z$2,$A523)</f>
        <v>1070.91072284688</v>
      </c>
      <c r="AA523" s="0" t="n">
        <f aca="false">W_PH(AA$2,$A523)</f>
        <v>1070.97194652704</v>
      </c>
      <c r="AB523" s="0" t="n">
        <f aca="false">W_PH(AB$2,$A523)</f>
        <v>1071.03317331914</v>
      </c>
      <c r="AC523" s="0" t="n">
        <f aca="false">W_PH(AC$2,$A523)</f>
        <v>1071.09440482273</v>
      </c>
      <c r="AD523" s="0" t="n">
        <f aca="false">W_PH(AD$2,$A523)</f>
        <v>1071.1556404493</v>
      </c>
      <c r="AE523" s="0" t="n">
        <f aca="false">W_PH(AE$2,$A523)</f>
        <v>1071.21688179862</v>
      </c>
      <c r="AF523" s="0" t="n">
        <f aca="false">W_PH(AF$2,$A523)</f>
        <v>1071.2781293764</v>
      </c>
      <c r="AG523" s="0" t="n">
        <f aca="false">W_PH(AG$2,$A523)</f>
        <v>1071.33938259406</v>
      </c>
      <c r="AH523" s="0" t="n">
        <f aca="false">W_PH(AH$2,$A523)</f>
        <v>1071.95236577995</v>
      </c>
      <c r="AI523" s="0" t="n">
        <f aca="false">W_PH(AI$2,$A523)</f>
        <v>1072.56650553116</v>
      </c>
      <c r="AJ523" s="0" t="n">
        <f aca="false">W_PH(AJ$2,$A523)</f>
        <v>1073.18228722622</v>
      </c>
      <c r="AK523" s="0" t="n">
        <f aca="false">W_PH(AK$2,$A523)</f>
        <v>1073.80019765012</v>
      </c>
      <c r="AL523" s="0" t="n">
        <f aca="false">W_PH(AL$2,$A523)</f>
        <v>1074.42072062493</v>
      </c>
      <c r="AM523" s="0" t="n">
        <f aca="false">W_PH(AM$2,$A523)</f>
        <v>1075.04434360778</v>
      </c>
      <c r="AN523" s="0" t="n">
        <f aca="false">W_PH(AN$2,$A523)</f>
        <v>1075.67155442871</v>
      </c>
      <c r="AO523" s="0" t="n">
        <f aca="false">W_PH(AO$2,$A523)</f>
        <v>1076.30283912211</v>
      </c>
      <c r="AP523" s="0" t="n">
        <f aca="false">W_PH(AP$2,$A523)</f>
        <v>2015</v>
      </c>
      <c r="AQ523" s="0" t="n">
        <f aca="false">W_PH(AQ$2,$A523)</f>
        <v>2015</v>
      </c>
      <c r="AR523" s="0" t="n">
        <f aca="false">W_PH(AR$2,$A523)</f>
        <v>2015</v>
      </c>
      <c r="AS523" s="0" t="n">
        <f aca="false">W_PH(AS$2,$A523)</f>
        <v>2015</v>
      </c>
    </row>
    <row r="524" customFormat="false" ht="13.8" hidden="false" customHeight="false" outlineLevel="0" collapsed="false">
      <c r="A524" s="0" t="n">
        <v>6840</v>
      </c>
      <c r="B524" s="0" t="n">
        <f aca="false">W_PH(B$2,$A524)</f>
        <v>1071.57945021255</v>
      </c>
      <c r="C524" s="0" t="n">
        <f aca="false">W_PH(C$2,$A524)</f>
        <v>1071.57951193281</v>
      </c>
      <c r="D524" s="0" t="n">
        <f aca="false">W_PH(D$2,$A524)</f>
        <v>1071.57957256017</v>
      </c>
      <c r="E524" s="0" t="n">
        <f aca="false">W_PH(E$2,$A524)</f>
        <v>1071.57963318753</v>
      </c>
      <c r="F524" s="0" t="n">
        <f aca="false">W_PH(F$2,$A524)</f>
        <v>1071.5796949078</v>
      </c>
      <c r="G524" s="0" t="n">
        <f aca="false">W_PH(G$2,$A524)</f>
        <v>1071.58030773896</v>
      </c>
      <c r="H524" s="0" t="n">
        <f aca="false">W_PH(H$2,$A524)</f>
        <v>1071.58091838454</v>
      </c>
      <c r="I524" s="0" t="n">
        <f aca="false">W_PH(I$2,$A524)</f>
        <v>1071.58153121614</v>
      </c>
      <c r="J524" s="0" t="n">
        <f aca="false">W_PH(J$2,$A524)</f>
        <v>1071.58214404796</v>
      </c>
      <c r="K524" s="0" t="n">
        <f aca="false">W_PH(K$2,$A524)</f>
        <v>1071.58275578709</v>
      </c>
      <c r="L524" s="0" t="n">
        <f aca="false">W_PH(L$2,$A524)</f>
        <v>1071.58336752645</v>
      </c>
      <c r="M524" s="0" t="n">
        <f aca="false">W_PH(M$2,$A524)</f>
        <v>1071.58398035893</v>
      </c>
      <c r="N524" s="0" t="n">
        <f aca="false">W_PH(N$2,$A524)</f>
        <v>1071.58459209872</v>
      </c>
      <c r="O524" s="0" t="n">
        <f aca="false">W_PH(O$2,$A524)</f>
        <v>1071.58520383873</v>
      </c>
      <c r="P524" s="0" t="n">
        <f aca="false">W_PH(P$2,$A524)</f>
        <v>1071.59132562275</v>
      </c>
      <c r="Q524" s="0" t="n">
        <f aca="false">W_PH(Q$2,$A524)</f>
        <v>1071.59744742939</v>
      </c>
      <c r="R524" s="0" t="n">
        <f aca="false">W_PH(R$2,$A524)</f>
        <v>1071.60356925917</v>
      </c>
      <c r="S524" s="0" t="n">
        <f aca="false">W_PH(S$2,$A524)</f>
        <v>1071.60969001966</v>
      </c>
      <c r="T524" s="0" t="n">
        <f aca="false">W_PH(T$2,$A524)</f>
        <v>1071.61581189721</v>
      </c>
      <c r="U524" s="0" t="n">
        <f aca="false">W_PH(U$2,$A524)</f>
        <v>1071.62193270647</v>
      </c>
      <c r="V524" s="0" t="n">
        <f aca="false">W_PH(V$2,$A524)</f>
        <v>1071.62805463381</v>
      </c>
      <c r="W524" s="0" t="n">
        <f aca="false">W_PH(W$2,$A524)</f>
        <v>1071.6341765868</v>
      </c>
      <c r="X524" s="0" t="n">
        <f aca="false">W_PH(X$2,$A524)</f>
        <v>1071.64029856595</v>
      </c>
      <c r="Y524" s="0" t="n">
        <f aca="false">W_PH(Y$2,$A524)</f>
        <v>1071.70151553464</v>
      </c>
      <c r="Z524" s="0" t="n">
        <f aca="false">W_PH(Z$2,$A524)</f>
        <v>1071.76273676522</v>
      </c>
      <c r="AA524" s="0" t="n">
        <f aca="false">W_PH(AA$2,$A524)</f>
        <v>1071.82396057506</v>
      </c>
      <c r="AB524" s="0" t="n">
        <f aca="false">W_PH(AB$2,$A524)</f>
        <v>1071.88518746747</v>
      </c>
      <c r="AC524" s="0" t="n">
        <f aca="false">W_PH(AC$2,$A524)</f>
        <v>1071.9464201323</v>
      </c>
      <c r="AD524" s="0" t="n">
        <f aca="false">W_PH(AD$2,$A524)</f>
        <v>1072.00765688668</v>
      </c>
      <c r="AE524" s="0" t="n">
        <f aca="false">W_PH(AE$2,$A524)</f>
        <v>1072.06889932737</v>
      </c>
      <c r="AF524" s="0" t="n">
        <f aca="false">W_PH(AF$2,$A524)</f>
        <v>1072.13014686459</v>
      </c>
      <c r="AG524" s="0" t="n">
        <f aca="false">W_PH(AG$2,$A524)</f>
        <v>1072.1914010953</v>
      </c>
      <c r="AH524" s="0" t="n">
        <f aca="false">W_PH(AH$2,$A524)</f>
        <v>1072.80438626923</v>
      </c>
      <c r="AI524" s="0" t="n">
        <f aca="false">W_PH(AI$2,$A524)</f>
        <v>1073.41852278274</v>
      </c>
      <c r="AJ524" s="0" t="n">
        <f aca="false">W_PH(AJ$2,$A524)</f>
        <v>1074.03429393454</v>
      </c>
      <c r="AK524" s="0" t="n">
        <f aca="false">W_PH(AK$2,$A524)</f>
        <v>1074.65218443139</v>
      </c>
      <c r="AL524" s="0" t="n">
        <f aca="false">W_PH(AL$2,$A524)</f>
        <v>1075.27267602218</v>
      </c>
      <c r="AM524" s="0" t="n">
        <f aca="false">W_PH(AM$2,$A524)</f>
        <v>1075.89625518689</v>
      </c>
      <c r="AN524" s="0" t="n">
        <f aca="false">W_PH(AN$2,$A524)</f>
        <v>1076.52340439382</v>
      </c>
      <c r="AO524" s="0" t="n">
        <f aca="false">W_PH(AO$2,$A524)</f>
        <v>1077.1546108988</v>
      </c>
      <c r="AP524" s="0" t="n">
        <f aca="false">W_PH(AP$2,$A524)</f>
        <v>2015</v>
      </c>
      <c r="AQ524" s="0" t="n">
        <f aca="false">W_PH(AQ$2,$A524)</f>
        <v>2015</v>
      </c>
      <c r="AR524" s="0" t="n">
        <f aca="false">W_PH(AR$2,$A524)</f>
        <v>2015</v>
      </c>
      <c r="AS524" s="0" t="n">
        <f aca="false">W_PH(AS$2,$A524)</f>
        <v>2015</v>
      </c>
    </row>
    <row r="525" customFormat="false" ht="13.8" hidden="false" customHeight="false" outlineLevel="0" collapsed="false">
      <c r="A525" s="0" t="n">
        <v>6850</v>
      </c>
      <c r="B525" s="0" t="n">
        <f aca="false">W_PH(B$2,$A525)</f>
        <v>1072.43043301868</v>
      </c>
      <c r="C525" s="0" t="n">
        <f aca="false">W_PH(C$2,$A525)</f>
        <v>1072.43049478187</v>
      </c>
      <c r="D525" s="0" t="n">
        <f aca="false">W_PH(D$2,$A525)</f>
        <v>1072.43055545302</v>
      </c>
      <c r="E525" s="0" t="n">
        <f aca="false">W_PH(E$2,$A525)</f>
        <v>1072.43061612418</v>
      </c>
      <c r="F525" s="0" t="n">
        <f aca="false">W_PH(F$2,$A525)</f>
        <v>1072.43067788738</v>
      </c>
      <c r="G525" s="0" t="n">
        <f aca="false">W_PH(G$2,$A525)</f>
        <v>1072.43129005927</v>
      </c>
      <c r="H525" s="0" t="n">
        <f aca="false">W_PH(H$2,$A525)</f>
        <v>1072.43190223139</v>
      </c>
      <c r="I525" s="0" t="n">
        <f aca="false">W_PH(I$2,$A525)</f>
        <v>1072.43251440372</v>
      </c>
      <c r="J525" s="0" t="n">
        <f aca="false">W_PH(J$2,$A525)</f>
        <v>1072.43312657626</v>
      </c>
      <c r="K525" s="0" t="n">
        <f aca="false">W_PH(K$2,$A525)</f>
        <v>1072.43373874902</v>
      </c>
      <c r="L525" s="0" t="n">
        <f aca="false">W_PH(L$2,$A525)</f>
        <v>1072.434350922</v>
      </c>
      <c r="M525" s="0" t="n">
        <f aca="false">W_PH(M$2,$A525)</f>
        <v>1072.4349630952</v>
      </c>
      <c r="N525" s="0" t="n">
        <f aca="false">W_PH(N$2,$A525)</f>
        <v>1072.43557526861</v>
      </c>
      <c r="O525" s="0" t="n">
        <f aca="false">W_PH(O$2,$A525)</f>
        <v>1072.43618744224</v>
      </c>
      <c r="P525" s="0" t="n">
        <f aca="false">W_PH(P$2,$A525)</f>
        <v>1072.44230809866</v>
      </c>
      <c r="Q525" s="0" t="n">
        <f aca="false">W_PH(Q$2,$A525)</f>
        <v>1072.44842986952</v>
      </c>
      <c r="R525" s="0" t="n">
        <f aca="false">W_PH(R$2,$A525)</f>
        <v>1072.4545516633</v>
      </c>
      <c r="S525" s="0" t="n">
        <f aca="false">W_PH(S$2,$A525)</f>
        <v>1072.46067348049</v>
      </c>
      <c r="T525" s="0" t="n">
        <f aca="false">W_PH(T$2,$A525)</f>
        <v>1072.4667953216</v>
      </c>
      <c r="U525" s="0" t="n">
        <f aca="false">W_PH(U$2,$A525)</f>
        <v>1072.47291718712</v>
      </c>
      <c r="V525" s="0" t="n">
        <f aca="false">W_PH(V$2,$A525)</f>
        <v>1072.47903907756</v>
      </c>
      <c r="W525" s="0" t="n">
        <f aca="false">W_PH(W$2,$A525)</f>
        <v>1072.48515990134</v>
      </c>
      <c r="X525" s="0" t="n">
        <f aca="false">W_PH(X$2,$A525)</f>
        <v>1072.49128184312</v>
      </c>
      <c r="Y525" s="0" t="n">
        <f aca="false">W_PH(Y$2,$A525)</f>
        <v>1072.55249952037</v>
      </c>
      <c r="Z525" s="0" t="n">
        <f aca="false">W_PH(Z$2,$A525)</f>
        <v>1072.61372143301</v>
      </c>
      <c r="AA525" s="0" t="n">
        <f aca="false">W_PH(AA$2,$A525)</f>
        <v>1072.67494480581</v>
      </c>
      <c r="AB525" s="0" t="n">
        <f aca="false">W_PH(AB$2,$A525)</f>
        <v>1072.73617341677</v>
      </c>
      <c r="AC525" s="0" t="n">
        <f aca="false">W_PH(AC$2,$A525)</f>
        <v>1072.79740558274</v>
      </c>
      <c r="AD525" s="0" t="n">
        <f aca="false">W_PH(AD$2,$A525)</f>
        <v>1072.85864289745</v>
      </c>
      <c r="AE525" s="0" t="n">
        <f aca="false">W_PH(AE$2,$A525)</f>
        <v>1072.91988476993</v>
      </c>
      <c r="AF525" s="0" t="n">
        <f aca="false">W_PH(AF$2,$A525)</f>
        <v>1072.98113279406</v>
      </c>
      <c r="AG525" s="0" t="n">
        <f aca="false">W_PH(AG$2,$A525)</f>
        <v>1073.04238747141</v>
      </c>
      <c r="AH525" s="0" t="n">
        <f aca="false">W_PH(AH$2,$A525)</f>
        <v>1073.65537337376</v>
      </c>
      <c r="AI525" s="0" t="n">
        <f aca="false">W_PH(AI$2,$A525)</f>
        <v>1074.26950434985</v>
      </c>
      <c r="AJ525" s="0" t="n">
        <f aca="false">W_PH(AJ$2,$A525)</f>
        <v>1074.88526272401</v>
      </c>
      <c r="AK525" s="0" t="n">
        <f aca="false">W_PH(AK$2,$A525)</f>
        <v>1075.50312894811</v>
      </c>
      <c r="AL525" s="0" t="n">
        <f aca="false">W_PH(AL$2,$A525)</f>
        <v>1076.12358599321</v>
      </c>
      <c r="AM525" s="0" t="n">
        <f aca="false">W_PH(AM$2,$A525)</f>
        <v>1076.74711718309</v>
      </c>
      <c r="AN525" s="0" t="n">
        <f aca="false">W_PH(AN$2,$A525)</f>
        <v>1077.37420402576</v>
      </c>
      <c r="AO525" s="0" t="n">
        <f aca="false">W_PH(AO$2,$A525)</f>
        <v>1078.00532842998</v>
      </c>
      <c r="AP525" s="0" t="n">
        <f aca="false">W_PH(AP$2,$A525)</f>
        <v>2015</v>
      </c>
      <c r="AQ525" s="0" t="n">
        <f aca="false">W_PH(AQ$2,$A525)</f>
        <v>2015</v>
      </c>
      <c r="AR525" s="0" t="n">
        <f aca="false">W_PH(AR$2,$A525)</f>
        <v>2015</v>
      </c>
      <c r="AS525" s="0" t="n">
        <f aca="false">W_PH(AS$2,$A525)</f>
        <v>2015</v>
      </c>
    </row>
    <row r="526" customFormat="false" ht="13.8" hidden="false" customHeight="false" outlineLevel="0" collapsed="false">
      <c r="A526" s="0" t="n">
        <v>6860</v>
      </c>
      <c r="B526" s="0" t="n">
        <f aca="false">W_PH(B$2,$A526)</f>
        <v>1073.28039119519</v>
      </c>
      <c r="C526" s="0" t="n">
        <f aca="false">W_PH(C$2,$A526)</f>
        <v>1073.28045190951</v>
      </c>
      <c r="D526" s="0" t="n">
        <f aca="false">W_PH(D$2,$A526)</f>
        <v>1073.280513715</v>
      </c>
      <c r="E526" s="0" t="n">
        <f aca="false">W_PH(E$2,$A526)</f>
        <v>1073.28057552049</v>
      </c>
      <c r="F526" s="0" t="n">
        <f aca="false">W_PH(F$2,$A526)</f>
        <v>1073.28063623482</v>
      </c>
      <c r="G526" s="0" t="n">
        <f aca="false">W_PH(G$2,$A526)</f>
        <v>1073.28124883404</v>
      </c>
      <c r="H526" s="0" t="n">
        <f aca="false">W_PH(H$2,$A526)</f>
        <v>1073.28186034231</v>
      </c>
      <c r="I526" s="0" t="n">
        <f aca="false">W_PH(I$2,$A526)</f>
        <v>1073.28247185078</v>
      </c>
      <c r="J526" s="0" t="n">
        <f aca="false">W_PH(J$2,$A526)</f>
        <v>1073.28308554181</v>
      </c>
      <c r="K526" s="0" t="n">
        <f aca="false">W_PH(K$2,$A526)</f>
        <v>1073.28369705072</v>
      </c>
      <c r="L526" s="0" t="n">
        <f aca="false">W_PH(L$2,$A526)</f>
        <v>1073.28430855984</v>
      </c>
      <c r="M526" s="0" t="n">
        <f aca="false">W_PH(M$2,$A526)</f>
        <v>1073.28492116035</v>
      </c>
      <c r="N526" s="0" t="n">
        <f aca="false">W_PH(N$2,$A526)</f>
        <v>1073.28553376107</v>
      </c>
      <c r="O526" s="0" t="n">
        <f aca="false">W_PH(O$2,$A526)</f>
        <v>1073.28614527084</v>
      </c>
      <c r="P526" s="0" t="n">
        <f aca="false">W_PH(P$2,$A526)</f>
        <v>1073.29226692755</v>
      </c>
      <c r="Q526" s="0" t="n">
        <f aca="false">W_PH(Q$2,$A526)</f>
        <v>1073.29838860647</v>
      </c>
      <c r="R526" s="0" t="n">
        <f aca="false">W_PH(R$2,$A526)</f>
        <v>1073.30451030807</v>
      </c>
      <c r="S526" s="0" t="n">
        <f aca="false">W_PH(S$2,$A526)</f>
        <v>1073.31063203287</v>
      </c>
      <c r="T526" s="0" t="n">
        <f aca="false">W_PH(T$2,$A526)</f>
        <v>1073.31675378136</v>
      </c>
      <c r="U526" s="0" t="n">
        <f aca="false">W_PH(U$2,$A526)</f>
        <v>1073.32287555404</v>
      </c>
      <c r="V526" s="0" t="n">
        <f aca="false">W_PH(V$2,$A526)</f>
        <v>1073.32899735141</v>
      </c>
      <c r="W526" s="0" t="n">
        <f aca="false">W_PH(W$2,$A526)</f>
        <v>1073.33511808276</v>
      </c>
      <c r="X526" s="0" t="n">
        <f aca="false">W_PH(X$2,$A526)</f>
        <v>1073.341239931</v>
      </c>
      <c r="Y526" s="0" t="n">
        <f aca="false">W_PH(Y$2,$A526)</f>
        <v>1073.40245884489</v>
      </c>
      <c r="Z526" s="0" t="n">
        <f aca="false">W_PH(Z$2,$A526)</f>
        <v>1073.46367978539</v>
      </c>
      <c r="AA526" s="0" t="n">
        <f aca="false">W_PH(AA$2,$A526)</f>
        <v>1073.52490434301</v>
      </c>
      <c r="AB526" s="0" t="n">
        <f aca="false">W_PH(AB$2,$A526)</f>
        <v>1073.58613192565</v>
      </c>
      <c r="AC526" s="0" t="n">
        <f aca="false">W_PH(AC$2,$A526)</f>
        <v>1073.64736412397</v>
      </c>
      <c r="AD526" s="0" t="n">
        <f aca="false">W_PH(AD$2,$A526)</f>
        <v>1073.70860143736</v>
      </c>
      <c r="AE526" s="0" t="n">
        <f aca="false">W_PH(AE$2,$A526)</f>
        <v>1073.76984436524</v>
      </c>
      <c r="AF526" s="0" t="n">
        <f aca="false">W_PH(AF$2,$A526)</f>
        <v>1073.83109231542</v>
      </c>
      <c r="AG526" s="0" t="n">
        <f aca="false">W_PH(AG$2,$A526)</f>
        <v>1073.89234578721</v>
      </c>
      <c r="AH526" s="0" t="n">
        <f aca="false">W_PH(AH$2,$A526)</f>
        <v>1074.50532902146</v>
      </c>
      <c r="AI526" s="0" t="n">
        <f aca="false">W_PH(AI$2,$A526)</f>
        <v>1075.1194511162</v>
      </c>
      <c r="AJ526" s="0" t="n">
        <f aca="false">W_PH(AJ$2,$A526)</f>
        <v>1075.73519343237</v>
      </c>
      <c r="AK526" s="0" t="n">
        <f aca="false">W_PH(AK$2,$A526)</f>
        <v>1076.3530343709</v>
      </c>
      <c r="AL526" s="0" t="n">
        <f aca="false">W_PH(AL$2,$A526)</f>
        <v>1076.97345485234</v>
      </c>
      <c r="AM526" s="0" t="n">
        <f aca="false">W_PH(AM$2,$A526)</f>
        <v>1077.59693505716</v>
      </c>
      <c r="AN526" s="0" t="n">
        <f aca="false">W_PH(AN$2,$A526)</f>
        <v>1078.22395554231</v>
      </c>
      <c r="AO526" s="0" t="n">
        <f aca="false">W_PH(AO$2,$A526)</f>
        <v>1078.85499726896</v>
      </c>
      <c r="AP526" s="0" t="n">
        <f aca="false">W_PH(AP$2,$A526)</f>
        <v>2015</v>
      </c>
      <c r="AQ526" s="0" t="n">
        <f aca="false">W_PH(AQ$2,$A526)</f>
        <v>2015</v>
      </c>
      <c r="AR526" s="0" t="n">
        <f aca="false">W_PH(AR$2,$A526)</f>
        <v>2015</v>
      </c>
      <c r="AS526" s="0" t="n">
        <f aca="false">W_PH(AS$2,$A526)</f>
        <v>2015</v>
      </c>
    </row>
    <row r="527" customFormat="false" ht="13.8" hidden="false" customHeight="false" outlineLevel="0" collapsed="false">
      <c r="A527" s="0" t="n">
        <v>6870</v>
      </c>
      <c r="B527" s="0" t="n">
        <f aca="false">W_PH(B$2,$A527)</f>
        <v>1074.12932764352</v>
      </c>
      <c r="C527" s="0" t="n">
        <f aca="false">W_PH(C$2,$A527)</f>
        <v>1074.12938949068</v>
      </c>
      <c r="D527" s="0" t="n">
        <f aca="false">W_PH(D$2,$A527)</f>
        <v>1074.12944915724</v>
      </c>
      <c r="E527" s="0" t="n">
        <f aca="false">W_PH(E$2,$A527)</f>
        <v>1074.12951100441</v>
      </c>
      <c r="F527" s="0" t="n">
        <f aca="false">W_PH(F$2,$A527)</f>
        <v>1074.12957285157</v>
      </c>
      <c r="G527" s="0" t="n">
        <f aca="false">W_PH(G$2,$A527)</f>
        <v>1074.13018478156</v>
      </c>
      <c r="H527" s="0" t="n">
        <f aca="false">W_PH(H$2,$A527)</f>
        <v>1074.13079671176</v>
      </c>
      <c r="I527" s="0" t="n">
        <f aca="false">W_PH(I$2,$A527)</f>
        <v>1074.13140864217</v>
      </c>
      <c r="J527" s="0" t="n">
        <f aca="false">W_PH(J$2,$A527)</f>
        <v>1074.13202057279</v>
      </c>
      <c r="K527" s="0" t="n">
        <f aca="false">W_PH(K$2,$A527)</f>
        <v>1074.13263250362</v>
      </c>
      <c r="L527" s="0" t="n">
        <f aca="false">W_PH(L$2,$A527)</f>
        <v>1074.13324552497</v>
      </c>
      <c r="M527" s="0" t="n">
        <f aca="false">W_PH(M$2,$A527)</f>
        <v>1074.13385745623</v>
      </c>
      <c r="N527" s="0" t="n">
        <f aca="false">W_PH(N$2,$A527)</f>
        <v>1074.1344693877</v>
      </c>
      <c r="O527" s="0" t="n">
        <f aca="false">W_PH(O$2,$A527)</f>
        <v>1074.13508240969</v>
      </c>
      <c r="P527" s="0" t="n">
        <f aca="false">W_PH(P$2,$A527)</f>
        <v>1074.14120391907</v>
      </c>
      <c r="Q527" s="0" t="n">
        <f aca="false">W_PH(Q$2,$A527)</f>
        <v>1074.14732545042</v>
      </c>
      <c r="R527" s="0" t="n">
        <f aca="false">W_PH(R$2,$A527)</f>
        <v>1074.15344700426</v>
      </c>
      <c r="S527" s="0" t="n">
        <f aca="false">W_PH(S$2,$A527)</f>
        <v>1074.15956858106</v>
      </c>
      <c r="T527" s="0" t="n">
        <f aca="false">W_PH(T$2,$A527)</f>
        <v>1074.16569018134</v>
      </c>
      <c r="U527" s="0" t="n">
        <f aca="false">W_PH(U$2,$A527)</f>
        <v>1074.17181180558</v>
      </c>
      <c r="V527" s="0" t="n">
        <f aca="false">W_PH(V$2,$A527)</f>
        <v>1074.17793345429</v>
      </c>
      <c r="W527" s="0" t="n">
        <f aca="false">W_PH(W$2,$A527)</f>
        <v>1074.18405512797</v>
      </c>
      <c r="X527" s="0" t="n">
        <f aca="false">W_PH(X$2,$A527)</f>
        <v>1074.1901768271</v>
      </c>
      <c r="Y527" s="0" t="n">
        <f aca="false">W_PH(Y$2,$A527)</f>
        <v>1074.25139423767</v>
      </c>
      <c r="Z527" s="0" t="n">
        <f aca="false">W_PH(Z$2,$A527)</f>
        <v>1074.312614741</v>
      </c>
      <c r="AA527" s="0" t="n">
        <f aca="false">W_PH(AA$2,$A527)</f>
        <v>1074.37383992482</v>
      </c>
      <c r="AB527" s="0" t="n">
        <f aca="false">W_PH(AB$2,$A527)</f>
        <v>1074.43506701483</v>
      </c>
      <c r="AC527" s="0" t="n">
        <f aca="false">W_PH(AC$2,$A527)</f>
        <v>1074.49629868926</v>
      </c>
      <c r="AD527" s="0" t="n">
        <f aca="false">W_PH(AD$2,$A527)</f>
        <v>1074.55753653609</v>
      </c>
      <c r="AE527" s="0" t="n">
        <f aca="false">W_PH(AE$2,$A527)</f>
        <v>1074.61877778065</v>
      </c>
      <c r="AF527" s="0" t="n">
        <f aca="false">W_PH(AF$2,$A527)</f>
        <v>1074.68002619235</v>
      </c>
      <c r="AG527" s="0" t="n">
        <f aca="false">W_PH(AG$2,$A527)</f>
        <v>1074.74127899628</v>
      </c>
      <c r="AH527" s="0" t="n">
        <f aca="false">W_PH(AH$2,$A527)</f>
        <v>1075.35425621767</v>
      </c>
      <c r="AI527" s="0" t="n">
        <f aca="false">W_PH(AI$2,$A527)</f>
        <v>1075.96836832209</v>
      </c>
      <c r="AJ527" s="0" t="n">
        <f aca="false">W_PH(AJ$2,$A527)</f>
        <v>1076.58409135147</v>
      </c>
      <c r="AK527" s="0" t="n">
        <f aca="false">W_PH(AK$2,$A527)</f>
        <v>1077.20190385115</v>
      </c>
      <c r="AL527" s="0" t="n">
        <f aca="false">W_PH(AL$2,$A527)</f>
        <v>1077.82228470368</v>
      </c>
      <c r="AM527" s="0" t="n">
        <f aca="false">W_PH(AM$2,$A527)</f>
        <v>1078.44571096057</v>
      </c>
      <c r="AN527" s="0" t="n">
        <f aca="false">W_PH(AN$2,$A527)</f>
        <v>1079.07266223837</v>
      </c>
      <c r="AO527" s="0" t="n">
        <f aca="false">W_PH(AO$2,$A527)</f>
        <v>1079.70361965592</v>
      </c>
      <c r="AP527" s="0" t="n">
        <f aca="false">W_PH(AP$2,$A527)</f>
        <v>2015</v>
      </c>
      <c r="AQ527" s="0" t="n">
        <f aca="false">W_PH(AQ$2,$A527)</f>
        <v>2015</v>
      </c>
      <c r="AR527" s="0" t="n">
        <f aca="false">W_PH(AR$2,$A527)</f>
        <v>2015</v>
      </c>
      <c r="AS527" s="0" t="n">
        <f aca="false">W_PH(AS$2,$A527)</f>
        <v>2015</v>
      </c>
    </row>
    <row r="528" customFormat="false" ht="13.8" hidden="false" customHeight="false" outlineLevel="0" collapsed="false">
      <c r="A528" s="0" t="n">
        <v>6880</v>
      </c>
      <c r="B528" s="0" t="n">
        <f aca="false">W_PH(B$2,$A528)</f>
        <v>1074.97724524891</v>
      </c>
      <c r="C528" s="0" t="n">
        <f aca="false">W_PH(C$2,$A528)</f>
        <v>1074.97730604769</v>
      </c>
      <c r="D528" s="0" t="n">
        <f aca="false">W_PH(D$2,$A528)</f>
        <v>1074.97736684647</v>
      </c>
      <c r="E528" s="0" t="n">
        <f aca="false">W_PH(E$2,$A528)</f>
        <v>1074.97742873469</v>
      </c>
      <c r="F528" s="0" t="n">
        <f aca="false">W_PH(F$2,$A528)</f>
        <v>1074.97749062291</v>
      </c>
      <c r="G528" s="0" t="n">
        <f aca="false">W_PH(G$2,$A528)</f>
        <v>1074.9781018792</v>
      </c>
      <c r="H528" s="0" t="n">
        <f aca="false">W_PH(H$2,$A528)</f>
        <v>1074.97871422513</v>
      </c>
      <c r="I528" s="0" t="n">
        <f aca="false">W_PH(I$2,$A528)</f>
        <v>1074.97932548184</v>
      </c>
      <c r="J528" s="0" t="n">
        <f aca="false">W_PH(J$2,$A528)</f>
        <v>1074.97993782819</v>
      </c>
      <c r="K528" s="0" t="n">
        <f aca="false">W_PH(K$2,$A528)</f>
        <v>1074.98055017475</v>
      </c>
      <c r="L528" s="0" t="n">
        <f aca="false">W_PH(L$2,$A528)</f>
        <v>1074.98116252153</v>
      </c>
      <c r="M528" s="0" t="n">
        <f aca="false">W_PH(M$2,$A528)</f>
        <v>1074.98177486851</v>
      </c>
      <c r="N528" s="0" t="n">
        <f aca="false">W_PH(N$2,$A528)</f>
        <v>1074.98238721571</v>
      </c>
      <c r="O528" s="0" t="n">
        <f aca="false">W_PH(O$2,$A528)</f>
        <v>1074.98299956312</v>
      </c>
      <c r="P528" s="0" t="n">
        <f aca="false">W_PH(P$2,$A528)</f>
        <v>1074.98912087011</v>
      </c>
      <c r="Q528" s="0" t="n">
        <f aca="false">W_PH(Q$2,$A528)</f>
        <v>1074.99524219887</v>
      </c>
      <c r="R528" s="0" t="n">
        <f aca="false">W_PH(R$2,$A528)</f>
        <v>1075.00136354989</v>
      </c>
      <c r="S528" s="0" t="n">
        <f aca="false">W_PH(S$2,$A528)</f>
        <v>1075.00748492367</v>
      </c>
      <c r="T528" s="0" t="n">
        <f aca="false">W_PH(T$2,$A528)</f>
        <v>1075.01360632071</v>
      </c>
      <c r="U528" s="0" t="n">
        <f aca="false">W_PH(U$2,$A528)</f>
        <v>1075.01972774149</v>
      </c>
      <c r="V528" s="0" t="n">
        <f aca="false">W_PH(V$2,$A528)</f>
        <v>1075.02584918651</v>
      </c>
      <c r="W528" s="0" t="n">
        <f aca="false">W_PH(W$2,$A528)</f>
        <v>1075.03197065627</v>
      </c>
      <c r="X528" s="0" t="n">
        <f aca="false">W_PH(X$2,$A528)</f>
        <v>1075.03809324075</v>
      </c>
      <c r="Y528" s="0" t="n">
        <f aca="false">W_PH(Y$2,$A528)</f>
        <v>1075.09931077702</v>
      </c>
      <c r="Z528" s="0" t="n">
        <f aca="false">W_PH(Z$2,$A528)</f>
        <v>1075.16053138133</v>
      </c>
      <c r="AA528" s="0" t="n">
        <f aca="false">W_PH(AA$2,$A528)</f>
        <v>1075.22175554886</v>
      </c>
      <c r="AB528" s="0" t="n">
        <f aca="false">W_PH(AB$2,$A528)</f>
        <v>1075.28298268509</v>
      </c>
      <c r="AC528" s="0" t="n">
        <f aca="false">W_PH(AC$2,$A528)</f>
        <v>1075.34421437487</v>
      </c>
      <c r="AD528" s="0" t="n">
        <f aca="false">W_PH(AD$2,$A528)</f>
        <v>1075.40545002364</v>
      </c>
      <c r="AE528" s="0" t="n">
        <f aca="false">W_PH(AE$2,$A528)</f>
        <v>1075.46669121642</v>
      </c>
      <c r="AF528" s="0" t="n">
        <f aca="false">W_PH(AF$2,$A528)</f>
        <v>1075.52793844854</v>
      </c>
      <c r="AG528" s="0" t="n">
        <f aca="false">W_PH(AG$2,$A528)</f>
        <v>1075.58919221537</v>
      </c>
      <c r="AH528" s="0" t="n">
        <f aca="false">W_PH(AH$2,$A528)</f>
        <v>1076.20215904085</v>
      </c>
      <c r="AI528" s="0" t="n">
        <f aca="false">W_PH(AI$2,$A528)</f>
        <v>1076.81625681876</v>
      </c>
      <c r="AJ528" s="0" t="n">
        <f aca="false">W_PH(AJ$2,$A528)</f>
        <v>1077.43195738144</v>
      </c>
      <c r="AK528" s="0" t="n">
        <f aca="false">W_PH(AK$2,$A528)</f>
        <v>1078.04973942912</v>
      </c>
      <c r="AL528" s="0" t="n">
        <f aca="false">W_PH(AL$2,$A528)</f>
        <v>1078.67007763531</v>
      </c>
      <c r="AM528" s="0" t="n">
        <f aca="false">W_PH(AM$2,$A528)</f>
        <v>1079.29344921417</v>
      </c>
      <c r="AN528" s="0" t="n">
        <f aca="false">W_PH(AN$2,$A528)</f>
        <v>1079.92032957488</v>
      </c>
      <c r="AO528" s="0" t="n">
        <f aca="false">W_PH(AO$2,$A528)</f>
        <v>1080.55119890733</v>
      </c>
      <c r="AP528" s="0" t="n">
        <f aca="false">W_PH(AP$2,$A528)</f>
        <v>2015</v>
      </c>
      <c r="AQ528" s="0" t="n">
        <f aca="false">W_PH(AQ$2,$A528)</f>
        <v>2015</v>
      </c>
      <c r="AR528" s="0" t="n">
        <f aca="false">W_PH(AR$2,$A528)</f>
        <v>2015</v>
      </c>
      <c r="AS528" s="0" t="n">
        <f aca="false">W_PH(AS$2,$A528)</f>
        <v>2015</v>
      </c>
    </row>
    <row r="529" customFormat="false" ht="13.8" hidden="false" customHeight="false" outlineLevel="0" collapsed="false">
      <c r="A529" s="0" t="n">
        <v>6890</v>
      </c>
      <c r="B529" s="0" t="n">
        <f aca="false">W_PH(B$2,$A529)</f>
        <v>1075.82414688057</v>
      </c>
      <c r="C529" s="0" t="n">
        <f aca="false">W_PH(C$2,$A529)</f>
        <v>1075.82420772066</v>
      </c>
      <c r="D529" s="0" t="n">
        <f aca="false">W_PH(D$2,$A529)</f>
        <v>1075.82426856074</v>
      </c>
      <c r="E529" s="0" t="n">
        <f aca="false">W_PH(E$2,$A529)</f>
        <v>1075.82433048941</v>
      </c>
      <c r="F529" s="0" t="n">
        <f aca="false">W_PH(F$2,$A529)</f>
        <v>1075.8243913295</v>
      </c>
      <c r="G529" s="0" t="n">
        <f aca="false">W_PH(G$2,$A529)</f>
        <v>1075.82500299625</v>
      </c>
      <c r="H529" s="0" t="n">
        <f aca="false">W_PH(H$2,$A529)</f>
        <v>1075.82561575178</v>
      </c>
      <c r="I529" s="0" t="n">
        <f aca="false">W_PH(I$2,$A529)</f>
        <v>1075.82622850752</v>
      </c>
      <c r="J529" s="0" t="n">
        <f aca="false">W_PH(J$2,$A529)</f>
        <v>1075.82683908631</v>
      </c>
      <c r="K529" s="0" t="n">
        <f aca="false">W_PH(K$2,$A529)</f>
        <v>1075.82745184247</v>
      </c>
      <c r="L529" s="0" t="n">
        <f aca="false">W_PH(L$2,$A529)</f>
        <v>1075.82806459883</v>
      </c>
      <c r="M529" s="0" t="n">
        <f aca="false">W_PH(M$2,$A529)</f>
        <v>1075.82867626683</v>
      </c>
      <c r="N529" s="0" t="n">
        <f aca="false">W_PH(N$2,$A529)</f>
        <v>1075.82928793503</v>
      </c>
      <c r="O529" s="0" t="n">
        <f aca="false">W_PH(O$2,$A529)</f>
        <v>1075.82990069203</v>
      </c>
      <c r="P529" s="0" t="n">
        <f aca="false">W_PH(P$2,$A529)</f>
        <v>1075.83602174216</v>
      </c>
      <c r="Q529" s="0" t="n">
        <f aca="false">W_PH(Q$2,$A529)</f>
        <v>1075.84214281386</v>
      </c>
      <c r="R529" s="0" t="n">
        <f aca="false">W_PH(R$2,$A529)</f>
        <v>1075.8482649962</v>
      </c>
      <c r="S529" s="0" t="n">
        <f aca="false">W_PH(S$2,$A529)</f>
        <v>1075.85438611249</v>
      </c>
      <c r="T529" s="0" t="n">
        <f aca="false">W_PH(T$2,$A529)</f>
        <v>1075.86050834042</v>
      </c>
      <c r="U529" s="0" t="n">
        <f aca="false">W_PH(U$2,$A529)</f>
        <v>1075.86662950329</v>
      </c>
      <c r="V529" s="0" t="n">
        <f aca="false">W_PH(V$2,$A529)</f>
        <v>1075.87275069018</v>
      </c>
      <c r="W529" s="0" t="n">
        <f aca="false">W_PH(W$2,$A529)</f>
        <v>1075.87887190158</v>
      </c>
      <c r="X529" s="0" t="n">
        <f aca="false">W_PH(X$2,$A529)</f>
        <v>1075.88499313799</v>
      </c>
      <c r="Y529" s="0" t="n">
        <f aca="false">W_PH(Y$2,$A529)</f>
        <v>1075.94621134078</v>
      </c>
      <c r="Z529" s="0" t="n">
        <f aca="false">W_PH(Z$2,$A529)</f>
        <v>1076.00743040982</v>
      </c>
      <c r="AA529" s="0" t="n">
        <f aca="false">W_PH(AA$2,$A529)</f>
        <v>1076.06865301546</v>
      </c>
      <c r="AB529" s="0" t="n">
        <f aca="false">W_PH(AB$2,$A529)</f>
        <v>1076.12987965089</v>
      </c>
      <c r="AC529" s="0" t="n">
        <f aca="false">W_PH(AC$2,$A529)</f>
        <v>1076.19111080928</v>
      </c>
      <c r="AD529" s="0" t="n">
        <f aca="false">W_PH(AD$2,$A529)</f>
        <v>1076.25234698387</v>
      </c>
      <c r="AE529" s="0" t="n">
        <f aca="false">W_PH(AE$2,$A529)</f>
        <v>1076.31358648994</v>
      </c>
      <c r="AF529" s="0" t="n">
        <f aca="false">W_PH(AF$2,$A529)</f>
        <v>1076.37483199856</v>
      </c>
      <c r="AG529" s="0" t="n">
        <f aca="false">W_PH(AG$2,$A529)</f>
        <v>1076.43608400306</v>
      </c>
      <c r="AH529" s="0" t="n">
        <f aca="false">W_PH(AH$2,$A529)</f>
        <v>1077.0490404591</v>
      </c>
      <c r="AI529" s="0" t="n">
        <f aca="false">W_PH(AI$2,$A529)</f>
        <v>1077.66311962697</v>
      </c>
      <c r="AJ529" s="0" t="n">
        <f aca="false">W_PH(AJ$2,$A529)</f>
        <v>1078.27879677364</v>
      </c>
      <c r="AK529" s="0" t="n">
        <f aca="false">W_PH(AK$2,$A529)</f>
        <v>1078.89654531199</v>
      </c>
      <c r="AL529" s="0" t="n">
        <f aca="false">W_PH(AL$2,$A529)</f>
        <v>1079.51683790261</v>
      </c>
      <c r="AM529" s="0" t="n">
        <f aca="false">W_PH(AM$2,$A529)</f>
        <v>1080.14015193104</v>
      </c>
      <c r="AN529" s="0" t="n">
        <f aca="false">W_PH(AN$2,$A529)</f>
        <v>1080.76695861495</v>
      </c>
      <c r="AO529" s="0" t="n">
        <f aca="false">W_PH(AO$2,$A529)</f>
        <v>1081.3977372257</v>
      </c>
      <c r="AP529" s="0" t="n">
        <f aca="false">W_PH(AP$2,$A529)</f>
        <v>2015</v>
      </c>
      <c r="AQ529" s="0" t="n">
        <f aca="false">W_PH(AQ$2,$A529)</f>
        <v>2015</v>
      </c>
      <c r="AR529" s="0" t="n">
        <f aca="false">W_PH(AR$2,$A529)</f>
        <v>2015</v>
      </c>
      <c r="AS529" s="0" t="n">
        <f aca="false">W_PH(AS$2,$A529)</f>
        <v>2015</v>
      </c>
    </row>
    <row r="530" customFormat="false" ht="13.8" hidden="false" customHeight="false" outlineLevel="0" collapsed="false">
      <c r="A530" s="0" t="n">
        <v>6900</v>
      </c>
      <c r="B530" s="0" t="n">
        <f aca="false">W_PH(B$2,$A530)</f>
        <v>1076.67003430408</v>
      </c>
      <c r="C530" s="0" t="n">
        <f aca="false">W_PH(C$2,$A530)</f>
        <v>1076.67009627258</v>
      </c>
      <c r="D530" s="0" t="n">
        <f aca="false">W_PH(D$2,$A530)</f>
        <v>1076.67015824107</v>
      </c>
      <c r="E530" s="0" t="n">
        <f aca="false">W_PH(E$2,$A530)</f>
        <v>1076.67021803414</v>
      </c>
      <c r="F530" s="0" t="n">
        <f aca="false">W_PH(F$2,$A530)</f>
        <v>1076.67028000265</v>
      </c>
      <c r="G530" s="0" t="n">
        <f aca="false">W_PH(G$2,$A530)</f>
        <v>1076.67089207378</v>
      </c>
      <c r="H530" s="0" t="n">
        <f aca="false">W_PH(H$2,$A530)</f>
        <v>1076.67150414511</v>
      </c>
      <c r="I530" s="0" t="n">
        <f aca="false">W_PH(I$2,$A530)</f>
        <v>1076.67211621665</v>
      </c>
      <c r="J530" s="0" t="n">
        <f aca="false">W_PH(J$2,$A530)</f>
        <v>1076.6727282884</v>
      </c>
      <c r="K530" s="0" t="n">
        <f aca="false">W_PH(K$2,$A530)</f>
        <v>1076.67334036035</v>
      </c>
      <c r="L530" s="0" t="n">
        <f aca="false">W_PH(L$2,$A530)</f>
        <v>1076.67395243251</v>
      </c>
      <c r="M530" s="0" t="n">
        <f aca="false">W_PH(M$2,$A530)</f>
        <v>1076.67456559259</v>
      </c>
      <c r="N530" s="0" t="n">
        <f aca="false">W_PH(N$2,$A530)</f>
        <v>1076.67517657744</v>
      </c>
      <c r="O530" s="0" t="n">
        <f aca="false">W_PH(O$2,$A530)</f>
        <v>1076.67578973794</v>
      </c>
      <c r="P530" s="0" t="n">
        <f aca="false">W_PH(P$2,$A530)</f>
        <v>1076.68191047731</v>
      </c>
      <c r="Q530" s="0" t="n">
        <f aca="false">W_PH(Q$2,$A530)</f>
        <v>1076.68803123803</v>
      </c>
      <c r="R530" s="0" t="n">
        <f aca="false">W_PH(R$2,$A530)</f>
        <v>1076.69415310832</v>
      </c>
      <c r="S530" s="0" t="n">
        <f aca="false">W_PH(S$2,$A530)</f>
        <v>1076.70027500096</v>
      </c>
      <c r="T530" s="0" t="n">
        <f aca="false">W_PH(T$2,$A530)</f>
        <v>1076.70639582869</v>
      </c>
      <c r="U530" s="0" t="n">
        <f aca="false">W_PH(U$2,$A530)</f>
        <v>1076.71251667973</v>
      </c>
      <c r="V530" s="0" t="n">
        <f aca="false">W_PH(V$2,$A530)</f>
        <v>1076.71863864232</v>
      </c>
      <c r="W530" s="0" t="n">
        <f aca="false">W_PH(W$2,$A530)</f>
        <v>1076.72476062923</v>
      </c>
      <c r="X530" s="0" t="n">
        <f aca="false">W_PH(X$2,$A530)</f>
        <v>1076.73088155317</v>
      </c>
      <c r="Y530" s="0" t="n">
        <f aca="false">W_PH(Y$2,$A530)</f>
        <v>1076.79209661514</v>
      </c>
      <c r="Z530" s="0" t="n">
        <f aca="false">W_PH(Z$2,$A530)</f>
        <v>1076.85331687215</v>
      </c>
      <c r="AA530" s="0" t="n">
        <f aca="false">W_PH(AA$2,$A530)</f>
        <v>1076.91453846392</v>
      </c>
      <c r="AB530" s="0" t="n">
        <f aca="false">W_PH(AB$2,$A530)</f>
        <v>1076.97576405723</v>
      </c>
      <c r="AC530" s="0" t="n">
        <f aca="false">W_PH(AC$2,$A530)</f>
        <v>1077.03699305521</v>
      </c>
      <c r="AD530" s="0" t="n">
        <f aca="false">W_PH(AD$2,$A530)</f>
        <v>1077.09822703698</v>
      </c>
      <c r="AE530" s="0" t="n">
        <f aca="false">W_PH(AE$2,$A530)</f>
        <v>1077.15946649379</v>
      </c>
      <c r="AF530" s="0" t="n">
        <f aca="false">W_PH(AF$2,$A530)</f>
        <v>1077.22071191689</v>
      </c>
      <c r="AG530" s="0" t="n">
        <f aca="false">W_PH(AG$2,$A530)</f>
        <v>1077.28196270936</v>
      </c>
      <c r="AH530" s="0" t="n">
        <f aca="false">W_PH(AH$2,$A530)</f>
        <v>1077.89490342345</v>
      </c>
      <c r="AI530" s="0" t="n">
        <f aca="false">W_PH(AI$2,$A530)</f>
        <v>1078.50896301752</v>
      </c>
      <c r="AJ530" s="0" t="n">
        <f aca="false">W_PH(AJ$2,$A530)</f>
        <v>1079.12461257464</v>
      </c>
      <c r="AK530" s="0" t="n">
        <f aca="false">W_PH(AK$2,$A530)</f>
        <v>1079.7423235041</v>
      </c>
      <c r="AL530" s="0" t="n">
        <f aca="false">W_PH(AL$2,$A530)</f>
        <v>1080.36256973802</v>
      </c>
      <c r="AM530" s="0" t="n">
        <f aca="false">W_PH(AM$2,$A530)</f>
        <v>1080.98582120804</v>
      </c>
      <c r="AN530" s="0" t="n">
        <f aca="false">W_PH(AN$2,$A530)</f>
        <v>1081.61255368333</v>
      </c>
      <c r="AO530" s="0" t="n">
        <f aca="false">W_PH(AO$2,$A530)</f>
        <v>1082.24323898026</v>
      </c>
      <c r="AP530" s="0" t="n">
        <f aca="false">W_PH(AP$2,$A530)</f>
        <v>2015</v>
      </c>
      <c r="AQ530" s="0" t="n">
        <f aca="false">W_PH(AQ$2,$A530)</f>
        <v>2015</v>
      </c>
      <c r="AR530" s="0" t="n">
        <f aca="false">W_PH(AR$2,$A530)</f>
        <v>2015</v>
      </c>
      <c r="AS530" s="0" t="n">
        <f aca="false">W_PH(AS$2,$A530)</f>
        <v>2015</v>
      </c>
    </row>
    <row r="531" customFormat="false" ht="13.8" hidden="false" customHeight="false" outlineLevel="0" collapsed="false">
      <c r="A531" s="0" t="n">
        <v>6910</v>
      </c>
      <c r="B531" s="0" t="n">
        <f aca="false">W_PH(B$2,$A531)</f>
        <v>1077.51491362005</v>
      </c>
      <c r="C531" s="0" t="n">
        <f aca="false">W_PH(C$2,$A531)</f>
        <v>1077.51497562778</v>
      </c>
      <c r="D531" s="0" t="n">
        <f aca="false">W_PH(D$2,$A531)</f>
        <v>1077.5150354618</v>
      </c>
      <c r="E531" s="0" t="n">
        <f aca="false">W_PH(E$2,$A531)</f>
        <v>1077.51509746954</v>
      </c>
      <c r="F531" s="0" t="n">
        <f aca="false">W_PH(F$2,$A531)</f>
        <v>1077.51515839042</v>
      </c>
      <c r="G531" s="0" t="n">
        <f aca="false">W_PH(G$2,$A531)</f>
        <v>1077.5157708599</v>
      </c>
      <c r="H531" s="0" t="n">
        <f aca="false">W_PH(H$2,$A531)</f>
        <v>1077.51638224274</v>
      </c>
      <c r="I531" s="0" t="n">
        <f aca="false">W_PH(I$2,$A531)</f>
        <v>1077.51699471263</v>
      </c>
      <c r="J531" s="0" t="n">
        <f aca="false">W_PH(J$2,$A531)</f>
        <v>1077.51760718272</v>
      </c>
      <c r="K531" s="0" t="n">
        <f aca="false">W_PH(K$2,$A531)</f>
        <v>1077.51821856617</v>
      </c>
      <c r="L531" s="0" t="n">
        <f aca="false">W_PH(L$2,$A531)</f>
        <v>1077.51883103667</v>
      </c>
      <c r="M531" s="0" t="n">
        <f aca="false">W_PH(M$2,$A531)</f>
        <v>1077.51944350738</v>
      </c>
      <c r="N531" s="0" t="n">
        <f aca="false">W_PH(N$2,$A531)</f>
        <v>1077.52005489144</v>
      </c>
      <c r="O531" s="0" t="n">
        <f aca="false">W_PH(O$2,$A531)</f>
        <v>1077.52066736256</v>
      </c>
      <c r="P531" s="0" t="n">
        <f aca="false">W_PH(P$2,$A531)</f>
        <v>1077.52678882466</v>
      </c>
      <c r="Q531" s="0" t="n">
        <f aca="false">W_PH(Q$2,$A531)</f>
        <v>1077.53290922104</v>
      </c>
      <c r="R531" s="0" t="n">
        <f aca="false">W_PH(R$2,$A531)</f>
        <v>1077.5390318128</v>
      </c>
      <c r="S531" s="0" t="n">
        <f aca="false">W_PH(S$2,$A531)</f>
        <v>1077.54515225295</v>
      </c>
      <c r="T531" s="0" t="n">
        <f aca="false">W_PH(T$2,$A531)</f>
        <v>1077.55127271571</v>
      </c>
      <c r="U531" s="0" t="n">
        <f aca="false">W_PH(U$2,$A531)</f>
        <v>1077.55739537535</v>
      </c>
      <c r="V531" s="0" t="n">
        <f aca="false">W_PH(V$2,$A531)</f>
        <v>1077.56351588481</v>
      </c>
      <c r="W531" s="0" t="n">
        <f aca="false">W_PH(W$2,$A531)</f>
        <v>1077.56963750525</v>
      </c>
      <c r="X531" s="0" t="n">
        <f aca="false">W_PH(X$2,$A531)</f>
        <v>1077.57575915027</v>
      </c>
      <c r="Y531" s="0" t="n">
        <f aca="false">W_PH(Y$2,$A531)</f>
        <v>1077.63697271201</v>
      </c>
      <c r="Z531" s="0" t="n">
        <f aca="false">W_PH(Z$2,$A531)</f>
        <v>1077.69819144313</v>
      </c>
      <c r="AA531" s="0" t="n">
        <f aca="false">W_PH(AA$2,$A531)</f>
        <v>1077.75941148479</v>
      </c>
      <c r="AB531" s="0" t="n">
        <f aca="false">W_PH(AB$2,$A531)</f>
        <v>1077.82063550002</v>
      </c>
      <c r="AC531" s="0" t="n">
        <f aca="false">W_PH(AC$2,$A531)</f>
        <v>1077.88186397796</v>
      </c>
      <c r="AD531" s="0" t="n">
        <f aca="false">W_PH(AD$2,$A531)</f>
        <v>1077.9430963206</v>
      </c>
      <c r="AE531" s="0" t="n">
        <f aca="false">W_PH(AE$2,$A531)</f>
        <v>1078.00433410426</v>
      </c>
      <c r="AF531" s="0" t="n">
        <f aca="false">W_PH(AF$2,$A531)</f>
        <v>1078.06557673088</v>
      </c>
      <c r="AG531" s="0" t="n">
        <f aca="false">W_PH(AG$2,$A531)</f>
        <v>1078.12682577696</v>
      </c>
      <c r="AH531" s="0" t="n">
        <f aca="false">W_PH(AH$2,$A531)</f>
        <v>1078.73975086797</v>
      </c>
      <c r="AI531" s="0" t="n">
        <f aca="false">W_PH(AI$2,$A531)</f>
        <v>1079.35378670299</v>
      </c>
      <c r="AJ531" s="0" t="n">
        <f aca="false">W_PH(AJ$2,$A531)</f>
        <v>1079.96940672406</v>
      </c>
      <c r="AK531" s="0" t="n">
        <f aca="false">W_PH(AK$2,$A531)</f>
        <v>1080.58707817343</v>
      </c>
      <c r="AL531" s="0" t="n">
        <f aca="false">W_PH(AL$2,$A531)</f>
        <v>1081.20727408186</v>
      </c>
      <c r="AM531" s="0" t="n">
        <f aca="false">W_PH(AM$2,$A531)</f>
        <v>1081.83046348686</v>
      </c>
      <c r="AN531" s="0" t="n">
        <f aca="false">W_PH(AN$2,$A531)</f>
        <v>1082.45711689963</v>
      </c>
      <c r="AO531" s="0" t="n">
        <f aca="false">W_PH(AO$2,$A531)</f>
        <v>1083.08770742477</v>
      </c>
      <c r="AP531" s="0" t="n">
        <f aca="false">W_PH(AP$2,$A531)</f>
        <v>2015</v>
      </c>
      <c r="AQ531" s="0" t="n">
        <f aca="false">W_PH(AQ$2,$A531)</f>
        <v>2015</v>
      </c>
      <c r="AR531" s="0" t="n">
        <f aca="false">W_PH(AR$2,$A531)</f>
        <v>2015</v>
      </c>
      <c r="AS531" s="0" t="n">
        <f aca="false">W_PH(AS$2,$A531)</f>
        <v>2015</v>
      </c>
    </row>
    <row r="532" customFormat="false" ht="13.8" hidden="false" customHeight="false" outlineLevel="0" collapsed="false">
      <c r="A532" s="0" t="n">
        <v>6920</v>
      </c>
      <c r="B532" s="0" t="n">
        <f aca="false">W_PH(B$2,$A532)</f>
        <v>1078.35878438713</v>
      </c>
      <c r="C532" s="0" t="n">
        <f aca="false">W_PH(C$2,$A532)</f>
        <v>1078.35884643349</v>
      </c>
      <c r="D532" s="0" t="n">
        <f aca="false">W_PH(D$2,$A532)</f>
        <v>1078.35890739387</v>
      </c>
      <c r="E532" s="0" t="n">
        <f aca="false">W_PH(E$2,$A532)</f>
        <v>1078.35896835424</v>
      </c>
      <c r="F532" s="0" t="n">
        <f aca="false">W_PH(F$2,$A532)</f>
        <v>1078.35903040062</v>
      </c>
      <c r="G532" s="0" t="n">
        <f aca="false">W_PH(G$2,$A532)</f>
        <v>1078.35964217649</v>
      </c>
      <c r="H532" s="0" t="n">
        <f aca="false">W_PH(H$2,$A532)</f>
        <v>1078.36025395257</v>
      </c>
      <c r="I532" s="0" t="n">
        <f aca="false">W_PH(I$2,$A532)</f>
        <v>1078.36086572885</v>
      </c>
      <c r="J532" s="0" t="n">
        <f aca="false">W_PH(J$2,$A532)</f>
        <v>1078.36147750533</v>
      </c>
      <c r="K532" s="0" t="n">
        <f aca="false">W_PH(K$2,$A532)</f>
        <v>1078.36209036801</v>
      </c>
      <c r="L532" s="0" t="n">
        <f aca="false">W_PH(L$2,$A532)</f>
        <v>1078.36270323089</v>
      </c>
      <c r="M532" s="0" t="n">
        <f aca="false">W_PH(M$2,$A532)</f>
        <v>1078.36331500798</v>
      </c>
      <c r="N532" s="0" t="n">
        <f aca="false">W_PH(N$2,$A532)</f>
        <v>1078.36392678527</v>
      </c>
      <c r="O532" s="0" t="n">
        <f aca="false">W_PH(O$2,$A532)</f>
        <v>1078.36453856276</v>
      </c>
      <c r="P532" s="0" t="n">
        <f aca="false">W_PH(P$2,$A532)</f>
        <v>1078.37065960705</v>
      </c>
      <c r="Q532" s="0" t="n">
        <f aca="false">W_PH(Q$2,$A532)</f>
        <v>1078.37678067228</v>
      </c>
      <c r="R532" s="0" t="n">
        <f aca="false">W_PH(R$2,$A532)</f>
        <v>1078.38290175896</v>
      </c>
      <c r="S532" s="0" t="n">
        <f aca="false">W_PH(S$2,$A532)</f>
        <v>1078.38902286756</v>
      </c>
      <c r="T532" s="0" t="n">
        <f aca="false">W_PH(T$2,$A532)</f>
        <v>1078.39514399857</v>
      </c>
      <c r="U532" s="0" t="n">
        <f aca="false">W_PH(U$2,$A532)</f>
        <v>1078.40126515249</v>
      </c>
      <c r="V532" s="0" t="n">
        <f aca="false">W_PH(V$2,$A532)</f>
        <v>1078.40738632979</v>
      </c>
      <c r="W532" s="0" t="n">
        <f aca="false">W_PH(W$2,$A532)</f>
        <v>1078.41350753097</v>
      </c>
      <c r="X532" s="0" t="n">
        <f aca="false">W_PH(X$2,$A532)</f>
        <v>1078.4196287565</v>
      </c>
      <c r="Y532" s="0" t="n">
        <f aca="false">W_PH(Y$2,$A532)</f>
        <v>1078.48084137281</v>
      </c>
      <c r="Z532" s="0" t="n">
        <f aca="false">W_PH(Z$2,$A532)</f>
        <v>1078.54205804704</v>
      </c>
      <c r="AA532" s="0" t="n">
        <f aca="false">W_PH(AA$2,$A532)</f>
        <v>1078.60327600785</v>
      </c>
      <c r="AB532" s="0" t="n">
        <f aca="false">W_PH(AB$2,$A532)</f>
        <v>1078.66449791454</v>
      </c>
      <c r="AC532" s="0" t="n">
        <f aca="false">W_PH(AC$2,$A532)</f>
        <v>1078.72572425425</v>
      </c>
      <c r="AD532" s="0" t="n">
        <f aca="false">W_PH(AD$2,$A532)</f>
        <v>1078.78695551417</v>
      </c>
      <c r="AE532" s="0" t="n">
        <f aca="false">W_PH(AE$2,$A532)</f>
        <v>1078.84819218152</v>
      </c>
      <c r="AF532" s="0" t="n">
        <f aca="false">W_PH(AF$2,$A532)</f>
        <v>1078.9094336571</v>
      </c>
      <c r="AG532" s="0" t="n">
        <f aca="false">W_PH(AG$2,$A532)</f>
        <v>1078.97068151454</v>
      </c>
      <c r="AH532" s="0" t="n">
        <f aca="false">W_PH(AH$2,$A532)</f>
        <v>1079.58358462291</v>
      </c>
      <c r="AI532" s="0" t="n">
        <f aca="false">W_PH(AI$2,$A532)</f>
        <v>1080.1975958265</v>
      </c>
      <c r="AJ532" s="0" t="n">
        <f aca="false">W_PH(AJ$2,$A532)</f>
        <v>1080.81318332308</v>
      </c>
      <c r="AK532" s="0" t="n">
        <f aca="false">W_PH(AK$2,$A532)</f>
        <v>1081.43081346587</v>
      </c>
      <c r="AL532" s="0" t="n">
        <f aca="false">W_PH(AL$2,$A532)</f>
        <v>1082.0509551293</v>
      </c>
      <c r="AM532" s="0" t="n">
        <f aca="false">W_PH(AM$2,$A532)</f>
        <v>1082.67407864289</v>
      </c>
      <c r="AN532" s="0" t="n">
        <f aca="false">W_PH(AN$2,$A532)</f>
        <v>1083.30065145678</v>
      </c>
      <c r="AO532" s="0" t="n">
        <f aca="false">W_PH(AO$2,$A532)</f>
        <v>1083.93114361224</v>
      </c>
      <c r="AP532" s="0" t="n">
        <f aca="false">W_PH(AP$2,$A532)</f>
        <v>2015</v>
      </c>
      <c r="AQ532" s="0" t="n">
        <f aca="false">W_PH(AQ$2,$A532)</f>
        <v>2015</v>
      </c>
      <c r="AR532" s="0" t="n">
        <f aca="false">W_PH(AR$2,$A532)</f>
        <v>2015</v>
      </c>
      <c r="AS532" s="0" t="n">
        <f aca="false">W_PH(AS$2,$A532)</f>
        <v>2015</v>
      </c>
    </row>
    <row r="533" customFormat="false" ht="13.8" hidden="false" customHeight="false" outlineLevel="0" collapsed="false">
      <c r="A533" s="0" t="n">
        <v>6930</v>
      </c>
      <c r="B533" s="0" t="n">
        <f aca="false">W_PH(B$2,$A533)</f>
        <v>1079.20165266951</v>
      </c>
      <c r="C533" s="0" t="n">
        <f aca="false">W_PH(C$2,$A533)</f>
        <v>1079.20171366879</v>
      </c>
      <c r="D533" s="0" t="n">
        <f aca="false">W_PH(D$2,$A533)</f>
        <v>1079.20177466807</v>
      </c>
      <c r="E533" s="0" t="n">
        <f aca="false">W_PH(E$2,$A533)</f>
        <v>1079.20183566735</v>
      </c>
      <c r="F533" s="0" t="n">
        <f aca="false">W_PH(F$2,$A533)</f>
        <v>1079.20189666663</v>
      </c>
      <c r="G533" s="0" t="n">
        <f aca="false">W_PH(G$2,$A533)</f>
        <v>1079.20250882984</v>
      </c>
      <c r="H533" s="0" t="n">
        <f aca="false">W_PH(H$2,$A533)</f>
        <v>1079.20312099324</v>
      </c>
      <c r="I533" s="0" t="n">
        <f aca="false">W_PH(I$2,$A533)</f>
        <v>1079.20373315685</v>
      </c>
      <c r="J533" s="0" t="n">
        <f aca="false">W_PH(J$2,$A533)</f>
        <v>1079.20434532065</v>
      </c>
      <c r="K533" s="0" t="n">
        <f aca="false">W_PH(K$2,$A533)</f>
        <v>1079.20495748466</v>
      </c>
      <c r="L533" s="0" t="n">
        <f aca="false">W_PH(L$2,$A533)</f>
        <v>1079.20556964886</v>
      </c>
      <c r="M533" s="0" t="n">
        <f aca="false">W_PH(M$2,$A533)</f>
        <v>1079.20618181327</v>
      </c>
      <c r="N533" s="0" t="n">
        <f aca="false">W_PH(N$2,$A533)</f>
        <v>1079.20679397788</v>
      </c>
      <c r="O533" s="0" t="n">
        <f aca="false">W_PH(O$2,$A533)</f>
        <v>1079.20740614269</v>
      </c>
      <c r="P533" s="0" t="n">
        <f aca="false">W_PH(P$2,$A533)</f>
        <v>1079.21352671689</v>
      </c>
      <c r="Q533" s="0" t="n">
        <f aca="false">W_PH(Q$2,$A533)</f>
        <v>1079.21964731184</v>
      </c>
      <c r="R533" s="0" t="n">
        <f aca="false">W_PH(R$2,$A533)</f>
        <v>1079.22576901318</v>
      </c>
      <c r="S533" s="0" t="n">
        <f aca="false">W_PH(S$2,$A533)</f>
        <v>1079.23188856593</v>
      </c>
      <c r="T533" s="0" t="n">
        <f aca="false">W_PH(T$2,$A533)</f>
        <v>1079.23801031121</v>
      </c>
      <c r="U533" s="0" t="n">
        <f aca="false">W_PH(U$2,$A533)</f>
        <v>1079.24413099403</v>
      </c>
      <c r="V533" s="0" t="n">
        <f aca="false">W_PH(V$2,$A533)</f>
        <v>1079.25025170001</v>
      </c>
      <c r="W533" s="0" t="n">
        <f aca="false">W_PH(W$2,$A533)</f>
        <v>1079.25637351485</v>
      </c>
      <c r="X533" s="0" t="n">
        <f aca="false">W_PH(X$2,$A533)</f>
        <v>1079.26249318346</v>
      </c>
      <c r="Y533" s="0" t="n">
        <f aca="false">W_PH(Y$2,$A533)</f>
        <v>1079.3237043267</v>
      </c>
      <c r="Z533" s="0" t="n">
        <f aca="false">W_PH(Z$2,$A533)</f>
        <v>1079.38491841839</v>
      </c>
      <c r="AA533" s="0" t="n">
        <f aca="false">W_PH(AA$2,$A533)</f>
        <v>1079.44613594362</v>
      </c>
      <c r="AB533" s="0" t="n">
        <f aca="false">W_PH(AB$2,$A533)</f>
        <v>1079.50735630213</v>
      </c>
      <c r="AC533" s="0" t="n">
        <f aca="false">W_PH(AC$2,$A533)</f>
        <v>1079.56858106435</v>
      </c>
      <c r="AD533" s="0" t="n">
        <f aca="false">W_PH(AD$2,$A533)</f>
        <v>1079.62980963001</v>
      </c>
      <c r="AE533" s="0" t="n">
        <f aca="false">W_PH(AE$2,$A533)</f>
        <v>1079.69104356971</v>
      </c>
      <c r="AF533" s="0" t="n">
        <f aca="false">W_PH(AF$2,$A533)</f>
        <v>1079.75228336871</v>
      </c>
      <c r="AG533" s="0" t="n">
        <f aca="false">W_PH(AG$2,$A533)</f>
        <v>1079.81352842668</v>
      </c>
      <c r="AH533" s="0" t="n">
        <f aca="false">W_PH(AH$2,$A533)</f>
        <v>1080.42640976368</v>
      </c>
      <c r="AI533" s="0" t="n">
        <f aca="false">W_PH(AI$2,$A533)</f>
        <v>1081.04039224712</v>
      </c>
      <c r="AJ533" s="0" t="n">
        <f aca="false">W_PH(AJ$2,$A533)</f>
        <v>1081.6559442774</v>
      </c>
      <c r="AK533" s="0" t="n">
        <f aca="false">W_PH(AK$2,$A533)</f>
        <v>1082.2735291553</v>
      </c>
      <c r="AL533" s="0" t="n">
        <f aca="false">W_PH(AL$2,$A533)</f>
        <v>1082.89361596506</v>
      </c>
      <c r="AM533" s="0" t="n">
        <f aca="false">W_PH(AM$2,$A533)</f>
        <v>1083.51667089666</v>
      </c>
      <c r="AN533" s="0" t="n">
        <f aca="false">W_PH(AN$2,$A533)</f>
        <v>1084.14316052785</v>
      </c>
      <c r="AO533" s="0" t="n">
        <f aca="false">W_PH(AO$2,$A533)</f>
        <v>1084.77355402866</v>
      </c>
      <c r="AP533" s="0" t="n">
        <f aca="false">W_PH(AP$2,$A533)</f>
        <v>2015</v>
      </c>
      <c r="AQ533" s="0" t="n">
        <f aca="false">W_PH(AQ$2,$A533)</f>
        <v>2015</v>
      </c>
      <c r="AR533" s="0" t="n">
        <f aca="false">W_PH(AR$2,$A533)</f>
        <v>2015</v>
      </c>
      <c r="AS533" s="0" t="n">
        <f aca="false">W_PH(AS$2,$A533)</f>
        <v>2015</v>
      </c>
    </row>
    <row r="534" customFormat="false" ht="13.8" hidden="false" customHeight="false" outlineLevel="0" collapsed="false">
      <c r="A534" s="0" t="n">
        <v>6940</v>
      </c>
      <c r="B534" s="0" t="n">
        <f aca="false">W_PH(B$2,$A534)</f>
        <v>1080.04351799998</v>
      </c>
      <c r="C534" s="0" t="n">
        <f aca="false">W_PH(C$2,$A534)</f>
        <v>1080.04357903757</v>
      </c>
      <c r="D534" s="0" t="n">
        <f aca="false">W_PH(D$2,$A534)</f>
        <v>1080.04364007517</v>
      </c>
      <c r="E534" s="0" t="n">
        <f aca="false">W_PH(E$2,$A534)</f>
        <v>1080.04370219705</v>
      </c>
      <c r="F534" s="0" t="n">
        <f aca="false">W_PH(F$2,$A534)</f>
        <v>1080.04376215037</v>
      </c>
      <c r="G534" s="0" t="n">
        <f aca="false">W_PH(G$2,$A534)</f>
        <v>1080.04437469504</v>
      </c>
      <c r="H534" s="0" t="n">
        <f aca="false">W_PH(H$2,$A534)</f>
        <v>1080.04498723992</v>
      </c>
      <c r="I534" s="0" t="n">
        <f aca="false">W_PH(I$2,$A534)</f>
        <v>1080.04559978499</v>
      </c>
      <c r="J534" s="0" t="n">
        <f aca="false">W_PH(J$2,$A534)</f>
        <v>1080.04621124598</v>
      </c>
      <c r="K534" s="0" t="n">
        <f aca="false">W_PH(K$2,$A534)</f>
        <v>1080.04682270716</v>
      </c>
      <c r="L534" s="0" t="n">
        <f aca="false">W_PH(L$2,$A534)</f>
        <v>1080.04743525283</v>
      </c>
      <c r="M534" s="0" t="n">
        <f aca="false">W_PH(M$2,$A534)</f>
        <v>1080.0480477987</v>
      </c>
      <c r="N534" s="0" t="n">
        <f aca="false">W_PH(N$2,$A534)</f>
        <v>1080.04865926048</v>
      </c>
      <c r="O534" s="0" t="n">
        <f aca="false">W_PH(O$2,$A534)</f>
        <v>1080.04927072246</v>
      </c>
      <c r="P534" s="0" t="n">
        <f aca="false">W_PH(P$2,$A534)</f>
        <v>1080.05539185911</v>
      </c>
      <c r="Q534" s="0" t="n">
        <f aca="false">W_PH(Q$2,$A534)</f>
        <v>1080.06151301633</v>
      </c>
      <c r="R534" s="0" t="n">
        <f aca="false">W_PH(R$2,$A534)</f>
        <v>1080.06763311029</v>
      </c>
      <c r="S534" s="0" t="n">
        <f aca="false">W_PH(S$2,$A534)</f>
        <v>1080.07375322577</v>
      </c>
      <c r="T534" s="0" t="n">
        <f aca="false">W_PH(T$2,$A534)</f>
        <v>1080.07987444756</v>
      </c>
      <c r="U534" s="0" t="n">
        <f aca="false">W_PH(U$2,$A534)</f>
        <v>1080.08599569185</v>
      </c>
      <c r="V534" s="0" t="n">
        <f aca="false">W_PH(V$2,$A534)</f>
        <v>1080.0921158748</v>
      </c>
      <c r="W534" s="0" t="n">
        <f aca="false">W_PH(W$2,$A534)</f>
        <v>1080.0982360812</v>
      </c>
      <c r="X534" s="0" t="n">
        <f aca="false">W_PH(X$2,$A534)</f>
        <v>1080.10435739587</v>
      </c>
      <c r="Y534" s="0" t="n">
        <f aca="false">W_PH(Y$2,$A534)</f>
        <v>1080.16556654385</v>
      </c>
      <c r="Z534" s="0" t="n">
        <f aca="false">W_PH(Z$2,$A534)</f>
        <v>1080.22677861721</v>
      </c>
      <c r="AA534" s="0" t="n">
        <f aca="false">W_PH(AA$2,$A534)</f>
        <v>1080.28799301455</v>
      </c>
      <c r="AB534" s="0" t="n">
        <f aca="false">W_PH(AB$2,$A534)</f>
        <v>1080.34921130341</v>
      </c>
      <c r="AC534" s="0" t="n">
        <f aca="false">W_PH(AC$2,$A534)</f>
        <v>1080.41043396698</v>
      </c>
      <c r="AD534" s="0" t="n">
        <f aca="false">W_PH(AD$2,$A534)</f>
        <v>1080.4716593192</v>
      </c>
      <c r="AE534" s="0" t="n">
        <f aca="false">W_PH(AE$2,$A534)</f>
        <v>1080.53289218174</v>
      </c>
      <c r="AF534" s="0" t="n">
        <f aca="false">W_PH(AF$2,$A534)</f>
        <v>1080.59412869928</v>
      </c>
      <c r="AG534" s="0" t="n">
        <f aca="false">W_PH(AG$2,$A534)</f>
        <v>1080.65537152439</v>
      </c>
      <c r="AH534" s="0" t="n">
        <f aca="false">W_PH(AH$2,$A534)</f>
        <v>1081.26822700117</v>
      </c>
      <c r="AI534" s="0" t="n">
        <f aca="false">W_PH(AI$2,$A534)</f>
        <v>1081.88217889604</v>
      </c>
      <c r="AJ534" s="0" t="n">
        <f aca="false">W_PH(AJ$2,$A534)</f>
        <v>1082.49769256478</v>
      </c>
      <c r="AK534" s="0" t="n">
        <f aca="false">W_PH(AK$2,$A534)</f>
        <v>1083.11523044133</v>
      </c>
      <c r="AL534" s="0" t="n">
        <f aca="false">W_PH(AL$2,$A534)</f>
        <v>1083.73525965519</v>
      </c>
      <c r="AM534" s="0" t="n">
        <f aca="false">W_PH(AM$2,$A534)</f>
        <v>1084.35824335834</v>
      </c>
      <c r="AN534" s="0" t="n">
        <f aca="false">W_PH(AN$2,$A534)</f>
        <v>1084.9846483541</v>
      </c>
      <c r="AO534" s="0" t="n">
        <f aca="false">W_PH(AO$2,$A534)</f>
        <v>1085.61494077567</v>
      </c>
      <c r="AP534" s="0" t="n">
        <f aca="false">W_PH(AP$2,$A534)</f>
        <v>2015</v>
      </c>
      <c r="AQ534" s="0" t="n">
        <f aca="false">W_PH(AQ$2,$A534)</f>
        <v>2015</v>
      </c>
      <c r="AR534" s="0" t="n">
        <f aca="false">W_PH(AR$2,$A534)</f>
        <v>2015</v>
      </c>
      <c r="AS534" s="0" t="n">
        <f aca="false">W_PH(AS$2,$A534)</f>
        <v>2015</v>
      </c>
    </row>
    <row r="535" customFormat="false" ht="13.8" hidden="false" customHeight="false" outlineLevel="0" collapsed="false">
      <c r="A535" s="0" t="n">
        <v>6950</v>
      </c>
      <c r="B535" s="0" t="n">
        <f aca="false">W_PH(B$2,$A535)</f>
        <v>1080.88438532335</v>
      </c>
      <c r="C535" s="0" t="n">
        <f aca="false">W_PH(C$2,$A535)</f>
        <v>1080.88444639868</v>
      </c>
      <c r="D535" s="0" t="n">
        <f aca="false">W_PH(D$2,$A535)</f>
        <v>1080.88450747401</v>
      </c>
      <c r="E535" s="0" t="n">
        <f aca="false">W_PH(E$2,$A535)</f>
        <v>1080.88456854935</v>
      </c>
      <c r="F535" s="0" t="n">
        <f aca="false">W_PH(F$2,$A535)</f>
        <v>1080.88463070811</v>
      </c>
      <c r="G535" s="0" t="n">
        <f aca="false">W_PH(G$2,$A535)</f>
        <v>1080.8852414616</v>
      </c>
      <c r="H535" s="0" t="n">
        <f aca="false">W_PH(H$2,$A535)</f>
        <v>1080.88585438214</v>
      </c>
      <c r="I535" s="0" t="n">
        <f aca="false">W_PH(I$2,$A535)</f>
        <v>1080.88646621944</v>
      </c>
      <c r="J535" s="0" t="n">
        <f aca="false">W_PH(J$2,$A535)</f>
        <v>1080.88707805694</v>
      </c>
      <c r="K535" s="0" t="n">
        <f aca="false">W_PH(K$2,$A535)</f>
        <v>1080.88769097807</v>
      </c>
      <c r="L535" s="0" t="n">
        <f aca="false">W_PH(L$2,$A535)</f>
        <v>1080.88830173253</v>
      </c>
      <c r="M535" s="0" t="n">
        <f aca="false">W_PH(M$2,$A535)</f>
        <v>1080.88891465406</v>
      </c>
      <c r="N535" s="0" t="n">
        <f aca="false">W_PH(N$2,$A535)</f>
        <v>1080.88952649235</v>
      </c>
      <c r="O535" s="0" t="n">
        <f aca="false">W_PH(O$2,$A535)</f>
        <v>1080.89013833083</v>
      </c>
      <c r="P535" s="0" t="n">
        <f aca="false">W_PH(P$2,$A535)</f>
        <v>1080.89625889359</v>
      </c>
      <c r="Q535" s="0" t="n">
        <f aca="false">W_PH(Q$2,$A535)</f>
        <v>1080.90237947671</v>
      </c>
      <c r="R535" s="0" t="n">
        <f aca="false">W_PH(R$2,$A535)</f>
        <v>1080.90850008068</v>
      </c>
      <c r="S535" s="0" t="n">
        <f aca="false">W_PH(S$2,$A535)</f>
        <v>1080.91462070598</v>
      </c>
      <c r="T535" s="0" t="n">
        <f aca="false">W_PH(T$2,$A535)</f>
        <v>1080.92074026963</v>
      </c>
      <c r="U535" s="0" t="n">
        <f aca="false">W_PH(U$2,$A535)</f>
        <v>1080.92686093902</v>
      </c>
      <c r="V535" s="0" t="n">
        <f aca="false">W_PH(V$2,$A535)</f>
        <v>1080.93298054772</v>
      </c>
      <c r="W535" s="0" t="n">
        <f aca="false">W_PH(W$2,$A535)</f>
        <v>1080.93910126314</v>
      </c>
      <c r="X535" s="0" t="n">
        <f aca="false">W_PH(X$2,$A535)</f>
        <v>1080.9452220023</v>
      </c>
      <c r="Y535" s="0" t="n">
        <f aca="false">W_PH(Y$2,$A535)</f>
        <v>1081.00642863804</v>
      </c>
      <c r="Z535" s="0" t="n">
        <f aca="false">W_PH(Z$2,$A535)</f>
        <v>1081.06763817629</v>
      </c>
      <c r="AA535" s="0" t="n">
        <f aca="false">W_PH(AA$2,$A535)</f>
        <v>1081.12885001459</v>
      </c>
      <c r="AB535" s="0" t="n">
        <f aca="false">W_PH(AB$2,$A535)</f>
        <v>1081.19006571762</v>
      </c>
      <c r="AC535" s="0" t="n">
        <f aca="false">W_PH(AC$2,$A535)</f>
        <v>1081.25128576661</v>
      </c>
      <c r="AD535" s="0" t="n">
        <f aca="false">W_PH(AD$2,$A535)</f>
        <v>1081.3125106428</v>
      </c>
      <c r="AE535" s="0" t="n">
        <f aca="false">W_PH(AE$2,$A535)</f>
        <v>1081.37373974366</v>
      </c>
      <c r="AF535" s="0" t="n">
        <f aca="false">W_PH(AF$2,$A535)</f>
        <v>1081.43497355037</v>
      </c>
      <c r="AG535" s="0" t="n">
        <f aca="false">W_PH(AG$2,$A535)</f>
        <v>1081.49621362803</v>
      </c>
      <c r="AH535" s="0" t="n">
        <f aca="false">W_PH(AH$2,$A535)</f>
        <v>1082.10904028991</v>
      </c>
      <c r="AI535" s="0" t="n">
        <f aca="false">W_PH(AI$2,$A535)</f>
        <v>1082.72295868748</v>
      </c>
      <c r="AJ535" s="0" t="n">
        <f aca="false">W_PH(AJ$2,$A535)</f>
        <v>1083.3384311455</v>
      </c>
      <c r="AK535" s="0" t="n">
        <f aca="false">W_PH(AK$2,$A535)</f>
        <v>1083.95592032692</v>
      </c>
      <c r="AL535" s="0" t="n">
        <f aca="false">W_PH(AL$2,$A535)</f>
        <v>1084.57588816098</v>
      </c>
      <c r="AM535" s="0" t="n">
        <f aca="false">W_PH(AM$2,$A535)</f>
        <v>1085.19879911909</v>
      </c>
      <c r="AN535" s="0" t="n">
        <f aca="false">W_PH(AN$2,$A535)</f>
        <v>1085.82511697961</v>
      </c>
      <c r="AO535" s="0" t="n">
        <f aca="false">W_PH(AO$2,$A535)</f>
        <v>1086.4553037638</v>
      </c>
      <c r="AP535" s="0" t="n">
        <f aca="false">W_PH(AP$2,$A535)</f>
        <v>2015</v>
      </c>
      <c r="AQ535" s="0" t="n">
        <f aca="false">W_PH(AQ$2,$A535)</f>
        <v>2015</v>
      </c>
      <c r="AR535" s="0" t="n">
        <f aca="false">W_PH(AR$2,$A535)</f>
        <v>2015</v>
      </c>
      <c r="AS535" s="0" t="n">
        <f aca="false">W_PH(AS$2,$A535)</f>
        <v>2015</v>
      </c>
    </row>
    <row r="536" customFormat="false" ht="13.8" hidden="false" customHeight="false" outlineLevel="0" collapsed="false">
      <c r="A536" s="0" t="n">
        <v>6960</v>
      </c>
      <c r="B536" s="0" t="n">
        <f aca="false">W_PH(B$2,$A536)</f>
        <v>1081.72425739724</v>
      </c>
      <c r="C536" s="0" t="n">
        <f aca="false">W_PH(C$2,$A536)</f>
        <v>1081.72431742715</v>
      </c>
      <c r="D536" s="0" t="n">
        <f aca="false">W_PH(D$2,$A536)</f>
        <v>1081.72437962223</v>
      </c>
      <c r="E536" s="0" t="n">
        <f aca="false">W_PH(E$2,$A536)</f>
        <v>1081.72443965215</v>
      </c>
      <c r="F536" s="0" t="n">
        <f aca="false">W_PH(F$2,$A536)</f>
        <v>1081.72450184723</v>
      </c>
      <c r="G536" s="0" t="n">
        <f aca="false">W_PH(G$2,$A536)</f>
        <v>1081.72511297233</v>
      </c>
      <c r="H536" s="0" t="n">
        <f aca="false">W_PH(H$2,$A536)</f>
        <v>1081.72572626278</v>
      </c>
      <c r="I536" s="0" t="n">
        <f aca="false">W_PH(I$2,$A536)</f>
        <v>1081.72633738827</v>
      </c>
      <c r="J536" s="0" t="n">
        <f aca="false">W_PH(J$2,$A536)</f>
        <v>1081.72694959654</v>
      </c>
      <c r="K536" s="0" t="n">
        <f aca="false">W_PH(K$2,$A536)</f>
        <v>1081.72756180499</v>
      </c>
      <c r="L536" s="0" t="n">
        <f aca="false">W_PH(L$2,$A536)</f>
        <v>1081.72817293107</v>
      </c>
      <c r="M536" s="0" t="n">
        <f aca="false">W_PH(M$2,$A536)</f>
        <v>1081.7287862225</v>
      </c>
      <c r="N536" s="0" t="n">
        <f aca="false">W_PH(N$2,$A536)</f>
        <v>1081.72939734896</v>
      </c>
      <c r="O536" s="0" t="n">
        <f aca="false">W_PH(O$2,$A536)</f>
        <v>1081.7300095582</v>
      </c>
      <c r="P536" s="0" t="n">
        <f aca="false">W_PH(P$2,$A536)</f>
        <v>1081.73612949636</v>
      </c>
      <c r="Q536" s="0" t="n">
        <f aca="false">W_PH(Q$2,$A536)</f>
        <v>1081.74225053728</v>
      </c>
      <c r="R536" s="0" t="n">
        <f aca="false">W_PH(R$2,$A536)</f>
        <v>1081.74837051627</v>
      </c>
      <c r="S536" s="0" t="n">
        <f aca="false">W_PH(S$2,$A536)</f>
        <v>1081.75449051639</v>
      </c>
      <c r="T536" s="0" t="n">
        <f aca="false">W_PH(T$2,$A536)</f>
        <v>1081.76061053813</v>
      </c>
      <c r="U536" s="0" t="n">
        <f aca="false">W_PH(U$2,$A536)</f>
        <v>1081.76673058195</v>
      </c>
      <c r="V536" s="0" t="n">
        <f aca="false">W_PH(V$2,$A536)</f>
        <v>1081.77285064834</v>
      </c>
      <c r="W536" s="0" t="n">
        <f aca="false">W_PH(W$2,$A536)</f>
        <v>1081.77897073778</v>
      </c>
      <c r="X536" s="0" t="n">
        <f aca="false">W_PH(X$2,$A536)</f>
        <v>1081.78509085075</v>
      </c>
      <c r="Y536" s="0" t="n">
        <f aca="false">W_PH(Y$2,$A536)</f>
        <v>1081.84629554519</v>
      </c>
      <c r="Z536" s="0" t="n">
        <f aca="false">W_PH(Z$2,$A536)</f>
        <v>1081.90750095421</v>
      </c>
      <c r="AA536" s="0" t="n">
        <f aca="false">W_PH(AA$2,$A536)</f>
        <v>1081.96871080499</v>
      </c>
      <c r="AB536" s="0" t="n">
        <f aca="false">W_PH(AB$2,$A536)</f>
        <v>1082.0299244941</v>
      </c>
      <c r="AC536" s="0" t="n">
        <f aca="false">W_PH(AC$2,$A536)</f>
        <v>1082.09114141792</v>
      </c>
      <c r="AD536" s="0" t="n">
        <f aca="false">W_PH(AD$2,$A536)</f>
        <v>1082.15236205561</v>
      </c>
      <c r="AE536" s="0" t="n">
        <f aca="false">W_PH(AE$2,$A536)</f>
        <v>1082.21358796931</v>
      </c>
      <c r="AF536" s="0" t="n">
        <f aca="false">W_PH(AF$2,$A536)</f>
        <v>1082.27481963839</v>
      </c>
      <c r="AG536" s="0" t="n">
        <f aca="false">W_PH(AG$2,$A536)</f>
        <v>1082.33605754225</v>
      </c>
      <c r="AH536" s="0" t="n">
        <f aca="false">W_PH(AH$2,$A536)</f>
        <v>1082.94885248115</v>
      </c>
      <c r="AI536" s="0" t="n">
        <f aca="false">W_PH(AI$2,$A536)</f>
        <v>1083.56273451879</v>
      </c>
      <c r="AJ536" s="0" t="n">
        <f aca="false">W_PH(AJ$2,$A536)</f>
        <v>1084.17816296245</v>
      </c>
      <c r="AK536" s="0" t="n">
        <f aca="false">W_PH(AK$2,$A536)</f>
        <v>1084.79559962739</v>
      </c>
      <c r="AL536" s="0" t="n">
        <f aca="false">W_PH(AL$2,$A536)</f>
        <v>1085.41550668483</v>
      </c>
      <c r="AM536" s="0" t="n">
        <f aca="false">W_PH(AM$2,$A536)</f>
        <v>1086.03834125117</v>
      </c>
      <c r="AN536" s="0" t="n">
        <f aca="false">W_PH(AN$2,$A536)</f>
        <v>1086.66456951883</v>
      </c>
      <c r="AO536" s="0" t="n">
        <f aca="false">W_PH(AO$2,$A536)</f>
        <v>1087.29465049996</v>
      </c>
      <c r="AP536" s="0" t="n">
        <f aca="false">W_PH(AP$2,$A536)</f>
        <v>2015</v>
      </c>
      <c r="AQ536" s="0" t="n">
        <f aca="false">W_PH(AQ$2,$A536)</f>
        <v>2015</v>
      </c>
      <c r="AR536" s="0" t="n">
        <f aca="false">W_PH(AR$2,$A536)</f>
        <v>2015</v>
      </c>
      <c r="AS536" s="0" t="n">
        <f aca="false">W_PH(AS$2,$A536)</f>
        <v>2015</v>
      </c>
    </row>
    <row r="537" customFormat="false" ht="13.8" hidden="false" customHeight="false" outlineLevel="0" collapsed="false">
      <c r="A537" s="0" t="n">
        <v>6970</v>
      </c>
      <c r="B537" s="0" t="n">
        <f aca="false">W_PH(B$2,$A537)</f>
        <v>1082.56313480069</v>
      </c>
      <c r="C537" s="0" t="n">
        <f aca="false">W_PH(C$2,$A537)</f>
        <v>1082.56319594978</v>
      </c>
      <c r="D537" s="0" t="n">
        <f aca="false">W_PH(D$2,$A537)</f>
        <v>1082.56325709887</v>
      </c>
      <c r="E537" s="0" t="n">
        <f aca="false">W_PH(E$2,$A537)</f>
        <v>1082.56331932968</v>
      </c>
      <c r="F537" s="0" t="n">
        <f aca="false">W_PH(F$2,$A537)</f>
        <v>1082.56337939705</v>
      </c>
      <c r="G537" s="0" t="n">
        <f aca="false">W_PH(G$2,$A537)</f>
        <v>1082.5639919698</v>
      </c>
      <c r="H537" s="0" t="n">
        <f aca="false">W_PH(H$2,$A537)</f>
        <v>1082.56460454274</v>
      </c>
      <c r="I537" s="0" t="n">
        <f aca="false">W_PH(I$2,$A537)</f>
        <v>1082.56521603415</v>
      </c>
      <c r="J537" s="0" t="n">
        <f aca="false">W_PH(J$2,$A537)</f>
        <v>1082.56582752575</v>
      </c>
      <c r="K537" s="0" t="n">
        <f aca="false">W_PH(K$2,$A537)</f>
        <v>1082.56643901754</v>
      </c>
      <c r="L537" s="0" t="n">
        <f aca="false">W_PH(L$2,$A537)</f>
        <v>1082.56705159125</v>
      </c>
      <c r="M537" s="0" t="n">
        <f aca="false">W_PH(M$2,$A537)</f>
        <v>1082.56766416516</v>
      </c>
      <c r="N537" s="0" t="n">
        <f aca="false">W_PH(N$2,$A537)</f>
        <v>1082.56827565753</v>
      </c>
      <c r="O537" s="0" t="n">
        <f aca="false">W_PH(O$2,$A537)</f>
        <v>1082.5688871501</v>
      </c>
      <c r="P537" s="0" t="n">
        <f aca="false">W_PH(P$2,$A537)</f>
        <v>1082.57500749522</v>
      </c>
      <c r="Q537" s="0" t="n">
        <f aca="false">W_PH(Q$2,$A537)</f>
        <v>1082.58112786033</v>
      </c>
      <c r="R537" s="0" t="n">
        <f aca="false">W_PH(R$2,$A537)</f>
        <v>1082.58724716417</v>
      </c>
      <c r="S537" s="0" t="n">
        <f aca="false">W_PH(S$2,$A537)</f>
        <v>1082.59336648894</v>
      </c>
      <c r="T537" s="0" t="n">
        <f aca="false">W_PH(T$2,$A537)</f>
        <v>1082.59948691688</v>
      </c>
      <c r="U537" s="0" t="n">
        <f aca="false">W_PH(U$2,$A537)</f>
        <v>1082.60560736672</v>
      </c>
      <c r="V537" s="0" t="n">
        <f aca="false">W_PH(V$2,$A537)</f>
        <v>1082.61172675718</v>
      </c>
      <c r="W537" s="0" t="n">
        <f aca="false">W_PH(W$2,$A537)</f>
        <v>1082.61784617048</v>
      </c>
      <c r="X537" s="0" t="n">
        <f aca="false">W_PH(X$2,$A537)</f>
        <v>1082.62396668887</v>
      </c>
      <c r="Y537" s="0" t="n">
        <f aca="false">W_PH(Y$2,$A537)</f>
        <v>1082.68516785195</v>
      </c>
      <c r="Z537" s="0" t="n">
        <f aca="false">W_PH(Z$2,$A537)</f>
        <v>1082.7463707908</v>
      </c>
      <c r="AA537" s="0" t="n">
        <f aca="false">W_PH(AA$2,$A537)</f>
        <v>1082.80757706444</v>
      </c>
      <c r="AB537" s="0" t="n">
        <f aca="false">W_PH(AB$2,$A537)</f>
        <v>1082.86878715014</v>
      </c>
      <c r="AC537" s="0" t="n">
        <f aca="false">W_PH(AC$2,$A537)</f>
        <v>1082.93000152523</v>
      </c>
      <c r="AD537" s="0" t="n">
        <f aca="false">W_PH(AD$2,$A537)</f>
        <v>1082.99121850294</v>
      </c>
      <c r="AE537" s="0" t="n">
        <f aca="false">W_PH(AE$2,$A537)</f>
        <v>1083.05244288879</v>
      </c>
      <c r="AF537" s="0" t="n">
        <f aca="false">W_PH(AF$2,$A537)</f>
        <v>1083.11367083188</v>
      </c>
      <c r="AG537" s="0" t="n">
        <f aca="false">W_PH(AG$2,$A537)</f>
        <v>1083.17490497379</v>
      </c>
      <c r="AH537" s="0" t="n">
        <f aca="false">W_PH(AH$2,$A537)</f>
        <v>1083.78766640994</v>
      </c>
      <c r="AI537" s="0" t="n">
        <f aca="false">W_PH(AI$2,$A537)</f>
        <v>1084.40150927063</v>
      </c>
      <c r="AJ537" s="0" t="n">
        <f aca="false">W_PH(AJ$2,$A537)</f>
        <v>1085.0168931084</v>
      </c>
      <c r="AK537" s="0" t="n">
        <f aca="false">W_PH(AK$2,$A537)</f>
        <v>1085.63427456735</v>
      </c>
      <c r="AL537" s="0" t="n">
        <f aca="false">W_PH(AL$2,$A537)</f>
        <v>1086.25411498168</v>
      </c>
      <c r="AM537" s="0" t="n">
        <f aca="false">W_PH(AM$2,$A537)</f>
        <v>1086.87687280808</v>
      </c>
      <c r="AN537" s="0" t="n">
        <f aca="false">W_PH(AN$2,$A537)</f>
        <v>1087.50300798178</v>
      </c>
      <c r="AO537" s="0" t="n">
        <f aca="false">W_PH(AO$2,$A537)</f>
        <v>1088.13298085786</v>
      </c>
      <c r="AP537" s="0" t="n">
        <f aca="false">W_PH(AP$2,$A537)</f>
        <v>2015</v>
      </c>
      <c r="AQ537" s="0" t="n">
        <f aca="false">W_PH(AQ$2,$A537)</f>
        <v>2015</v>
      </c>
      <c r="AR537" s="0" t="n">
        <f aca="false">W_PH(AR$2,$A537)</f>
        <v>2015</v>
      </c>
      <c r="AS537" s="0" t="n">
        <f aca="false">W_PH(AS$2,$A537)</f>
        <v>2015</v>
      </c>
    </row>
    <row r="538" customFormat="false" ht="13.8" hidden="false" customHeight="false" outlineLevel="0" collapsed="false">
      <c r="A538" s="0" t="n">
        <v>6980</v>
      </c>
      <c r="B538" s="0" t="n">
        <f aca="false">W_PH(B$2,$A538)</f>
        <v>1083.40102242806</v>
      </c>
      <c r="C538" s="0" t="n">
        <f aca="false">W_PH(C$2,$A538)</f>
        <v>1083.40108469405</v>
      </c>
      <c r="D538" s="0" t="n">
        <f aca="false">W_PH(D$2,$A538)</f>
        <v>1083.40114479829</v>
      </c>
      <c r="E538" s="0" t="n">
        <f aca="false">W_PH(E$2,$A538)</f>
        <v>1083.40120706428</v>
      </c>
      <c r="F538" s="0" t="n">
        <f aca="false">W_PH(F$2,$A538)</f>
        <v>1083.40126716853</v>
      </c>
      <c r="G538" s="0" t="n">
        <f aca="false">W_PH(G$2,$A538)</f>
        <v>1083.40187901982</v>
      </c>
      <c r="H538" s="0" t="n">
        <f aca="false">W_PH(H$2,$A538)</f>
        <v>1083.40249087131</v>
      </c>
      <c r="I538" s="0" t="n">
        <f aca="false">W_PH(I$2,$A538)</f>
        <v>1083.40310380386</v>
      </c>
      <c r="J538" s="0" t="n">
        <f aca="false">W_PH(J$2,$A538)</f>
        <v>1083.40371565573</v>
      </c>
      <c r="K538" s="0" t="n">
        <f aca="false">W_PH(K$2,$A538)</f>
        <v>1083.40432750778</v>
      </c>
      <c r="L538" s="0" t="n">
        <f aca="false">W_PH(L$2,$A538)</f>
        <v>1083.40493936003</v>
      </c>
      <c r="M538" s="0" t="n">
        <f aca="false">W_PH(M$2,$A538)</f>
        <v>1083.40555121247</v>
      </c>
      <c r="N538" s="0" t="n">
        <f aca="false">W_PH(N$2,$A538)</f>
        <v>1083.40616414598</v>
      </c>
      <c r="O538" s="0" t="n">
        <f aca="false">W_PH(O$2,$A538)</f>
        <v>1083.40677599881</v>
      </c>
      <c r="P538" s="0" t="n">
        <f aca="false">W_PH(P$2,$A538)</f>
        <v>1083.41289453776</v>
      </c>
      <c r="Q538" s="0" t="n">
        <f aca="false">W_PH(Q$2,$A538)</f>
        <v>1083.4190141774</v>
      </c>
      <c r="R538" s="0" t="n">
        <f aca="false">W_PH(R$2,$A538)</f>
        <v>1083.42513383731</v>
      </c>
      <c r="S538" s="0" t="n">
        <f aca="false">W_PH(S$2,$A538)</f>
        <v>1083.43125351798</v>
      </c>
      <c r="T538" s="0" t="n">
        <f aca="false">W_PH(T$2,$A538)</f>
        <v>1083.43737321988</v>
      </c>
      <c r="U538" s="0" t="n">
        <f aca="false">W_PH(U$2,$A538)</f>
        <v>1083.44349186256</v>
      </c>
      <c r="V538" s="0" t="n">
        <f aca="false">W_PH(V$2,$A538)</f>
        <v>1083.44961268925</v>
      </c>
      <c r="W538" s="0" t="n">
        <f aca="false">W_PH(W$2,$A538)</f>
        <v>1083.45573137676</v>
      </c>
      <c r="X538" s="0" t="n">
        <f aca="false">W_PH(X$2,$A538)</f>
        <v>1083.46185116831</v>
      </c>
      <c r="Y538" s="0" t="n">
        <f aca="false">W_PH(Y$2,$A538)</f>
        <v>1083.52304937953</v>
      </c>
      <c r="Z538" s="0" t="n">
        <f aca="false">W_PH(Z$2,$A538)</f>
        <v>1083.58424934532</v>
      </c>
      <c r="AA538" s="0" t="n">
        <f aca="false">W_PH(AA$2,$A538)</f>
        <v>1083.64545262192</v>
      </c>
      <c r="AB538" s="0" t="n">
        <f aca="false">W_PH(AB$2,$A538)</f>
        <v>1083.70665860358</v>
      </c>
      <c r="AC538" s="0" t="n">
        <f aca="false">W_PH(AC$2,$A538)</f>
        <v>1083.7678688467</v>
      </c>
      <c r="AD538" s="0" t="n">
        <f aca="false">W_PH(AD$2,$A538)</f>
        <v>1083.82908490789</v>
      </c>
      <c r="AE538" s="0" t="n">
        <f aca="false">W_PH(AE$2,$A538)</f>
        <v>1083.89030401902</v>
      </c>
      <c r="AF538" s="0" t="n">
        <f aca="false">W_PH(AF$2,$A538)</f>
        <v>1083.95152881788</v>
      </c>
      <c r="AG538" s="0" t="n">
        <f aca="false">W_PH(AG$2,$A538)</f>
        <v>1084.01275977999</v>
      </c>
      <c r="AH538" s="0" t="n">
        <f aca="false">W_PH(AH$2,$A538)</f>
        <v>1084.62548489527</v>
      </c>
      <c r="AI538" s="0" t="n">
        <f aca="false">W_PH(AI$2,$A538)</f>
        <v>1085.23928580708</v>
      </c>
      <c r="AJ538" s="0" t="n">
        <f aca="false">W_PH(AJ$2,$A538)</f>
        <v>1085.85462015594</v>
      </c>
      <c r="AK538" s="0" t="n">
        <f aca="false">W_PH(AK$2,$A538)</f>
        <v>1086.47194592768</v>
      </c>
      <c r="AL538" s="0" t="n">
        <f aca="false">W_PH(AL$2,$A538)</f>
        <v>1087.09171821669</v>
      </c>
      <c r="AM538" s="0" t="n">
        <f aca="false">W_PH(AM$2,$A538)</f>
        <v>1087.71439574087</v>
      </c>
      <c r="AN538" s="0" t="n">
        <f aca="false">W_PH(AN$2,$A538)</f>
        <v>1088.34043653162</v>
      </c>
      <c r="AO538" s="0" t="n">
        <f aca="false">W_PH(AO$2,$A538)</f>
        <v>1088.97029904123</v>
      </c>
      <c r="AP538" s="0" t="n">
        <f aca="false">W_PH(AP$2,$A538)</f>
        <v>2015</v>
      </c>
      <c r="AQ538" s="0" t="n">
        <f aca="false">W_PH(AQ$2,$A538)</f>
        <v>2015</v>
      </c>
      <c r="AR538" s="0" t="n">
        <f aca="false">W_PH(AR$2,$A538)</f>
        <v>2015</v>
      </c>
      <c r="AS538" s="0" t="n">
        <f aca="false">W_PH(AS$2,$A538)</f>
        <v>2015</v>
      </c>
    </row>
    <row r="539" customFormat="false" ht="13.8" hidden="false" customHeight="false" outlineLevel="0" collapsed="false">
      <c r="A539" s="0" t="n">
        <v>6990</v>
      </c>
      <c r="B539" s="0" t="n">
        <f aca="false">W_PH(B$2,$A539)</f>
        <v>1084.23792407195</v>
      </c>
      <c r="C539" s="0" t="n">
        <f aca="false">W_PH(C$2,$A539)</f>
        <v>1084.2379842125</v>
      </c>
      <c r="D539" s="0" t="n">
        <f aca="false">W_PH(D$2,$A539)</f>
        <v>1084.23804651312</v>
      </c>
      <c r="E539" s="0" t="n">
        <f aca="false">W_PH(E$2,$A539)</f>
        <v>1084.23810665367</v>
      </c>
      <c r="F539" s="0" t="n">
        <f aca="false">W_PH(F$2,$A539)</f>
        <v>1084.23816895429</v>
      </c>
      <c r="G539" s="0" t="n">
        <f aca="false">W_PH(G$2,$A539)</f>
        <v>1084.23878008023</v>
      </c>
      <c r="H539" s="0" t="n">
        <f aca="false">W_PH(H$2,$A539)</f>
        <v>1084.23939120636</v>
      </c>
      <c r="I539" s="0" t="n">
        <f aca="false">W_PH(I$2,$A539)</f>
        <v>1084.24000341271</v>
      </c>
      <c r="J539" s="0" t="n">
        <f aca="false">W_PH(J$2,$A539)</f>
        <v>1084.24061561925</v>
      </c>
      <c r="K539" s="0" t="n">
        <f aca="false">W_PH(K$2,$A539)</f>
        <v>1084.24122782598</v>
      </c>
      <c r="L539" s="0" t="n">
        <f aca="false">W_PH(L$2,$A539)</f>
        <v>1084.24184003289</v>
      </c>
      <c r="M539" s="0" t="n">
        <f aca="false">W_PH(M$2,$A539)</f>
        <v>1084.24245224</v>
      </c>
      <c r="N539" s="0" t="n">
        <f aca="false">W_PH(N$2,$A539)</f>
        <v>1084.24306336726</v>
      </c>
      <c r="O539" s="0" t="n">
        <f aca="false">W_PH(O$2,$A539)</f>
        <v>1084.24367557475</v>
      </c>
      <c r="P539" s="0" t="n">
        <f aca="false">W_PH(P$2,$A539)</f>
        <v>1084.24979442015</v>
      </c>
      <c r="Q539" s="0" t="n">
        <f aca="false">W_PH(Q$2,$A539)</f>
        <v>1084.2559143652</v>
      </c>
      <c r="R539" s="0" t="n">
        <f aca="false">W_PH(R$2,$A539)</f>
        <v>1084.26203217025</v>
      </c>
      <c r="S539" s="0" t="n">
        <f aca="false">W_PH(S$2,$A539)</f>
        <v>1084.26815215596</v>
      </c>
      <c r="T539" s="0" t="n">
        <f aca="false">W_PH(T$2,$A539)</f>
        <v>1084.27427108266</v>
      </c>
      <c r="U539" s="0" t="n">
        <f aca="false">W_PH(U$2,$A539)</f>
        <v>1084.28039003086</v>
      </c>
      <c r="V539" s="0" t="n">
        <f aca="false">W_PH(V$2,$A539)</f>
        <v>1084.28651008111</v>
      </c>
      <c r="W539" s="0" t="n">
        <f aca="false">W_PH(W$2,$A539)</f>
        <v>1084.29262907376</v>
      </c>
      <c r="X539" s="0" t="n">
        <f aca="false">W_PH(X$2,$A539)</f>
        <v>1084.29874808933</v>
      </c>
      <c r="Y539" s="0" t="n">
        <f aca="false">W_PH(Y$2,$A539)</f>
        <v>1084.3599417705</v>
      </c>
      <c r="Z539" s="0" t="n">
        <f aca="false">W_PH(Z$2,$A539)</f>
        <v>1084.42113826535</v>
      </c>
      <c r="AA539" s="0" t="n">
        <f aca="false">W_PH(AA$2,$A539)</f>
        <v>1084.48233804729</v>
      </c>
      <c r="AB539" s="0" t="n">
        <f aca="false">W_PH(AB$2,$A539)</f>
        <v>1084.54354158974</v>
      </c>
      <c r="AC539" s="0" t="n">
        <f aca="false">W_PH(AC$2,$A539)</f>
        <v>1084.60474828587</v>
      </c>
      <c r="AD539" s="0" t="n">
        <f aca="false">W_PH(AD$2,$A539)</f>
        <v>1084.66595968939</v>
      </c>
      <c r="AE539" s="0" t="n">
        <f aca="false">W_PH(AE$2,$A539)</f>
        <v>1084.72717519344</v>
      </c>
      <c r="AF539" s="0" t="n">
        <f aca="false">W_PH(AF$2,$A539)</f>
        <v>1084.7883963519</v>
      </c>
      <c r="AG539" s="0" t="n">
        <f aca="false">W_PH(AG$2,$A539)</f>
        <v>1084.84962363837</v>
      </c>
      <c r="AH539" s="0" t="n">
        <f aca="false">W_PH(AH$2,$A539)</f>
        <v>1085.46230965926</v>
      </c>
      <c r="AI539" s="0" t="n">
        <f aca="false">W_PH(AI$2,$A539)</f>
        <v>1086.07606697574</v>
      </c>
      <c r="AJ539" s="0" t="n">
        <f aca="false">W_PH(AJ$2,$A539)</f>
        <v>1086.69135024734</v>
      </c>
      <c r="AK539" s="0" t="n">
        <f aca="false">W_PH(AK$2,$A539)</f>
        <v>1087.3086166433</v>
      </c>
      <c r="AL539" s="0" t="n">
        <f aca="false">W_PH(AL$2,$A539)</f>
        <v>1087.92831828204</v>
      </c>
      <c r="AM539" s="0" t="n">
        <f aca="false">W_PH(AM$2,$A539)</f>
        <v>1088.55091415173</v>
      </c>
      <c r="AN539" s="0" t="n">
        <f aca="false">W_PH(AN$2,$A539)</f>
        <v>1089.17685714221</v>
      </c>
      <c r="AO539" s="0" t="n">
        <f aca="false">W_PH(AO$2,$A539)</f>
        <v>1089.80660706331</v>
      </c>
      <c r="AP539" s="0" t="n">
        <f aca="false">W_PH(AP$2,$A539)</f>
        <v>2015</v>
      </c>
      <c r="AQ539" s="0" t="n">
        <f aca="false">W_PH(AQ$2,$A539)</f>
        <v>2015</v>
      </c>
      <c r="AR539" s="0" t="n">
        <f aca="false">W_PH(AR$2,$A539)</f>
        <v>2015</v>
      </c>
      <c r="AS539" s="0" t="n">
        <f aca="false">W_PH(AS$2,$A539)</f>
        <v>2015</v>
      </c>
    </row>
    <row r="540" customFormat="false" ht="13.8" hidden="false" customHeight="false" outlineLevel="0" collapsed="false">
      <c r="A540" s="0" t="n">
        <v>7000</v>
      </c>
      <c r="B540" s="0" t="n">
        <f aca="false">W_PH(B$2,$A540)</f>
        <v>1085.07383919007</v>
      </c>
      <c r="C540" s="0" t="n">
        <f aca="false">W_PH(C$2,$A540)</f>
        <v>1085.07389936639</v>
      </c>
      <c r="D540" s="0" t="n">
        <f aca="false">W_PH(D$2,$A540)</f>
        <v>1085.07396170107</v>
      </c>
      <c r="E540" s="0" t="n">
        <f aca="false">W_PH(E$2,$A540)</f>
        <v>1085.07402187738</v>
      </c>
      <c r="F540" s="0" t="n">
        <f aca="false">W_PH(F$2,$A540)</f>
        <v>1085.07408421207</v>
      </c>
      <c r="G540" s="0" t="n">
        <f aca="false">W_PH(G$2,$A540)</f>
        <v>1085.07469568799</v>
      </c>
      <c r="H540" s="0" t="n">
        <f aca="false">W_PH(H$2,$A540)</f>
        <v>1085.0753071641</v>
      </c>
      <c r="I540" s="0" t="n">
        <f aca="false">W_PH(I$2,$A540)</f>
        <v>1085.07591971958</v>
      </c>
      <c r="J540" s="0" t="n">
        <f aca="false">W_PH(J$2,$A540)</f>
        <v>1085.07653119606</v>
      </c>
      <c r="K540" s="0" t="n">
        <f aca="false">W_PH(K$2,$A540)</f>
        <v>1085.07714267273</v>
      </c>
      <c r="L540" s="0" t="n">
        <f aca="false">W_PH(L$2,$A540)</f>
        <v>1085.07775522877</v>
      </c>
      <c r="M540" s="0" t="n">
        <f aca="false">W_PH(M$2,$A540)</f>
        <v>1085.07836670582</v>
      </c>
      <c r="N540" s="0" t="n">
        <f aca="false">W_PH(N$2,$A540)</f>
        <v>1085.07897818305</v>
      </c>
      <c r="O540" s="0" t="n">
        <f aca="false">W_PH(O$2,$A540)</f>
        <v>1085.07959073966</v>
      </c>
      <c r="P540" s="0" t="n">
        <f aca="false">W_PH(P$2,$A540)</f>
        <v>1085.08570984114</v>
      </c>
      <c r="Q540" s="0" t="n">
        <f aca="false">W_PH(Q$2,$A540)</f>
        <v>1085.09182788286</v>
      </c>
      <c r="R540" s="0" t="n">
        <f aca="false">W_PH(R$2,$A540)</f>
        <v>1085.09794702369</v>
      </c>
      <c r="S540" s="0" t="n">
        <f aca="false">W_PH(S$2,$A540)</f>
        <v>1085.10406510569</v>
      </c>
      <c r="T540" s="0" t="n">
        <f aca="false">W_PH(T$2,$A540)</f>
        <v>1085.11018428775</v>
      </c>
      <c r="U540" s="0" t="n">
        <f aca="false">W_PH(U$2,$A540)</f>
        <v>1085.11630349113</v>
      </c>
      <c r="V540" s="0" t="n">
        <f aca="false">W_PH(V$2,$A540)</f>
        <v>1085.12242271631</v>
      </c>
      <c r="W540" s="0" t="n">
        <f aca="false">W_PH(W$2,$A540)</f>
        <v>1085.12854088453</v>
      </c>
      <c r="X540" s="0" t="n">
        <f aca="false">W_PH(X$2,$A540)</f>
        <v>1085.13466015471</v>
      </c>
      <c r="Y540" s="0" t="n">
        <f aca="false">W_PH(Y$2,$A540)</f>
        <v>1085.19585097301</v>
      </c>
      <c r="Z540" s="0" t="n">
        <f aca="false">W_PH(Z$2,$A540)</f>
        <v>1085.2570435042</v>
      </c>
      <c r="AA540" s="0" t="n">
        <f aca="false">W_PH(AA$2,$A540)</f>
        <v>1085.31823929899</v>
      </c>
      <c r="AB540" s="0" t="n">
        <f aca="false">W_PH(AB$2,$A540)</f>
        <v>1085.37943774948</v>
      </c>
      <c r="AC540" s="0" t="n">
        <f aca="false">W_PH(AC$2,$A540)</f>
        <v>1085.44064040655</v>
      </c>
      <c r="AD540" s="0" t="n">
        <f aca="false">W_PH(AD$2,$A540)</f>
        <v>1085.50184882129</v>
      </c>
      <c r="AE540" s="0" t="n">
        <f aca="false">W_PH(AE$2,$A540)</f>
        <v>1085.56306022685</v>
      </c>
      <c r="AF540" s="0" t="n">
        <f aca="false">W_PH(AF$2,$A540)</f>
        <v>1085.62427725379</v>
      </c>
      <c r="AG540" s="0" t="n">
        <f aca="false">W_PH(AG$2,$A540)</f>
        <v>1085.68550037381</v>
      </c>
      <c r="AH540" s="0" t="n">
        <f aca="false">W_PH(AH$2,$A540)</f>
        <v>1086.2981445718</v>
      </c>
      <c r="AI540" s="0" t="n">
        <f aca="false">W_PH(AI$2,$A540)</f>
        <v>1086.9118556079</v>
      </c>
      <c r="AJ540" s="0" t="n">
        <f aca="false">W_PH(AJ$2,$A540)</f>
        <v>1087.52708517381</v>
      </c>
      <c r="AK540" s="0" t="n">
        <f aca="false">W_PH(AK$2,$A540)</f>
        <v>1088.14428963181</v>
      </c>
      <c r="AL540" s="0" t="n">
        <f aca="false">W_PH(AL$2,$A540)</f>
        <v>1088.76391921915</v>
      </c>
      <c r="AM540" s="0" t="n">
        <f aca="false">W_PH(AM$2,$A540)</f>
        <v>1089.38642887464</v>
      </c>
      <c r="AN540" s="0" t="n">
        <f aca="false">W_PH(AN$2,$A540)</f>
        <v>1090.01227393726</v>
      </c>
      <c r="AO540" s="0" t="n">
        <f aca="false">W_PH(AO$2,$A540)</f>
        <v>1090.64191017026</v>
      </c>
      <c r="AP540" s="0" t="n">
        <f aca="false">W_PH(AP$2,$A540)</f>
        <v>2015</v>
      </c>
      <c r="AQ540" s="0" t="n">
        <f aca="false">W_PH(AQ$2,$A540)</f>
        <v>2015</v>
      </c>
      <c r="AR540" s="0" t="n">
        <f aca="false">W_PH(AR$2,$A540)</f>
        <v>2015</v>
      </c>
      <c r="AS540" s="0" t="n">
        <f aca="false">W_PH(AS$2,$A540)</f>
        <v>2015</v>
      </c>
    </row>
    <row r="541" customFormat="false" ht="13.8" hidden="false" customHeight="false" outlineLevel="0" collapsed="false">
      <c r="A541" s="0" t="n">
        <v>7010</v>
      </c>
      <c r="B541" s="0" t="n">
        <f aca="false">W_PH(B$2,$A541)</f>
        <v>1085.90877154896</v>
      </c>
      <c r="C541" s="0" t="n">
        <f aca="false">W_PH(C$2,$A541)</f>
        <v>1085.90883391715</v>
      </c>
      <c r="D541" s="0" t="n">
        <f aca="false">W_PH(D$2,$A541)</f>
        <v>1085.90889412868</v>
      </c>
      <c r="E541" s="0" t="n">
        <f aca="false">W_PH(E$2,$A541)</f>
        <v>1085.90895649688</v>
      </c>
      <c r="F541" s="0" t="n">
        <f aca="false">W_PH(F$2,$A541)</f>
        <v>1085.9090167084</v>
      </c>
      <c r="G541" s="0" t="n">
        <f aca="false">W_PH(G$2,$A541)</f>
        <v>1085.90962852881</v>
      </c>
      <c r="H541" s="0" t="n">
        <f aca="false">W_PH(H$2,$A541)</f>
        <v>1085.91024034941</v>
      </c>
      <c r="I541" s="0" t="n">
        <f aca="false">W_PH(I$2,$A541)</f>
        <v>1085.91085217019</v>
      </c>
      <c r="J541" s="0" t="n">
        <f aca="false">W_PH(J$2,$A541)</f>
        <v>1085.91146399115</v>
      </c>
      <c r="K541" s="0" t="n">
        <f aca="false">W_PH(K$2,$A541)</f>
        <v>1085.9120758123</v>
      </c>
      <c r="L541" s="0" t="n">
        <f aca="false">W_PH(L$2,$A541)</f>
        <v>1085.91268763363</v>
      </c>
      <c r="M541" s="0" t="n">
        <f aca="false">W_PH(M$2,$A541)</f>
        <v>1085.9133005335</v>
      </c>
      <c r="N541" s="0" t="n">
        <f aca="false">W_PH(N$2,$A541)</f>
        <v>1085.91391127686</v>
      </c>
      <c r="O541" s="0" t="n">
        <f aca="false">W_PH(O$2,$A541)</f>
        <v>1085.9145241771</v>
      </c>
      <c r="P541" s="0" t="n">
        <f aca="false">W_PH(P$2,$A541)</f>
        <v>1085.92064240647</v>
      </c>
      <c r="Q541" s="0" t="n">
        <f aca="false">W_PH(Q$2,$A541)</f>
        <v>1085.9267606551</v>
      </c>
      <c r="R541" s="0" t="n">
        <f aca="false">W_PH(R$2,$A541)</f>
        <v>1085.93287892346</v>
      </c>
      <c r="S541" s="0" t="n">
        <f aca="false">W_PH(S$2,$A541)</f>
        <v>1085.938997212</v>
      </c>
      <c r="T541" s="0" t="n">
        <f aca="false">W_PH(T$2,$A541)</f>
        <v>1085.94511552122</v>
      </c>
      <c r="U541" s="0" t="n">
        <f aca="false">W_PH(U$2,$A541)</f>
        <v>1085.95123385156</v>
      </c>
      <c r="V541" s="0" t="n">
        <f aca="false">W_PH(V$2,$A541)</f>
        <v>1085.95735220351</v>
      </c>
      <c r="W541" s="0" t="n">
        <f aca="false">W_PH(W$2,$A541)</f>
        <v>1085.96347057753</v>
      </c>
      <c r="X541" s="0" t="n">
        <f aca="false">W_PH(X$2,$A541)</f>
        <v>1085.9695889741</v>
      </c>
      <c r="Y541" s="0" t="n">
        <f aca="false">W_PH(Y$2,$A541)</f>
        <v>1086.0307753613</v>
      </c>
      <c r="Z541" s="0" t="n">
        <f aca="false">W_PH(Z$2,$A541)</f>
        <v>1086.09196451935</v>
      </c>
      <c r="AA541" s="0" t="n">
        <f aca="false">W_PH(AA$2,$A541)</f>
        <v>1086.1531558393</v>
      </c>
      <c r="AB541" s="0" t="n">
        <f aca="false">W_PH(AB$2,$A541)</f>
        <v>1086.21435086923</v>
      </c>
      <c r="AC541" s="0" t="n">
        <f aca="false">W_PH(AC$2,$A541)</f>
        <v>1086.27555007877</v>
      </c>
      <c r="AD541" s="0" t="n">
        <f aca="false">W_PH(AD$2,$A541)</f>
        <v>1086.33675285899</v>
      </c>
      <c r="AE541" s="0" t="n">
        <f aca="false">W_PH(AE$2,$A541)</f>
        <v>1086.39796075818</v>
      </c>
      <c r="AF541" s="0" t="n">
        <f aca="false">W_PH(AF$2,$A541)</f>
        <v>1086.4591742461</v>
      </c>
      <c r="AG541" s="0" t="n">
        <f aca="false">W_PH(AG$2,$A541)</f>
        <v>1086.52039379257</v>
      </c>
      <c r="AH541" s="0" t="n">
        <f aca="false">W_PH(AH$2,$A541)</f>
        <v>1087.1329934836</v>
      </c>
      <c r="AI541" s="0" t="n">
        <f aca="false">W_PH(AI$2,$A541)</f>
        <v>1087.746653439</v>
      </c>
      <c r="AJ541" s="0" t="n">
        <f aca="false">W_PH(AJ$2,$A541)</f>
        <v>1088.3618288735</v>
      </c>
      <c r="AK541" s="0" t="n">
        <f aca="false">W_PH(AK$2,$A541)</f>
        <v>1088.97896671315</v>
      </c>
      <c r="AL541" s="0" t="n">
        <f aca="false">W_PH(AL$2,$A541)</f>
        <v>1089.59852180565</v>
      </c>
      <c r="AM541" s="0" t="n">
        <f aca="false">W_PH(AM$2,$A541)</f>
        <v>1090.22094505753</v>
      </c>
      <c r="AN541" s="0" t="n">
        <f aca="false">W_PH(AN$2,$A541)</f>
        <v>1090.84668993671</v>
      </c>
      <c r="AO541" s="0" t="n">
        <f aca="false">W_PH(AO$2,$A541)</f>
        <v>1091.47620817231</v>
      </c>
      <c r="AP541" s="0" t="n">
        <f aca="false">W_PH(AP$2,$A541)</f>
        <v>2015</v>
      </c>
      <c r="AQ541" s="0" t="n">
        <f aca="false">W_PH(AQ$2,$A541)</f>
        <v>2015</v>
      </c>
      <c r="AR541" s="0" t="n">
        <f aca="false">W_PH(AR$2,$A541)</f>
        <v>2015</v>
      </c>
      <c r="AS541" s="0" t="n">
        <f aca="false">W_PH(AS$2,$A541)</f>
        <v>2015</v>
      </c>
    </row>
    <row r="542" customFormat="false" ht="13.8" hidden="false" customHeight="false" outlineLevel="0" collapsed="false">
      <c r="A542" s="0" t="n">
        <v>7020</v>
      </c>
      <c r="B542" s="0" t="n">
        <f aca="false">W_PH(B$2,$A542)</f>
        <v>1086.74272597465</v>
      </c>
      <c r="C542" s="0" t="n">
        <f aca="false">W_PH(C$2,$A542)</f>
        <v>1086.74278729833</v>
      </c>
      <c r="D542" s="0" t="n">
        <f aca="false">W_PH(D$2,$A542)</f>
        <v>1086.74284754452</v>
      </c>
      <c r="E542" s="0" t="n">
        <f aca="false">W_PH(E$2,$A542)</f>
        <v>1086.74290994569</v>
      </c>
      <c r="F542" s="0" t="n">
        <f aca="false">W_PH(F$2,$A542)</f>
        <v>1086.74297019188</v>
      </c>
      <c r="G542" s="0" t="n">
        <f aca="false">W_PH(G$2,$A542)</f>
        <v>1086.74358235134</v>
      </c>
      <c r="H542" s="0" t="n">
        <f aca="false">W_PH(H$2,$A542)</f>
        <v>1086.74419451097</v>
      </c>
      <c r="I542" s="0" t="n">
        <f aca="false">W_PH(I$2,$A542)</f>
        <v>1086.7448055933</v>
      </c>
      <c r="J542" s="0" t="n">
        <f aca="false">W_PH(J$2,$A542)</f>
        <v>1086.7454177533</v>
      </c>
      <c r="K542" s="0" t="n">
        <f aca="false">W_PH(K$2,$A542)</f>
        <v>1086.74602991348</v>
      </c>
      <c r="L542" s="0" t="n">
        <f aca="false">W_PH(L$2,$A542)</f>
        <v>1086.74664099636</v>
      </c>
      <c r="M542" s="0" t="n">
        <f aca="false">W_PH(M$2,$A542)</f>
        <v>1086.74725315691</v>
      </c>
      <c r="N542" s="0" t="n">
        <f aca="false">W_PH(N$2,$A542)</f>
        <v>1086.74786531765</v>
      </c>
      <c r="O542" s="0" t="n">
        <f aca="false">W_PH(O$2,$A542)</f>
        <v>1086.74847640108</v>
      </c>
      <c r="P542" s="0" t="n">
        <f aca="false">W_PH(P$2,$A542)</f>
        <v>1086.75459371067</v>
      </c>
      <c r="Q542" s="0" t="n">
        <f aca="false">W_PH(Q$2,$A542)</f>
        <v>1086.76071319434</v>
      </c>
      <c r="R542" s="0" t="n">
        <f aca="false">W_PH(R$2,$A542)</f>
        <v>1086.76683054255</v>
      </c>
      <c r="S542" s="0" t="n">
        <f aca="false">W_PH(S$2,$A542)</f>
        <v>1086.77294791077</v>
      </c>
      <c r="T542" s="0" t="n">
        <f aca="false">W_PH(T$2,$A542)</f>
        <v>1086.77906637699</v>
      </c>
      <c r="U542" s="0" t="n">
        <f aca="false">W_PH(U$2,$A542)</f>
        <v>1086.78518486416</v>
      </c>
      <c r="V542" s="0" t="n">
        <f aca="false">W_PH(V$2,$A542)</f>
        <v>1086.79130229522</v>
      </c>
      <c r="W542" s="0" t="n">
        <f aca="false">W_PH(W$2,$A542)</f>
        <v>1086.79741974817</v>
      </c>
      <c r="X542" s="0" t="n">
        <f aca="false">W_PH(X$2,$A542)</f>
        <v>1086.803538301</v>
      </c>
      <c r="Y542" s="0" t="n">
        <f aca="false">W_PH(Y$2,$A542)</f>
        <v>1086.86471977393</v>
      </c>
      <c r="Z542" s="0" t="n">
        <f aca="false">W_PH(Z$2,$A542)</f>
        <v>1086.92590507418</v>
      </c>
      <c r="AA542" s="0" t="n">
        <f aca="false">W_PH(AA$2,$A542)</f>
        <v>1086.98709143659</v>
      </c>
      <c r="AB542" s="0" t="n">
        <f aca="false">W_PH(AB$2,$A542)</f>
        <v>1087.04828363948</v>
      </c>
      <c r="AC542" s="0" t="n">
        <f aca="false">W_PH(AC$2,$A542)</f>
        <v>1087.10947783988</v>
      </c>
      <c r="AD542" s="0" t="n">
        <f aca="false">W_PH(AD$2,$A542)</f>
        <v>1087.17067666092</v>
      </c>
      <c r="AE542" s="0" t="n">
        <f aca="false">W_PH(AE$2,$A542)</f>
        <v>1087.23188057045</v>
      </c>
      <c r="AF542" s="0" t="n">
        <f aca="false">W_PH(AF$2,$A542)</f>
        <v>1087.2930878806</v>
      </c>
      <c r="AG542" s="0" t="n">
        <f aca="false">W_PH(AG$2,$A542)</f>
        <v>1087.35430337073</v>
      </c>
      <c r="AH542" s="0" t="n">
        <f aca="false">W_PH(AH$2,$A542)</f>
        <v>1087.96685591298</v>
      </c>
      <c r="AI542" s="0" t="n">
        <f aca="false">W_PH(AI$2,$A542)</f>
        <v>1088.58046542819</v>
      </c>
      <c r="AJ542" s="0" t="n">
        <f aca="false">W_PH(AJ$2,$A542)</f>
        <v>1089.19558094771</v>
      </c>
      <c r="AK542" s="0" t="n">
        <f aca="false">W_PH(AK$2,$A542)</f>
        <v>1089.8126529325</v>
      </c>
      <c r="AL542" s="0" t="n">
        <f aca="false">W_PH(AL$2,$A542)</f>
        <v>1090.43213004865</v>
      </c>
      <c r="AM542" s="0" t="n">
        <f aca="false">W_PH(AM$2,$A542)</f>
        <v>1091.05446458217</v>
      </c>
      <c r="AN542" s="0" t="n">
        <f aca="false">W_PH(AN$2,$A542)</f>
        <v>1091.68010598061</v>
      </c>
      <c r="AO542" s="0" t="n">
        <f aca="false">W_PH(AO$2,$A542)</f>
        <v>1092.30950519577</v>
      </c>
      <c r="AP542" s="0" t="n">
        <f aca="false">W_PH(AP$2,$A542)</f>
        <v>2015</v>
      </c>
      <c r="AQ542" s="0" t="n">
        <f aca="false">W_PH(AQ$2,$A542)</f>
        <v>2015</v>
      </c>
      <c r="AR542" s="0" t="n">
        <f aca="false">W_PH(AR$2,$A542)</f>
        <v>2015</v>
      </c>
      <c r="AS542" s="0" t="n">
        <f aca="false">W_PH(AS$2,$A542)</f>
        <v>2015</v>
      </c>
    </row>
    <row r="543" customFormat="false" ht="13.8" hidden="false" customHeight="false" outlineLevel="0" collapsed="false">
      <c r="A543" s="0" t="n">
        <v>7030</v>
      </c>
      <c r="B543" s="0" t="n">
        <f aca="false">W_PH(B$2,$A543)</f>
        <v>1087.57570296538</v>
      </c>
      <c r="C543" s="0" t="n">
        <f aca="false">W_PH(C$2,$A543)</f>
        <v>1087.57576324568</v>
      </c>
      <c r="D543" s="0" t="n">
        <f aca="false">W_PH(D$2,$A543)</f>
        <v>1087.57582460265</v>
      </c>
      <c r="E543" s="0" t="n">
        <f aca="false">W_PH(E$2,$A543)</f>
        <v>1087.57588595961</v>
      </c>
      <c r="F543" s="0" t="n">
        <f aca="false">W_PH(F$2,$A543)</f>
        <v>1087.57594623992</v>
      </c>
      <c r="G543" s="0" t="n">
        <f aca="false">W_PH(G$2,$A543)</f>
        <v>1087.57655873303</v>
      </c>
      <c r="H543" s="0" t="n">
        <f aca="false">W_PH(H$2,$A543)</f>
        <v>1087.57717122631</v>
      </c>
      <c r="I543" s="0" t="n">
        <f aca="false">W_PH(I$2,$A543)</f>
        <v>1087.57778264312</v>
      </c>
      <c r="J543" s="0" t="n">
        <f aca="false">W_PH(J$2,$A543)</f>
        <v>1087.57839406012</v>
      </c>
      <c r="K543" s="0" t="n">
        <f aca="false">W_PH(K$2,$A543)</f>
        <v>1087.5790054773</v>
      </c>
      <c r="L543" s="0" t="n">
        <f aca="false">W_PH(L$2,$A543)</f>
        <v>1087.57961689465</v>
      </c>
      <c r="M543" s="0" t="n">
        <f aca="false">W_PH(M$2,$A543)</f>
        <v>1087.58022938885</v>
      </c>
      <c r="N543" s="0" t="n">
        <f aca="false">W_PH(N$2,$A543)</f>
        <v>1087.58084080657</v>
      </c>
      <c r="O543" s="0" t="n">
        <f aca="false">W_PH(O$2,$A543)</f>
        <v>1087.58145330114</v>
      </c>
      <c r="P543" s="0" t="n">
        <f aca="false">W_PH(P$2,$A543)</f>
        <v>1087.58756964375</v>
      </c>
      <c r="Q543" s="0" t="n">
        <f aca="false">W_PH(Q$2,$A543)</f>
        <v>1087.59368815859</v>
      </c>
      <c r="R543" s="0" t="n">
        <f aca="false">W_PH(R$2,$A543)</f>
        <v>1087.59980453947</v>
      </c>
      <c r="S543" s="0" t="n">
        <f aca="false">W_PH(S$2,$A543)</f>
        <v>1087.60592309352</v>
      </c>
      <c r="T543" s="0" t="n">
        <f aca="false">W_PH(T$2,$A543)</f>
        <v>1087.61203951453</v>
      </c>
      <c r="U543" s="0" t="n">
        <f aca="false">W_PH(U$2,$A543)</f>
        <v>1087.61815810967</v>
      </c>
      <c r="V543" s="0" t="n">
        <f aca="false">W_PH(V$2,$A543)</f>
        <v>1087.62427457267</v>
      </c>
      <c r="W543" s="0" t="n">
        <f aca="false">W_PH(W$2,$A543)</f>
        <v>1087.63039321074</v>
      </c>
      <c r="X543" s="0" t="n">
        <f aca="false">W_PH(X$2,$A543)</f>
        <v>1087.63651079429</v>
      </c>
      <c r="Y543" s="0" t="n">
        <f aca="false">W_PH(Y$2,$A543)</f>
        <v>1087.69768795136</v>
      </c>
      <c r="Z543" s="0" t="n">
        <f aca="false">W_PH(Z$2,$A543)</f>
        <v>1087.7588678373</v>
      </c>
      <c r="AA543" s="0" t="n">
        <f aca="false">W_PH(AA$2,$A543)</f>
        <v>1087.82004984113</v>
      </c>
      <c r="AB543" s="0" t="n">
        <f aca="false">W_PH(AB$2,$A543)</f>
        <v>1087.8812365823</v>
      </c>
      <c r="AC543" s="0" t="n">
        <f aca="false">W_PH(AC$2,$A543)</f>
        <v>1087.94242637303</v>
      </c>
      <c r="AD543" s="0" t="n">
        <f aca="false">W_PH(AD$2,$A543)</f>
        <v>1088.00362075609</v>
      </c>
      <c r="AE543" s="0" t="n">
        <f aca="false">W_PH(AE$2,$A543)</f>
        <v>1088.06481912045</v>
      </c>
      <c r="AF543" s="0" t="n">
        <f aca="false">W_PH(AF$2,$A543)</f>
        <v>1088.12602300904</v>
      </c>
      <c r="AG543" s="0" t="n">
        <f aca="false">W_PH(AG$2,$A543)</f>
        <v>1088.1872328879</v>
      </c>
      <c r="AH543" s="0" t="n">
        <f aca="false">W_PH(AH$2,$A543)</f>
        <v>1088.79973676053</v>
      </c>
      <c r="AI543" s="0" t="n">
        <f aca="false">W_PH(AI$2,$A543)</f>
        <v>1089.41329220008</v>
      </c>
      <c r="AJ543" s="0" t="n">
        <f aca="false">W_PH(AJ$2,$A543)</f>
        <v>1090.0283474617</v>
      </c>
      <c r="AK543" s="0" t="n">
        <f aca="false">W_PH(AK$2,$A543)</f>
        <v>1090.64534899625</v>
      </c>
      <c r="AL543" s="0" t="n">
        <f aca="false">W_PH(AL$2,$A543)</f>
        <v>1091.26474793437</v>
      </c>
      <c r="AM543" s="0" t="n">
        <f aca="false">W_PH(AM$2,$A543)</f>
        <v>1091.88699039549</v>
      </c>
      <c r="AN543" s="0" t="n">
        <f aca="false">W_PH(AN$2,$A543)</f>
        <v>1092.51252613736</v>
      </c>
      <c r="AO543" s="0" t="n">
        <f aca="false">W_PH(AO$2,$A543)</f>
        <v>1093.14180534461</v>
      </c>
      <c r="AP543" s="0" t="n">
        <f aca="false">W_PH(AP$2,$A543)</f>
        <v>2015</v>
      </c>
      <c r="AQ543" s="0" t="n">
        <f aca="false">W_PH(AQ$2,$A543)</f>
        <v>2015</v>
      </c>
      <c r="AR543" s="0" t="n">
        <f aca="false">W_PH(AR$2,$A543)</f>
        <v>2015</v>
      </c>
      <c r="AS543" s="0" t="n">
        <f aca="false">W_PH(AS$2,$A543)</f>
        <v>2015</v>
      </c>
    </row>
    <row r="544" customFormat="false" ht="13.8" hidden="false" customHeight="false" outlineLevel="0" collapsed="false">
      <c r="A544" s="0" t="n">
        <v>7040</v>
      </c>
      <c r="B544" s="0" t="n">
        <f aca="false">W_PH(B$2,$A544)</f>
        <v>1088.40770516335</v>
      </c>
      <c r="C544" s="0" t="n">
        <f aca="false">W_PH(C$2,$A544)</f>
        <v>1088.40776547725</v>
      </c>
      <c r="D544" s="0" t="n">
        <f aca="false">W_PH(D$2,$A544)</f>
        <v>1088.40782686695</v>
      </c>
      <c r="E544" s="0" t="n">
        <f aca="false">W_PH(E$2,$A544)</f>
        <v>1088.40788825666</v>
      </c>
      <c r="F544" s="0" t="n">
        <f aca="false">W_PH(F$2,$A544)</f>
        <v>1088.40794857057</v>
      </c>
      <c r="G544" s="0" t="n">
        <f aca="false">W_PH(G$2,$A544)</f>
        <v>1088.40856031616</v>
      </c>
      <c r="H544" s="0" t="n">
        <f aca="false">W_PH(H$2,$A544)</f>
        <v>1088.40917206194</v>
      </c>
      <c r="I544" s="0" t="n">
        <f aca="false">W_PH(I$2,$A544)</f>
        <v>1088.4097838079</v>
      </c>
      <c r="J544" s="0" t="n">
        <f aca="false">W_PH(J$2,$A544)</f>
        <v>1088.41039555404</v>
      </c>
      <c r="K544" s="0" t="n">
        <f aca="false">W_PH(K$2,$A544)</f>
        <v>1088.41100730036</v>
      </c>
      <c r="L544" s="0" t="n">
        <f aca="false">W_PH(L$2,$A544)</f>
        <v>1088.41161904685</v>
      </c>
      <c r="M544" s="0" t="n">
        <f aca="false">W_PH(M$2,$A544)</f>
        <v>1088.41223079353</v>
      </c>
      <c r="N544" s="0" t="n">
        <f aca="false">W_PH(N$2,$A544)</f>
        <v>1088.4128425404</v>
      </c>
      <c r="O544" s="0" t="n">
        <f aca="false">W_PH(O$2,$A544)</f>
        <v>1088.41345428744</v>
      </c>
      <c r="P544" s="0" t="n">
        <f aca="false">W_PH(P$2,$A544)</f>
        <v>1088.41957176801</v>
      </c>
      <c r="Q544" s="0" t="n">
        <f aca="false">W_PH(Q$2,$A544)</f>
        <v>1088.42568819148</v>
      </c>
      <c r="R544" s="0" t="n">
        <f aca="false">W_PH(R$2,$A544)</f>
        <v>1088.43180463416</v>
      </c>
      <c r="S544" s="0" t="n">
        <f aca="false">W_PH(S$2,$A544)</f>
        <v>1088.43792217231</v>
      </c>
      <c r="T544" s="0" t="n">
        <f aca="false">W_PH(T$2,$A544)</f>
        <v>1088.4440397306</v>
      </c>
      <c r="U544" s="0" t="n">
        <f aca="false">W_PH(U$2,$A544)</f>
        <v>1088.45015730948</v>
      </c>
      <c r="V544" s="0" t="n">
        <f aca="false">W_PH(V$2,$A544)</f>
        <v>1088.45627383357</v>
      </c>
      <c r="W544" s="0" t="n">
        <f aca="false">W_PH(W$2,$A544)</f>
        <v>1088.46239037917</v>
      </c>
      <c r="X544" s="0" t="n">
        <f aca="false">W_PH(X$2,$A544)</f>
        <v>1088.4685080226</v>
      </c>
      <c r="Y544" s="0" t="n">
        <f aca="false">W_PH(Y$2,$A544)</f>
        <v>1088.52968038857</v>
      </c>
      <c r="Z544" s="0" t="n">
        <f aca="false">W_PH(Z$2,$A544)</f>
        <v>1088.5908554628</v>
      </c>
      <c r="AA544" s="0" t="n">
        <f aca="false">W_PH(AA$2,$A544)</f>
        <v>1088.65203263328</v>
      </c>
      <c r="AB544" s="0" t="n">
        <f aca="false">W_PH(AB$2,$A544)</f>
        <v>1088.71321451593</v>
      </c>
      <c r="AC544" s="0" t="n">
        <f aca="false">W_PH(AC$2,$A544)</f>
        <v>1088.77439942278</v>
      </c>
      <c r="AD544" s="0" t="n">
        <f aca="false">W_PH(AD$2,$A544)</f>
        <v>1088.8355888939</v>
      </c>
      <c r="AE544" s="0" t="n">
        <f aca="false">W_PH(AE$2,$A544)</f>
        <v>1088.89678231724</v>
      </c>
      <c r="AF544" s="0" t="n">
        <f aca="false">W_PH(AF$2,$A544)</f>
        <v>1088.95798230921</v>
      </c>
      <c r="AG544" s="0" t="n">
        <f aca="false">W_PH(AG$2,$A544)</f>
        <v>1089.01918610543</v>
      </c>
      <c r="AH544" s="0" t="n">
        <f aca="false">W_PH(AH$2,$A544)</f>
        <v>1089.63163875138</v>
      </c>
      <c r="AI544" s="0" t="n">
        <f aca="false">W_PH(AI$2,$A544)</f>
        <v>1090.24513760153</v>
      </c>
      <c r="AJ544" s="0" t="n">
        <f aca="false">W_PH(AJ$2,$A544)</f>
        <v>1090.86012798923</v>
      </c>
      <c r="AK544" s="0" t="n">
        <f aca="false">W_PH(AK$2,$A544)</f>
        <v>1091.47705991236</v>
      </c>
      <c r="AL544" s="0" t="n">
        <f aca="false">W_PH(AL$2,$A544)</f>
        <v>1092.09637511533</v>
      </c>
      <c r="AM544" s="0" t="n">
        <f aca="false">W_PH(AM$2,$A544)</f>
        <v>1092.71852434814</v>
      </c>
      <c r="AN544" s="0" t="n">
        <f aca="false">W_PH(AN$2,$A544)</f>
        <v>1093.34395337469</v>
      </c>
      <c r="AO544" s="0" t="n">
        <f aca="false">W_PH(AO$2,$A544)</f>
        <v>1093.97310946291</v>
      </c>
      <c r="AP544" s="0" t="n">
        <f aca="false">W_PH(AP$2,$A544)</f>
        <v>2015</v>
      </c>
      <c r="AQ544" s="0" t="n">
        <f aca="false">W_PH(AQ$2,$A544)</f>
        <v>2015</v>
      </c>
      <c r="AR544" s="0" t="n">
        <f aca="false">W_PH(AR$2,$A544)</f>
        <v>2015</v>
      </c>
      <c r="AS544" s="0" t="n">
        <f aca="false">W_PH(AS$2,$A544)</f>
        <v>2015</v>
      </c>
    </row>
    <row r="545" customFormat="false" ht="13.8" hidden="false" customHeight="false" outlineLevel="0" collapsed="false">
      <c r="A545" s="0" t="n">
        <v>7050</v>
      </c>
      <c r="B545" s="0" t="n">
        <f aca="false">W_PH(B$2,$A545)</f>
        <v>1089.23873519651</v>
      </c>
      <c r="C545" s="0" t="n">
        <f aca="false">W_PH(C$2,$A545)</f>
        <v>1089.23879554346</v>
      </c>
      <c r="D545" s="0" t="n">
        <f aca="false">W_PH(D$2,$A545)</f>
        <v>1089.23885696539</v>
      </c>
      <c r="E545" s="0" t="n">
        <f aca="false">W_PH(E$2,$A545)</f>
        <v>1089.23891838731</v>
      </c>
      <c r="F545" s="0" t="n">
        <f aca="false">W_PH(F$2,$A545)</f>
        <v>1089.23897873427</v>
      </c>
      <c r="G545" s="0" t="n">
        <f aca="false">W_PH(G$2,$A545)</f>
        <v>1089.23959080372</v>
      </c>
      <c r="H545" s="0" t="n">
        <f aca="false">W_PH(H$2,$A545)</f>
        <v>1089.24020287335</v>
      </c>
      <c r="I545" s="0" t="n">
        <f aca="false">W_PH(I$2,$A545)</f>
        <v>1089.24081494316</v>
      </c>
      <c r="J545" s="0" t="n">
        <f aca="false">W_PH(J$2,$A545)</f>
        <v>1089.24142593817</v>
      </c>
      <c r="K545" s="0" t="n">
        <f aca="false">W_PH(K$2,$A545)</f>
        <v>1089.24203693336</v>
      </c>
      <c r="L545" s="0" t="n">
        <f aca="false">W_PH(L$2,$A545)</f>
        <v>1089.2426490037</v>
      </c>
      <c r="M545" s="0" t="n">
        <f aca="false">W_PH(M$2,$A545)</f>
        <v>1089.24326107423</v>
      </c>
      <c r="N545" s="0" t="n">
        <f aca="false">W_PH(N$2,$A545)</f>
        <v>1089.24387314493</v>
      </c>
      <c r="O545" s="0" t="n">
        <f aca="false">W_PH(O$2,$A545)</f>
        <v>1089.24448414084</v>
      </c>
      <c r="P545" s="0" t="n">
        <f aca="false">W_PH(P$2,$A545)</f>
        <v>1089.25060055981</v>
      </c>
      <c r="Q545" s="0" t="n">
        <f aca="false">W_PH(Q$2,$A545)</f>
        <v>1089.25671699734</v>
      </c>
      <c r="R545" s="0" t="n">
        <f aca="false">W_PH(R$2,$A545)</f>
        <v>1089.26283345389</v>
      </c>
      <c r="S545" s="0" t="n">
        <f aca="false">W_PH(S$2,$A545)</f>
        <v>1089.26894992993</v>
      </c>
      <c r="T545" s="0" t="n">
        <f aca="false">W_PH(T$2,$A545)</f>
        <v>1089.27506642592</v>
      </c>
      <c r="U545" s="0" t="n">
        <f aca="false">W_PH(U$2,$A545)</f>
        <v>1089.28118401732</v>
      </c>
      <c r="V545" s="0" t="n">
        <f aca="false">W_PH(V$2,$A545)</f>
        <v>1089.28730055459</v>
      </c>
      <c r="W545" s="0" t="n">
        <f aca="false">W_PH(W$2,$A545)</f>
        <v>1089.2934171132</v>
      </c>
      <c r="X545" s="0" t="n">
        <f aca="false">W_PH(X$2,$A545)</f>
        <v>1089.2995336936</v>
      </c>
      <c r="Y545" s="0" t="n">
        <f aca="false">W_PH(Y$2,$A545)</f>
        <v>1089.36070079804</v>
      </c>
      <c r="Z545" s="0" t="n">
        <f aca="false">W_PH(Z$2,$A545)</f>
        <v>1089.42187059034</v>
      </c>
      <c r="AA545" s="0" t="n">
        <f aca="false">W_PH(AA$2,$A545)</f>
        <v>1089.48304353261</v>
      </c>
      <c r="AB545" s="0" t="n">
        <f aca="false">W_PH(AB$2,$A545)</f>
        <v>1089.54422008702</v>
      </c>
      <c r="AC545" s="0" t="n">
        <f aca="false">W_PH(AC$2,$A545)</f>
        <v>1089.60539856529</v>
      </c>
      <c r="AD545" s="0" t="n">
        <f aca="false">W_PH(AD$2,$A545)</f>
        <v>1089.66658373047</v>
      </c>
      <c r="AE545" s="0" t="n">
        <f aca="false">W_PH(AE$2,$A545)</f>
        <v>1089.72777174385</v>
      </c>
      <c r="AF545" s="0" t="n">
        <f aca="false">W_PH(AF$2,$A545)</f>
        <v>1089.7889662935</v>
      </c>
      <c r="AG545" s="0" t="n">
        <f aca="false">W_PH(AG$2,$A545)</f>
        <v>1089.85016569113</v>
      </c>
      <c r="AH545" s="0" t="n">
        <f aca="false">W_PH(AH$2,$A545)</f>
        <v>1090.46256244381</v>
      </c>
      <c r="AI545" s="0" t="n">
        <f aca="false">W_PH(AI$2,$A545)</f>
        <v>1091.07600223161</v>
      </c>
      <c r="AJ545" s="0" t="n">
        <f aca="false">W_PH(AJ$2,$A545)</f>
        <v>1091.69092855785</v>
      </c>
      <c r="AK545" s="0" t="n">
        <f aca="false">W_PH(AK$2,$A545)</f>
        <v>1092.3077852803</v>
      </c>
      <c r="AL545" s="0" t="n">
        <f aca="false">W_PH(AL$2,$A545)</f>
        <v>1092.9270177016</v>
      </c>
      <c r="AM545" s="0" t="n">
        <f aca="false">W_PH(AM$2,$A545)</f>
        <v>1093.54907043218</v>
      </c>
      <c r="AN545" s="0" t="n">
        <f aca="false">W_PH(AN$2,$A545)</f>
        <v>1094.1743895643</v>
      </c>
      <c r="AO545" s="0" t="n">
        <f aca="false">W_PH(AO$2,$A545)</f>
        <v>1094.80342054019</v>
      </c>
      <c r="AP545" s="0" t="n">
        <f aca="false">W_PH(AP$2,$A545)</f>
        <v>2015</v>
      </c>
      <c r="AQ545" s="0" t="n">
        <f aca="false">W_PH(AQ$2,$A545)</f>
        <v>2015</v>
      </c>
      <c r="AR545" s="0" t="n">
        <f aca="false">W_PH(AR$2,$A545)</f>
        <v>2015</v>
      </c>
      <c r="AS545" s="0" t="n">
        <f aca="false">W_PH(AS$2,$A545)</f>
        <v>2015</v>
      </c>
    </row>
    <row r="546" customFormat="false" ht="13.8" hidden="false" customHeight="false" outlineLevel="0" collapsed="false">
      <c r="A546" s="0" t="n">
        <v>7060</v>
      </c>
      <c r="B546" s="0" t="n">
        <f aca="false">W_PH(B$2,$A546)</f>
        <v>1090.06879460448</v>
      </c>
      <c r="C546" s="0" t="n">
        <f aca="false">W_PH(C$2,$A546)</f>
        <v>1090.06885713223</v>
      </c>
      <c r="D546" s="0" t="n">
        <f aca="false">W_PH(D$2,$A546)</f>
        <v>1090.06891751172</v>
      </c>
      <c r="E546" s="0" t="n">
        <f aca="false">W_PH(E$2,$A546)</f>
        <v>1090.06897896534</v>
      </c>
      <c r="F546" s="0" t="n">
        <f aca="false">W_PH(F$2,$A546)</f>
        <v>1090.06904041896</v>
      </c>
      <c r="G546" s="0" t="n">
        <f aca="false">W_PH(G$2,$A546)</f>
        <v>1090.06965173288</v>
      </c>
      <c r="H546" s="0" t="n">
        <f aca="false">W_PH(H$2,$A546)</f>
        <v>1090.07026304698</v>
      </c>
      <c r="I546" s="0" t="n">
        <f aca="false">W_PH(I$2,$A546)</f>
        <v>1090.07087543539</v>
      </c>
      <c r="J546" s="0" t="n">
        <f aca="false">W_PH(J$2,$A546)</f>
        <v>1090.0714856757</v>
      </c>
      <c r="K546" s="0" t="n">
        <f aca="false">W_PH(K$2,$A546)</f>
        <v>1090.07209806447</v>
      </c>
      <c r="L546" s="0" t="n">
        <f aca="false">W_PH(L$2,$A546)</f>
        <v>1090.07270937927</v>
      </c>
      <c r="M546" s="0" t="n">
        <f aca="false">W_PH(M$2,$A546)</f>
        <v>1090.07332069425</v>
      </c>
      <c r="N546" s="0" t="n">
        <f aca="false">W_PH(N$2,$A546)</f>
        <v>1090.07393308355</v>
      </c>
      <c r="O546" s="0" t="n">
        <f aca="false">W_PH(O$2,$A546)</f>
        <v>1090.07454439889</v>
      </c>
      <c r="P546" s="0" t="n">
        <f aca="false">W_PH(P$2,$A546)</f>
        <v>1090.08066078464</v>
      </c>
      <c r="Q546" s="0" t="n">
        <f aca="false">W_PH(Q$2,$A546)</f>
        <v>1090.08677611464</v>
      </c>
      <c r="R546" s="0" t="n">
        <f aca="false">W_PH(R$2,$A546)</f>
        <v>1090.09289146349</v>
      </c>
      <c r="S546" s="0" t="n">
        <f aca="false">W_PH(S$2,$A546)</f>
        <v>1090.09900897995</v>
      </c>
      <c r="T546" s="0" t="n">
        <f aca="false">W_PH(T$2,$A546)</f>
        <v>1090.10512436789</v>
      </c>
      <c r="U546" s="0" t="n">
        <f aca="false">W_PH(U$2,$A546)</f>
        <v>1090.11123977605</v>
      </c>
      <c r="V546" s="0" t="n">
        <f aca="false">W_PH(V$2,$A546)</f>
        <v>1090.11735627907</v>
      </c>
      <c r="W546" s="0" t="n">
        <f aca="false">W_PH(W$2,$A546)</f>
        <v>1090.12347280325</v>
      </c>
      <c r="X546" s="0" t="n">
        <f aca="false">W_PH(X$2,$A546)</f>
        <v>1090.12958827487</v>
      </c>
      <c r="Y546" s="0" t="n">
        <f aca="false">W_PH(Y$2,$A546)</f>
        <v>1090.19075072619</v>
      </c>
      <c r="Z546" s="0" t="n">
        <f aca="false">W_PH(Z$2,$A546)</f>
        <v>1090.25191584525</v>
      </c>
      <c r="AA546" s="0" t="n">
        <f aca="false">W_PH(AA$2,$A546)</f>
        <v>1090.31308301806</v>
      </c>
      <c r="AB546" s="0" t="n">
        <f aca="false">W_PH(AB$2,$A546)</f>
        <v>1090.37425377912</v>
      </c>
      <c r="AC546" s="0" t="n">
        <f aca="false">W_PH(AC$2,$A546)</f>
        <v>1090.43542751441</v>
      </c>
      <c r="AD546" s="0" t="n">
        <f aca="false">W_PH(AD$2,$A546)</f>
        <v>1090.49660683303</v>
      </c>
      <c r="AE546" s="0" t="n">
        <f aca="false">W_PH(AE$2,$A546)</f>
        <v>1090.55779112106</v>
      </c>
      <c r="AF546" s="0" t="n">
        <f aca="false">W_PH(AF$2,$A546)</f>
        <v>1090.61897868997</v>
      </c>
      <c r="AG546" s="0" t="n">
        <f aca="false">W_PH(AG$2,$A546)</f>
        <v>1090.68017214907</v>
      </c>
      <c r="AH546" s="0" t="n">
        <f aca="false">W_PH(AH$2,$A546)</f>
        <v>1091.29251268757</v>
      </c>
      <c r="AI546" s="0" t="n">
        <f aca="false">W_PH(AI$2,$A546)</f>
        <v>1091.90589098206</v>
      </c>
      <c r="AJ546" s="0" t="n">
        <f aca="false">W_PH(AJ$2,$A546)</f>
        <v>1092.52074871427</v>
      </c>
      <c r="AK546" s="0" t="n">
        <f aca="false">W_PH(AK$2,$A546)</f>
        <v>1093.13753007399</v>
      </c>
      <c r="AL546" s="0" t="n">
        <f aca="false">W_PH(AL$2,$A546)</f>
        <v>1093.7566753169</v>
      </c>
      <c r="AM546" s="0" t="n">
        <f aca="false">W_PH(AM$2,$A546)</f>
        <v>1094.37863154187</v>
      </c>
      <c r="AN546" s="0" t="n">
        <f aca="false">W_PH(AN$2,$A546)</f>
        <v>1095.00383764075</v>
      </c>
      <c r="AO546" s="0" t="n">
        <f aca="false">W_PH(AO$2,$A546)</f>
        <v>1095.63274262516</v>
      </c>
      <c r="AP546" s="0" t="n">
        <f aca="false">W_PH(AP$2,$A546)</f>
        <v>2015</v>
      </c>
      <c r="AQ546" s="0" t="n">
        <f aca="false">W_PH(AQ$2,$A546)</f>
        <v>2015</v>
      </c>
      <c r="AR546" s="0" t="n">
        <f aca="false">W_PH(AR$2,$A546)</f>
        <v>2015</v>
      </c>
      <c r="AS546" s="0" t="n">
        <f aca="false">W_PH(AS$2,$A546)</f>
        <v>2015</v>
      </c>
    </row>
    <row r="547" customFormat="false" ht="13.8" hidden="false" customHeight="false" outlineLevel="0" collapsed="false">
      <c r="A547" s="0" t="n">
        <v>7070</v>
      </c>
      <c r="B547" s="0" t="n">
        <f aca="false">W_PH(B$2,$A547)</f>
        <v>1090.89788920936</v>
      </c>
      <c r="C547" s="0" t="n">
        <f aca="false">W_PH(C$2,$A547)</f>
        <v>1090.89795069415</v>
      </c>
      <c r="D547" s="0" t="n">
        <f aca="false">W_PH(D$2,$A547)</f>
        <v>1090.89801217894</v>
      </c>
      <c r="E547" s="0" t="n">
        <f aca="false">W_PH(E$2,$A547)</f>
        <v>1090.89807259044</v>
      </c>
      <c r="F547" s="0" t="n">
        <f aca="false">W_PH(F$2,$A547)</f>
        <v>1090.89813407524</v>
      </c>
      <c r="G547" s="0" t="n">
        <f aca="false">W_PH(G$2,$A547)</f>
        <v>1090.8987457034</v>
      </c>
      <c r="H547" s="0" t="n">
        <f aca="false">W_PH(H$2,$A547)</f>
        <v>1090.89935625844</v>
      </c>
      <c r="I547" s="0" t="n">
        <f aca="false">W_PH(I$2,$A547)</f>
        <v>1090.89996896025</v>
      </c>
      <c r="J547" s="0" t="n">
        <f aca="false">W_PH(J$2,$A547)</f>
        <v>1090.90057951564</v>
      </c>
      <c r="K547" s="0" t="n">
        <f aca="false">W_PH(K$2,$A547)</f>
        <v>1090.90119221781</v>
      </c>
      <c r="L547" s="0" t="n">
        <f aca="false">W_PH(L$2,$A547)</f>
        <v>1090.90180277355</v>
      </c>
      <c r="M547" s="0" t="n">
        <f aca="false">W_PH(M$2,$A547)</f>
        <v>1090.90241547606</v>
      </c>
      <c r="N547" s="0" t="n">
        <f aca="false">W_PH(N$2,$A547)</f>
        <v>1090.90302603216</v>
      </c>
      <c r="O547" s="0" t="n">
        <f aca="false">W_PH(O$2,$A547)</f>
        <v>1090.90363766173</v>
      </c>
      <c r="P547" s="0" t="n">
        <f aca="false">W_PH(P$2,$A547)</f>
        <v>1090.90975289398</v>
      </c>
      <c r="Q547" s="0" t="n">
        <f aca="false">W_PH(Q$2,$A547)</f>
        <v>1090.91586921776</v>
      </c>
      <c r="R547" s="0" t="n">
        <f aca="false">W_PH(R$2,$A547)</f>
        <v>1090.92198341361</v>
      </c>
      <c r="S547" s="0" t="n">
        <f aca="false">W_PH(S$2,$A547)</f>
        <v>1090.92809977523</v>
      </c>
      <c r="T547" s="0" t="n">
        <f aca="false">W_PH(T$2,$A547)</f>
        <v>1090.93421508314</v>
      </c>
      <c r="U547" s="0" t="n">
        <f aca="false">W_PH(U$2,$A547)</f>
        <v>1090.94033041111</v>
      </c>
      <c r="V547" s="0" t="n">
        <f aca="false">W_PH(V$2,$A547)</f>
        <v>1090.94644575959</v>
      </c>
      <c r="W547" s="0" t="n">
        <f aca="false">W_PH(W$2,$A547)</f>
        <v>1090.95256112905</v>
      </c>
      <c r="X547" s="0" t="n">
        <f aca="false">W_PH(X$2,$A547)</f>
        <v>1090.95867759328</v>
      </c>
      <c r="Y547" s="0" t="n">
        <f aca="false">W_PH(Y$2,$A547)</f>
        <v>1091.01983385539</v>
      </c>
      <c r="Z547" s="0" t="n">
        <f aca="false">W_PH(Z$2,$A547)</f>
        <v>1091.08099276528</v>
      </c>
      <c r="AA547" s="0" t="n">
        <f aca="false">W_PH(AA$2,$A547)</f>
        <v>1091.14215478139</v>
      </c>
      <c r="AB547" s="0" t="n">
        <f aca="false">W_PH(AB$2,$A547)</f>
        <v>1091.2033203622</v>
      </c>
      <c r="AC547" s="0" t="n">
        <f aca="false">W_PH(AC$2,$A547)</f>
        <v>1091.26448889269</v>
      </c>
      <c r="AD547" s="0" t="n">
        <f aca="false">W_PH(AD$2,$A547)</f>
        <v>1091.32566190488</v>
      </c>
      <c r="AE547" s="0" t="n">
        <f aca="false">W_PH(AE$2,$A547)</f>
        <v>1091.38683985737</v>
      </c>
      <c r="AF547" s="0" t="n">
        <f aca="false">W_PH(AF$2,$A547)</f>
        <v>1091.44802213511</v>
      </c>
      <c r="AG547" s="0" t="n">
        <f aca="false">W_PH(AG$2,$A547)</f>
        <v>1091.50921027035</v>
      </c>
      <c r="AH547" s="0" t="n">
        <f aca="false">W_PH(AH$2,$A547)</f>
        <v>1092.12149108828</v>
      </c>
      <c r="AI547" s="0" t="n">
        <f aca="false">W_PH(AI$2,$A547)</f>
        <v>1092.73480657328</v>
      </c>
      <c r="AJ547" s="0" t="n">
        <f aca="false">W_PH(AJ$2,$A547)</f>
        <v>1093.34959444882</v>
      </c>
      <c r="AK547" s="0" t="n">
        <f aca="false">W_PH(AK$2,$A547)</f>
        <v>1093.96629494304</v>
      </c>
      <c r="AL547" s="0" t="n">
        <f aca="false">W_PH(AL$2,$A547)</f>
        <v>1094.58535295661</v>
      </c>
      <c r="AM547" s="0" t="n">
        <f aca="false">W_PH(AM$2,$A547)</f>
        <v>1095.20720732637</v>
      </c>
      <c r="AN547" s="0" t="n">
        <f aca="false">W_PH(AN$2,$A547)</f>
        <v>1095.83230159716</v>
      </c>
      <c r="AO547" s="0" t="n">
        <f aca="false">W_PH(AO$2,$A547)</f>
        <v>1096.46107759168</v>
      </c>
      <c r="AP547" s="0" t="n">
        <f aca="false">W_PH(AP$2,$A547)</f>
        <v>2015</v>
      </c>
      <c r="AQ547" s="0" t="n">
        <f aca="false">W_PH(AQ$2,$A547)</f>
        <v>2015</v>
      </c>
      <c r="AR547" s="0" t="n">
        <f aca="false">W_PH(AR$2,$A547)</f>
        <v>2015</v>
      </c>
      <c r="AS547" s="0" t="n">
        <f aca="false">W_PH(AS$2,$A547)</f>
        <v>2015</v>
      </c>
    </row>
    <row r="548" customFormat="false" ht="13.8" hidden="false" customHeight="false" outlineLevel="0" collapsed="false">
      <c r="A548" s="0" t="n">
        <v>7080</v>
      </c>
      <c r="B548" s="0" t="n">
        <f aca="false">W_PH(B$2,$A548)</f>
        <v>1091.72601837446</v>
      </c>
      <c r="C548" s="0" t="n">
        <f aca="false">W_PH(C$2,$A548)</f>
        <v>1091.72607988991</v>
      </c>
      <c r="D548" s="0" t="n">
        <f aca="false">W_PH(D$2,$A548)</f>
        <v>1091.72614140536</v>
      </c>
      <c r="E548" s="0" t="n">
        <f aca="false">W_PH(E$2,$A548)</f>
        <v>1091.72620184836</v>
      </c>
      <c r="F548" s="0" t="n">
        <f aca="false">W_PH(F$2,$A548)</f>
        <v>1091.72626336381</v>
      </c>
      <c r="G548" s="0" t="n">
        <f aca="false">W_PH(G$2,$A548)</f>
        <v>1091.72687530106</v>
      </c>
      <c r="H548" s="0" t="n">
        <f aca="false">W_PH(H$2,$A548)</f>
        <v>1091.72748616603</v>
      </c>
      <c r="I548" s="0" t="n">
        <f aca="false">W_PH(I$2,$A548)</f>
        <v>1091.72809810363</v>
      </c>
      <c r="J548" s="0" t="n">
        <f aca="false">W_PH(J$2,$A548)</f>
        <v>1091.7287100414</v>
      </c>
      <c r="K548" s="0" t="n">
        <f aca="false">W_PH(K$2,$A548)</f>
        <v>1091.72932090689</v>
      </c>
      <c r="L548" s="0" t="n">
        <f aca="false">W_PH(L$2,$A548)</f>
        <v>1091.72993177255</v>
      </c>
      <c r="M548" s="0" t="n">
        <f aca="false">W_PH(M$2,$A548)</f>
        <v>1091.73054371084</v>
      </c>
      <c r="N548" s="0" t="n">
        <f aca="false">W_PH(N$2,$A548)</f>
        <v>1091.73115564932</v>
      </c>
      <c r="O548" s="0" t="n">
        <f aca="false">W_PH(O$2,$A548)</f>
        <v>1091.7317665155</v>
      </c>
      <c r="P548" s="0" t="n">
        <f aca="false">W_PH(P$2,$A548)</f>
        <v>1091.73788162188</v>
      </c>
      <c r="Q548" s="0" t="n">
        <f aca="false">W_PH(Q$2,$A548)</f>
        <v>1091.74399674633</v>
      </c>
      <c r="R548" s="0" t="n">
        <f aca="false">W_PH(R$2,$A548)</f>
        <v>1091.75011188929</v>
      </c>
      <c r="S548" s="0" t="n">
        <f aca="false">W_PH(S$2,$A548)</f>
        <v>1091.75622597876</v>
      </c>
      <c r="T548" s="0" t="n">
        <f aca="false">W_PH(T$2,$A548)</f>
        <v>1091.76234116013</v>
      </c>
      <c r="U548" s="0" t="n">
        <f aca="false">W_PH(U$2,$A548)</f>
        <v>1091.76845528891</v>
      </c>
      <c r="V548" s="0" t="n">
        <f aca="false">W_PH(V$2,$A548)</f>
        <v>1091.77457051052</v>
      </c>
      <c r="W548" s="0" t="n">
        <f aca="false">W_PH(W$2,$A548)</f>
        <v>1091.78068575293</v>
      </c>
      <c r="X548" s="0" t="n">
        <f aca="false">W_PH(X$2,$A548)</f>
        <v>1091.78680101661</v>
      </c>
      <c r="Y548" s="0" t="n">
        <f aca="false">W_PH(Y$2,$A548)</f>
        <v>1091.84795170552</v>
      </c>
      <c r="Z548" s="0" t="n">
        <f aca="false">W_PH(Z$2,$A548)</f>
        <v>1091.90910502252</v>
      </c>
      <c r="AA548" s="0" t="n">
        <f aca="false">W_PH(AA$2,$A548)</f>
        <v>1091.97026035162</v>
      </c>
      <c r="AB548" s="0" t="n">
        <f aca="false">W_PH(AB$2,$A548)</f>
        <v>1092.03142029466</v>
      </c>
      <c r="AC548" s="0" t="n">
        <f aca="false">W_PH(AC$2,$A548)</f>
        <v>1092.09258316308</v>
      </c>
      <c r="AD548" s="0" t="n">
        <f aca="false">W_PH(AD$2,$A548)</f>
        <v>1092.15375048623</v>
      </c>
      <c r="AE548" s="0" t="n">
        <f aca="false">W_PH(AE$2,$A548)</f>
        <v>1092.21492164811</v>
      </c>
      <c r="AF548" s="0" t="n">
        <f aca="false">W_PH(AF$2,$A548)</f>
        <v>1092.27609925104</v>
      </c>
      <c r="AG548" s="0" t="n">
        <f aca="false">W_PH(AG$2,$A548)</f>
        <v>1092.33728160628</v>
      </c>
      <c r="AH548" s="0" t="n">
        <f aca="false">W_PH(AH$2,$A548)</f>
        <v>1092.94950138659</v>
      </c>
      <c r="AI548" s="0" t="n">
        <f aca="false">W_PH(AI$2,$A548)</f>
        <v>1093.56274956304</v>
      </c>
      <c r="AJ548" s="0" t="n">
        <f aca="false">W_PH(AJ$2,$A548)</f>
        <v>1094.17746420763</v>
      </c>
      <c r="AK548" s="0" t="n">
        <f aca="false">W_PH(AK$2,$A548)</f>
        <v>1094.79408482523</v>
      </c>
      <c r="AL548" s="0" t="n">
        <f aca="false">W_PH(AL$2,$A548)</f>
        <v>1095.41305236822</v>
      </c>
      <c r="AM548" s="0" t="n">
        <f aca="false">W_PH(AM$2,$A548)</f>
        <v>1096.03480387863</v>
      </c>
      <c r="AN548" s="0" t="n">
        <f aca="false">W_PH(AN$2,$A548)</f>
        <v>1096.65978217938</v>
      </c>
      <c r="AO548" s="0" t="n">
        <f aca="false">W_PH(AO$2,$A548)</f>
        <v>1097.2884272992</v>
      </c>
      <c r="AP548" s="0" t="n">
        <f aca="false">W_PH(AP$2,$A548)</f>
        <v>2015</v>
      </c>
      <c r="AQ548" s="0" t="n">
        <f aca="false">W_PH(AQ$2,$A548)</f>
        <v>2015</v>
      </c>
      <c r="AR548" s="0" t="n">
        <f aca="false">W_PH(AR$2,$A548)</f>
        <v>2015</v>
      </c>
      <c r="AS548" s="0" t="n">
        <f aca="false">W_PH(AS$2,$A548)</f>
        <v>2015</v>
      </c>
    </row>
    <row r="549" customFormat="false" ht="13.8" hidden="false" customHeight="false" outlineLevel="0" collapsed="false">
      <c r="A549" s="0" t="n">
        <v>7090</v>
      </c>
      <c r="B549" s="0" t="n">
        <f aca="false">W_PH(B$2,$A549)</f>
        <v>1092.55318574577</v>
      </c>
      <c r="C549" s="0" t="n">
        <f aca="false">W_PH(C$2,$A549)</f>
        <v>1092.553248363</v>
      </c>
      <c r="D549" s="0" t="n">
        <f aca="false">W_PH(D$2,$A549)</f>
        <v>1092.55330883697</v>
      </c>
      <c r="E549" s="0" t="n">
        <f aca="false">W_PH(E$2,$A549)</f>
        <v>1092.55336931094</v>
      </c>
      <c r="F549" s="0" t="n">
        <f aca="false">W_PH(F$2,$A549)</f>
        <v>1092.55343085655</v>
      </c>
      <c r="G549" s="0" t="n">
        <f aca="false">W_PH(G$2,$A549)</f>
        <v>1092.55404309778</v>
      </c>
      <c r="H549" s="0" t="n">
        <f aca="false">W_PH(H$2,$A549)</f>
        <v>1092.55465426757</v>
      </c>
      <c r="I549" s="0" t="n">
        <f aca="false">W_PH(I$2,$A549)</f>
        <v>1092.55526543752</v>
      </c>
      <c r="J549" s="0" t="n">
        <f aca="false">W_PH(J$2,$A549)</f>
        <v>1092.55587660764</v>
      </c>
      <c r="K549" s="0" t="n">
        <f aca="false">W_PH(K$2,$A549)</f>
        <v>1092.55648777794</v>
      </c>
      <c r="L549" s="0" t="n">
        <f aca="false">W_PH(L$2,$A549)</f>
        <v>1092.55709894841</v>
      </c>
      <c r="M549" s="0" t="n">
        <f aca="false">W_PH(M$2,$A549)</f>
        <v>1092.55771119068</v>
      </c>
      <c r="N549" s="0" t="n">
        <f aca="false">W_PH(N$2,$A549)</f>
        <v>1092.5583223615</v>
      </c>
      <c r="O549" s="0" t="n">
        <f aca="false">W_PH(O$2,$A549)</f>
        <v>1092.55893460412</v>
      </c>
      <c r="P549" s="0" t="n">
        <f aca="false">W_PH(P$2,$A549)</f>
        <v>1092.56504846694</v>
      </c>
      <c r="Q549" s="0" t="n">
        <f aca="false">W_PH(Q$2,$A549)</f>
        <v>1092.57116234767</v>
      </c>
      <c r="R549" s="0" t="n">
        <f aca="false">W_PH(R$2,$A549)</f>
        <v>1092.57727624675</v>
      </c>
      <c r="S549" s="0" t="n">
        <f aca="false">W_PH(S$2,$A549)</f>
        <v>1092.58339016463</v>
      </c>
      <c r="T549" s="0" t="n">
        <f aca="false">W_PH(T$2,$A549)</f>
        <v>1092.58950517343</v>
      </c>
      <c r="U549" s="0" t="n">
        <f aca="false">W_PH(U$2,$A549)</f>
        <v>1092.59562020195</v>
      </c>
      <c r="V549" s="0" t="n">
        <f aca="false">W_PH(V$2,$A549)</f>
        <v>1092.60173417899</v>
      </c>
      <c r="W549" s="0" t="n">
        <f aca="false">W_PH(W$2,$A549)</f>
        <v>1092.60784817666</v>
      </c>
      <c r="X549" s="0" t="n">
        <f aca="false">W_PH(X$2,$A549)</f>
        <v>1092.61396219541</v>
      </c>
      <c r="Y549" s="0" t="n">
        <f aca="false">W_PH(Y$2,$A549)</f>
        <v>1092.67510792924</v>
      </c>
      <c r="Z549" s="0" t="n">
        <f aca="false">W_PH(Z$2,$A549)</f>
        <v>1092.73625412826</v>
      </c>
      <c r="AA549" s="0" t="n">
        <f aca="false">W_PH(AA$2,$A549)</f>
        <v>1092.79740446239</v>
      </c>
      <c r="AB549" s="0" t="n">
        <f aca="false">W_PH(AB$2,$A549)</f>
        <v>1092.8585583148</v>
      </c>
      <c r="AC549" s="0" t="n">
        <f aca="false">W_PH(AC$2,$A549)</f>
        <v>1092.9197150685</v>
      </c>
      <c r="AD549" s="0" t="n">
        <f aca="false">W_PH(AD$2,$A549)</f>
        <v>1092.98087625021</v>
      </c>
      <c r="AE549" s="0" t="n">
        <f aca="false">W_PH(AE$2,$A549)</f>
        <v>1093.04204124297</v>
      </c>
      <c r="AF549" s="0" t="n">
        <f aca="false">W_PH(AF$2,$A549)</f>
        <v>1093.10321157363</v>
      </c>
      <c r="AG549" s="0" t="n">
        <f aca="false">W_PH(AG$2,$A549)</f>
        <v>1093.16438876925</v>
      </c>
      <c r="AH549" s="0" t="n">
        <f aca="false">W_PH(AH$2,$A549)</f>
        <v>1093.77654301532</v>
      </c>
      <c r="AI549" s="0" t="n">
        <f aca="false">W_PH(AI$2,$A549)</f>
        <v>1094.38972371905</v>
      </c>
      <c r="AJ549" s="0" t="n">
        <f aca="false">W_PH(AJ$2,$A549)</f>
        <v>1095.00436287375</v>
      </c>
      <c r="AK549" s="0" t="n">
        <f aca="false">W_PH(AK$2,$A549)</f>
        <v>1095.62090141473</v>
      </c>
      <c r="AL549" s="0" t="n">
        <f aca="false">W_PH(AL$2,$A549)</f>
        <v>1096.23977528613</v>
      </c>
      <c r="AM549" s="0" t="n">
        <f aca="false">W_PH(AM$2,$A549)</f>
        <v>1096.86142296732</v>
      </c>
      <c r="AN549" s="0" t="n">
        <f aca="false">W_PH(AN$2,$A549)</f>
        <v>1097.48628334641</v>
      </c>
      <c r="AO549" s="0" t="n">
        <f aca="false">W_PH(AO$2,$A549)</f>
        <v>1098.11479574248</v>
      </c>
      <c r="AP549" s="0" t="n">
        <f aca="false">W_PH(AP$2,$A549)</f>
        <v>2015</v>
      </c>
      <c r="AQ549" s="0" t="n">
        <f aca="false">W_PH(AQ$2,$A549)</f>
        <v>2015</v>
      </c>
      <c r="AR549" s="0" t="n">
        <f aca="false">W_PH(AR$2,$A549)</f>
        <v>2015</v>
      </c>
      <c r="AS549" s="0" t="n">
        <f aca="false">W_PH(AS$2,$A549)</f>
        <v>2015</v>
      </c>
    </row>
    <row r="550" customFormat="false" ht="13.8" hidden="false" customHeight="false" outlineLevel="0" collapsed="false">
      <c r="A550" s="0" t="n">
        <v>7100</v>
      </c>
      <c r="B550" s="0" t="n">
        <f aca="false">W_PH(B$2,$A550)</f>
        <v>1093.37939495215</v>
      </c>
      <c r="C550" s="0" t="n">
        <f aca="false">W_PH(C$2,$A550)</f>
        <v>1093.37945545659</v>
      </c>
      <c r="D550" s="0" t="n">
        <f aca="false">W_PH(D$2,$A550)</f>
        <v>1093.37951703183</v>
      </c>
      <c r="E550" s="0" t="n">
        <f aca="false">W_PH(E$2,$A550)</f>
        <v>1093.37957860708</v>
      </c>
      <c r="F550" s="0" t="n">
        <f aca="false">W_PH(F$2,$A550)</f>
        <v>1093.37963911153</v>
      </c>
      <c r="G550" s="0" t="n">
        <f aca="false">W_PH(G$2,$A550)</f>
        <v>1093.3802505809</v>
      </c>
      <c r="H550" s="0" t="n">
        <f aca="false">W_PH(H$2,$A550)</f>
        <v>1093.38086205043</v>
      </c>
      <c r="I550" s="0" t="n">
        <f aca="false">W_PH(I$2,$A550)</f>
        <v>1093.38147352014</v>
      </c>
      <c r="J550" s="0" t="n">
        <f aca="false">W_PH(J$2,$A550)</f>
        <v>1093.38208499002</v>
      </c>
      <c r="K550" s="0" t="n">
        <f aca="false">W_PH(K$2,$A550)</f>
        <v>1093.38269646007</v>
      </c>
      <c r="L550" s="0" t="n">
        <f aca="false">W_PH(L$2,$A550)</f>
        <v>1093.38330793029</v>
      </c>
      <c r="M550" s="0" t="n">
        <f aca="false">W_PH(M$2,$A550)</f>
        <v>1093.38391940068</v>
      </c>
      <c r="N550" s="0" t="n">
        <f aca="false">W_PH(N$2,$A550)</f>
        <v>1093.38452980044</v>
      </c>
      <c r="O550" s="0" t="n">
        <f aca="false">W_PH(O$2,$A550)</f>
        <v>1093.38514127118</v>
      </c>
      <c r="P550" s="0" t="n">
        <f aca="false">W_PH(P$2,$A550)</f>
        <v>1093.39125491731</v>
      </c>
      <c r="Q550" s="0" t="n">
        <f aca="false">W_PH(Q$2,$A550)</f>
        <v>1093.39736858119</v>
      </c>
      <c r="R550" s="0" t="n">
        <f aca="false">W_PH(R$2,$A550)</f>
        <v>1093.40348226326</v>
      </c>
      <c r="S550" s="0" t="n">
        <f aca="false">W_PH(S$2,$A550)</f>
        <v>1093.40959596397</v>
      </c>
      <c r="T550" s="0" t="n">
        <f aca="false">W_PH(T$2,$A550)</f>
        <v>1093.41570968379</v>
      </c>
      <c r="U550" s="0" t="n">
        <f aca="false">W_PH(U$2,$A550)</f>
        <v>1093.42182342315</v>
      </c>
      <c r="V550" s="0" t="n">
        <f aca="false">W_PH(V$2,$A550)</f>
        <v>1093.42793718253</v>
      </c>
      <c r="W550" s="0" t="n">
        <f aca="false">W_PH(W$2,$A550)</f>
        <v>1093.43404989153</v>
      </c>
      <c r="X550" s="0" t="n">
        <f aca="false">W_PH(X$2,$A550)</f>
        <v>1093.4401647631</v>
      </c>
      <c r="Y550" s="0" t="n">
        <f aca="false">W_PH(Y$2,$A550)</f>
        <v>1093.50130294939</v>
      </c>
      <c r="Z550" s="0" t="n">
        <f aca="false">W_PH(Z$2,$A550)</f>
        <v>1093.562443725</v>
      </c>
      <c r="AA550" s="0" t="n">
        <f aca="false">W_PH(AA$2,$A550)</f>
        <v>1093.62358754293</v>
      </c>
      <c r="AB550" s="0" t="n">
        <f aca="false">W_PH(AB$2,$A550)</f>
        <v>1093.68473485625</v>
      </c>
      <c r="AC550" s="0" t="n">
        <f aca="false">W_PH(AC$2,$A550)</f>
        <v>1093.74588504703</v>
      </c>
      <c r="AD550" s="0" t="n">
        <f aca="false">W_PH(AD$2,$A550)</f>
        <v>1093.80703963934</v>
      </c>
      <c r="AE550" s="0" t="n">
        <f aca="false">W_PH(AE$2,$A550)</f>
        <v>1093.86819908636</v>
      </c>
      <c r="AF550" s="0" t="n">
        <f aca="false">W_PH(AF$2,$A550)</f>
        <v>1093.92936384129</v>
      </c>
      <c r="AG550" s="0" t="n">
        <f aca="false">W_PH(AG$2,$A550)</f>
        <v>1093.99053221502</v>
      </c>
      <c r="AH550" s="0" t="n">
        <f aca="false">W_PH(AH$2,$A550)</f>
        <v>1094.6026218321</v>
      </c>
      <c r="AI550" s="0" t="n">
        <f aca="false">W_PH(AI$2,$A550)</f>
        <v>1095.21573064659</v>
      </c>
      <c r="AJ550" s="0" t="n">
        <f aca="false">W_PH(AJ$2,$A550)</f>
        <v>1095.83029316323</v>
      </c>
      <c r="AK550" s="0" t="n">
        <f aca="false">W_PH(AK$2,$A550)</f>
        <v>1096.44674639314</v>
      </c>
      <c r="AL550" s="0" t="n">
        <f aca="false">W_PH(AL$2,$A550)</f>
        <v>1097.06552557775</v>
      </c>
      <c r="AM550" s="0" t="n">
        <f aca="false">W_PH(AM$2,$A550)</f>
        <v>1097.68706634772</v>
      </c>
      <c r="AN550" s="0" t="n">
        <f aca="false">W_PH(AN$2,$A550)</f>
        <v>1098.31180688919</v>
      </c>
      <c r="AO550" s="0" t="n">
        <f aca="false">W_PH(AO$2,$A550)</f>
        <v>1098.94018582113</v>
      </c>
      <c r="AP550" s="0" t="n">
        <f aca="false">W_PH(AP$2,$A550)</f>
        <v>2015</v>
      </c>
      <c r="AQ550" s="0" t="n">
        <f aca="false">W_PH(AQ$2,$A550)</f>
        <v>2015</v>
      </c>
      <c r="AR550" s="0" t="n">
        <f aca="false">W_PH(AR$2,$A550)</f>
        <v>2015</v>
      </c>
      <c r="AS550" s="0" t="n">
        <f aca="false">W_PH(AS$2,$A550)</f>
        <v>2015</v>
      </c>
    </row>
    <row r="551" customFormat="false" ht="13.8" hidden="false" customHeight="false" outlineLevel="0" collapsed="false">
      <c r="A551" s="0" t="n">
        <v>7110</v>
      </c>
      <c r="B551" s="0" t="n">
        <f aca="false">W_PH(B$2,$A551)</f>
        <v>1094.2046453256</v>
      </c>
      <c r="C551" s="0" t="n">
        <f aca="false">W_PH(C$2,$A551)</f>
        <v>1094.20470692998</v>
      </c>
      <c r="D551" s="0" t="n">
        <f aca="false">W_PH(D$2,$A551)</f>
        <v>1094.20476853436</v>
      </c>
      <c r="E551" s="0" t="n">
        <f aca="false">W_PH(E$2,$A551)</f>
        <v>1094.20482906878</v>
      </c>
      <c r="F551" s="0" t="n">
        <f aca="false">W_PH(F$2,$A551)</f>
        <v>1094.20488960321</v>
      </c>
      <c r="G551" s="0" t="n">
        <f aca="false">W_PH(G$2,$A551)</f>
        <v>1094.20550136732</v>
      </c>
      <c r="H551" s="0" t="n">
        <f aca="false">W_PH(H$2,$A551)</f>
        <v>1094.2061131316</v>
      </c>
      <c r="I551" s="0" t="n">
        <f aca="false">W_PH(I$2,$A551)</f>
        <v>1094.20672382608</v>
      </c>
      <c r="J551" s="0" t="n">
        <f aca="false">W_PH(J$2,$A551)</f>
        <v>1094.20733452073</v>
      </c>
      <c r="K551" s="0" t="n">
        <f aca="false">W_PH(K$2,$A551)</f>
        <v>1094.20794628551</v>
      </c>
      <c r="L551" s="0" t="n">
        <f aca="false">W_PH(L$2,$A551)</f>
        <v>1094.20855805047</v>
      </c>
      <c r="M551" s="0" t="n">
        <f aca="false">W_PH(M$2,$A551)</f>
        <v>1094.20916981559</v>
      </c>
      <c r="N551" s="0" t="n">
        <f aca="false">W_PH(N$2,$A551)</f>
        <v>1094.20978051092</v>
      </c>
      <c r="O551" s="0" t="n">
        <f aca="false">W_PH(O$2,$A551)</f>
        <v>1094.21039120642</v>
      </c>
      <c r="P551" s="0" t="n">
        <f aca="false">W_PH(P$2,$A551)</f>
        <v>1094.21650459072</v>
      </c>
      <c r="Q551" s="0" t="n">
        <f aca="false">W_PH(Q$2,$A551)</f>
        <v>1094.22261799259</v>
      </c>
      <c r="R551" s="0" t="n">
        <f aca="false">W_PH(R$2,$A551)</f>
        <v>1094.2287314125</v>
      </c>
      <c r="S551" s="0" t="n">
        <f aca="false">W_PH(S$2,$A551)</f>
        <v>1094.23484378092</v>
      </c>
      <c r="T551" s="0" t="n">
        <f aca="false">W_PH(T$2,$A551)</f>
        <v>1094.24095616827</v>
      </c>
      <c r="U551" s="0" t="n">
        <f aca="false">W_PH(U$2,$A551)</f>
        <v>1094.24706964499</v>
      </c>
      <c r="V551" s="0" t="n">
        <f aca="false">W_PH(V$2,$A551)</f>
        <v>1094.25318314155</v>
      </c>
      <c r="W551" s="0" t="n">
        <f aca="false">W_PH(W$2,$A551)</f>
        <v>1094.25929558841</v>
      </c>
      <c r="X551" s="0" t="n">
        <f aca="false">W_PH(X$2,$A551)</f>
        <v>1094.265409126</v>
      </c>
      <c r="Y551" s="0" t="n">
        <f aca="false">W_PH(Y$2,$A551)</f>
        <v>1094.32654039183</v>
      </c>
      <c r="Z551" s="0" t="n">
        <f aca="false">W_PH(Z$2,$A551)</f>
        <v>1094.38767529795</v>
      </c>
      <c r="AA551" s="0" t="n">
        <f aca="false">W_PH(AA$2,$A551)</f>
        <v>1094.4488132256</v>
      </c>
      <c r="AB551" s="0" t="n">
        <f aca="false">W_PH(AB$2,$A551)</f>
        <v>1094.50995248575</v>
      </c>
      <c r="AC551" s="0" t="n">
        <f aca="false">W_PH(AC$2,$A551)</f>
        <v>1094.57109674005</v>
      </c>
      <c r="AD551" s="0" t="n">
        <f aca="false">W_PH(AD$2,$A551)</f>
        <v>1094.63224536972</v>
      </c>
      <c r="AE551" s="0" t="n">
        <f aca="false">W_PH(AE$2,$A551)</f>
        <v>1094.69339775589</v>
      </c>
      <c r="AF551" s="0" t="n">
        <f aca="false">W_PH(AF$2,$A551)</f>
        <v>1094.75455542017</v>
      </c>
      <c r="AG551" s="0" t="n">
        <f aca="false">W_PH(AG$2,$A551)</f>
        <v>1094.815718814</v>
      </c>
      <c r="AH551" s="0" t="n">
        <f aca="false">W_PH(AH$2,$A551)</f>
        <v>1095.427739387</v>
      </c>
      <c r="AI551" s="0" t="n">
        <f aca="false">W_PH(AI$2,$A551)</f>
        <v>1096.04077408147</v>
      </c>
      <c r="AJ551" s="0" t="n">
        <f aca="false">W_PH(AJ$2,$A551)</f>
        <v>1096.65525777664</v>
      </c>
      <c r="AK551" s="0" t="n">
        <f aca="false">W_PH(AK$2,$A551)</f>
        <v>1097.2716235732</v>
      </c>
      <c r="AL551" s="0" t="n">
        <f aca="false">W_PH(AL$2,$A551)</f>
        <v>1097.89030494644</v>
      </c>
      <c r="AM551" s="0" t="n">
        <f aca="false">W_PH(AM$2,$A551)</f>
        <v>1098.51173790675</v>
      </c>
      <c r="AN551" s="0" t="n">
        <f aca="false">W_PH(AN$2,$A551)</f>
        <v>1099.13635673052</v>
      </c>
      <c r="AO551" s="0" t="n">
        <f aca="false">W_PH(AO$2,$A551)</f>
        <v>1099.76459827115</v>
      </c>
      <c r="AP551" s="0" t="n">
        <f aca="false">W_PH(AP$2,$A551)</f>
        <v>2015</v>
      </c>
      <c r="AQ551" s="0" t="n">
        <f aca="false">W_PH(AQ$2,$A551)</f>
        <v>2015</v>
      </c>
      <c r="AR551" s="0" t="n">
        <f aca="false">W_PH(AR$2,$A551)</f>
        <v>2015</v>
      </c>
      <c r="AS551" s="0" t="n">
        <f aca="false">W_PH(AS$2,$A551)</f>
        <v>2015</v>
      </c>
    </row>
    <row r="552" customFormat="false" ht="13.8" hidden="false" customHeight="false" outlineLevel="0" collapsed="false">
      <c r="A552" s="0" t="n">
        <v>7120</v>
      </c>
      <c r="B552" s="0" t="n">
        <f aca="false">W_PH(B$2,$A552)</f>
        <v>1095.0289426093</v>
      </c>
      <c r="C552" s="0" t="n">
        <f aca="false">W_PH(C$2,$A552)</f>
        <v>1095.0290031732</v>
      </c>
      <c r="D552" s="0" t="n">
        <f aca="false">W_PH(D$2,$A552)</f>
        <v>1095.0290637371</v>
      </c>
      <c r="E552" s="0" t="n">
        <f aca="false">W_PH(E$2,$A552)</f>
        <v>1095.02912537013</v>
      </c>
      <c r="F552" s="0" t="n">
        <f aca="false">W_PH(F$2,$A552)</f>
        <v>1095.02918700316</v>
      </c>
      <c r="G552" s="0" t="n">
        <f aca="false">W_PH(G$2,$A552)</f>
        <v>1095.02979691878</v>
      </c>
      <c r="H552" s="0" t="n">
        <f aca="false">W_PH(H$2,$A552)</f>
        <v>1095.03040897283</v>
      </c>
      <c r="I552" s="0" t="n">
        <f aca="false">W_PH(I$2,$A552)</f>
        <v>1095.03101995791</v>
      </c>
      <c r="J552" s="0" t="n">
        <f aca="false">W_PH(J$2,$A552)</f>
        <v>1095.03163094316</v>
      </c>
      <c r="K552" s="0" t="n">
        <f aca="false">W_PH(K$2,$A552)</f>
        <v>1095.03224299771</v>
      </c>
      <c r="L552" s="0" t="n">
        <f aca="false">W_PH(L$2,$A552)</f>
        <v>1095.03285291417</v>
      </c>
      <c r="M552" s="0" t="n">
        <f aca="false">W_PH(M$2,$A552)</f>
        <v>1095.03346496906</v>
      </c>
      <c r="N552" s="0" t="n">
        <f aca="false">W_PH(N$2,$A552)</f>
        <v>1095.03407595498</v>
      </c>
      <c r="O552" s="0" t="n">
        <f aca="false">W_PH(O$2,$A552)</f>
        <v>1095.03468694107</v>
      </c>
      <c r="P552" s="0" t="n">
        <f aca="false">W_PH(P$2,$A552)</f>
        <v>1095.04079894967</v>
      </c>
      <c r="Q552" s="0" t="n">
        <f aca="false">W_PH(Q$2,$A552)</f>
        <v>1095.04691204484</v>
      </c>
      <c r="R552" s="0" t="n">
        <f aca="false">W_PH(R$2,$A552)</f>
        <v>1095.05302408875</v>
      </c>
      <c r="S552" s="0" t="n">
        <f aca="false">W_PH(S$2,$A552)</f>
        <v>1095.05913722012</v>
      </c>
      <c r="T552" s="0" t="n">
        <f aca="false">W_PH(T$2,$A552)</f>
        <v>1095.06524930112</v>
      </c>
      <c r="U552" s="0" t="n">
        <f aca="false">W_PH(U$2,$A552)</f>
        <v>1095.07136140134</v>
      </c>
      <c r="V552" s="0" t="n">
        <f aca="false">W_PH(V$2,$A552)</f>
        <v>1095.07747352123</v>
      </c>
      <c r="W552" s="0" t="n">
        <f aca="false">W_PH(W$2,$A552)</f>
        <v>1095.08358566124</v>
      </c>
      <c r="X552" s="0" t="n">
        <f aca="false">W_PH(X$2,$A552)</f>
        <v>1095.08969782182</v>
      </c>
      <c r="Y552" s="0" t="n">
        <f aca="false">W_PH(Y$2,$A552)</f>
        <v>1095.15082386538</v>
      </c>
      <c r="Z552" s="0" t="n">
        <f aca="false">W_PH(Z$2,$A552)</f>
        <v>1095.21195139118</v>
      </c>
      <c r="AA552" s="0" t="n">
        <f aca="false">W_PH(AA$2,$A552)</f>
        <v>1095.27308191784</v>
      </c>
      <c r="AB552" s="0" t="n">
        <f aca="false">W_PH(AB$2,$A552)</f>
        <v>1095.33421482553</v>
      </c>
      <c r="AC552" s="0" t="n">
        <f aca="false">W_PH(AC$2,$A552)</f>
        <v>1095.39535270239</v>
      </c>
      <c r="AD552" s="0" t="n">
        <f aca="false">W_PH(AD$2,$A552)</f>
        <v>1095.45649385931</v>
      </c>
      <c r="AE552" s="0" t="n">
        <f aca="false">W_PH(AE$2,$A552)</f>
        <v>1095.51763981522</v>
      </c>
      <c r="AF552" s="0" t="n">
        <f aca="false">W_PH(AF$2,$A552)</f>
        <v>1095.5787899503</v>
      </c>
      <c r="AG552" s="0" t="n">
        <f aca="false">W_PH(AG$2,$A552)</f>
        <v>1095.63994578362</v>
      </c>
      <c r="AH552" s="0" t="n">
        <f aca="false">W_PH(AH$2,$A552)</f>
        <v>1096.2518961491</v>
      </c>
      <c r="AI552" s="0" t="n">
        <f aca="false">W_PH(AI$2,$A552)</f>
        <v>1096.86485560074</v>
      </c>
      <c r="AJ552" s="0" t="n">
        <f aca="false">W_PH(AJ$2,$A552)</f>
        <v>1097.47925832859</v>
      </c>
      <c r="AK552" s="0" t="n">
        <f aca="false">W_PH(AK$2,$A552)</f>
        <v>1098.09553353562</v>
      </c>
      <c r="AL552" s="0" t="n">
        <f aca="false">W_PH(AL$2,$A552)</f>
        <v>1098.71411615408</v>
      </c>
      <c r="AM552" s="0" t="n">
        <f aca="false">W_PH(AM$2,$A552)</f>
        <v>1099.33543829652</v>
      </c>
      <c r="AN552" s="0" t="n">
        <f aca="false">W_PH(AN$2,$A552)</f>
        <v>1099.95993462893</v>
      </c>
      <c r="AO552" s="0" t="n">
        <f aca="false">W_PH(AO$2,$A552)</f>
        <v>1100.58803703464</v>
      </c>
      <c r="AP552" s="0" t="n">
        <f aca="false">W_PH(AP$2,$A552)</f>
        <v>2015</v>
      </c>
      <c r="AQ552" s="0" t="n">
        <f aca="false">W_PH(AQ$2,$A552)</f>
        <v>2015</v>
      </c>
      <c r="AR552" s="0" t="n">
        <f aca="false">W_PH(AR$2,$A552)</f>
        <v>2015</v>
      </c>
      <c r="AS552" s="0" t="n">
        <f aca="false">W_PH(AS$2,$A552)</f>
        <v>2015</v>
      </c>
    </row>
    <row r="553" customFormat="false" ht="13.8" hidden="false" customHeight="false" outlineLevel="0" collapsed="false">
      <c r="A553" s="0" t="n">
        <v>7130</v>
      </c>
      <c r="B553" s="0" t="n">
        <f aca="false">W_PH(B$2,$A553)</f>
        <v>1095.8522861132</v>
      </c>
      <c r="C553" s="0" t="n">
        <f aca="false">W_PH(C$2,$A553)</f>
        <v>1095.85234670608</v>
      </c>
      <c r="D553" s="0" t="n">
        <f aca="false">W_PH(D$2,$A553)</f>
        <v>1095.85240729895</v>
      </c>
      <c r="E553" s="0" t="n">
        <f aca="false">W_PH(E$2,$A553)</f>
        <v>1095.85246896014</v>
      </c>
      <c r="F553" s="0" t="n">
        <f aca="false">W_PH(F$2,$A553)</f>
        <v>1095.85253062132</v>
      </c>
      <c r="G553" s="0" t="n">
        <f aca="false">W_PH(G$2,$A553)</f>
        <v>1095.85314082345</v>
      </c>
      <c r="H553" s="0" t="n">
        <f aca="false">W_PH(H$2,$A553)</f>
        <v>1095.85375316235</v>
      </c>
      <c r="I553" s="0" t="n">
        <f aca="false">W_PH(I$2,$A553)</f>
        <v>1095.8543633648</v>
      </c>
      <c r="J553" s="0" t="n">
        <f aca="false">W_PH(J$2,$A553)</f>
        <v>1095.85497463573</v>
      </c>
      <c r="K553" s="0" t="n">
        <f aca="false">W_PH(K$2,$A553)</f>
        <v>1095.85558590682</v>
      </c>
      <c r="L553" s="0" t="n">
        <f aca="false">W_PH(L$2,$A553)</f>
        <v>1095.85619717808</v>
      </c>
      <c r="M553" s="0" t="n">
        <f aca="false">W_PH(M$2,$A553)</f>
        <v>1095.8568084495</v>
      </c>
      <c r="N553" s="0" t="n">
        <f aca="false">W_PH(N$2,$A553)</f>
        <v>1095.85741972109</v>
      </c>
      <c r="O553" s="0" t="n">
        <f aca="false">W_PH(O$2,$A553)</f>
        <v>1095.85803099285</v>
      </c>
      <c r="P553" s="0" t="n">
        <f aca="false">W_PH(P$2,$A553)</f>
        <v>1095.86414158316</v>
      </c>
      <c r="Q553" s="0" t="n">
        <f aca="false">W_PH(Q$2,$A553)</f>
        <v>1095.87025432735</v>
      </c>
      <c r="R553" s="0" t="n">
        <f aca="false">W_PH(R$2,$A553)</f>
        <v>1095.87636495264</v>
      </c>
      <c r="S553" s="0" t="n">
        <f aca="false">W_PH(S$2,$A553)</f>
        <v>1095.88247773273</v>
      </c>
      <c r="T553" s="0" t="n">
        <f aca="false">W_PH(T$2,$A553)</f>
        <v>1095.88858839479</v>
      </c>
      <c r="U553" s="0" t="n">
        <f aca="false">W_PH(U$2,$A553)</f>
        <v>1095.89470121256</v>
      </c>
      <c r="V553" s="0" t="n">
        <f aca="false">W_PH(V$2,$A553)</f>
        <v>1095.90081191319</v>
      </c>
      <c r="W553" s="0" t="n">
        <f aca="false">W_PH(W$2,$A553)</f>
        <v>1095.9069237021</v>
      </c>
      <c r="X553" s="0" t="n">
        <f aca="false">W_PH(X$2,$A553)</f>
        <v>1095.91303551141</v>
      </c>
      <c r="Y553" s="0" t="n">
        <f aca="false">W_PH(Y$2,$A553)</f>
        <v>1095.97415375688</v>
      </c>
      <c r="Z553" s="0" t="n">
        <f aca="false">W_PH(Z$2,$A553)</f>
        <v>1096.03527453513</v>
      </c>
      <c r="AA553" s="0" t="n">
        <f aca="false">W_PH(AA$2,$A553)</f>
        <v>1096.0963972254</v>
      </c>
      <c r="AB553" s="0" t="n">
        <f aca="false">W_PH(AB$2,$A553)</f>
        <v>1096.15752441228</v>
      </c>
      <c r="AC553" s="0" t="n">
        <f aca="false">W_PH(AC$2,$A553)</f>
        <v>1096.2186544066</v>
      </c>
      <c r="AD553" s="0" t="n">
        <f aca="false">W_PH(AD$2,$A553)</f>
        <v>1096.27978872462</v>
      </c>
      <c r="AE553" s="0" t="n">
        <f aca="false">W_PH(AE$2,$A553)</f>
        <v>1096.34092674558</v>
      </c>
      <c r="AF553" s="0" t="n">
        <f aca="false">W_PH(AF$2,$A553)</f>
        <v>1096.40207105451</v>
      </c>
      <c r="AG553" s="0" t="n">
        <f aca="false">W_PH(AG$2,$A553)</f>
        <v>1096.4632199621</v>
      </c>
      <c r="AH553" s="0" t="n">
        <f aca="false">W_PH(AH$2,$A553)</f>
        <v>1097.07509685598</v>
      </c>
      <c r="AI553" s="0" t="n">
        <f aca="false">W_PH(AI$2,$A553)</f>
        <v>1097.68797890879</v>
      </c>
      <c r="AJ553" s="0" t="n">
        <f aca="false">W_PH(AJ$2,$A553)</f>
        <v>1098.30229642189</v>
      </c>
      <c r="AK553" s="0" t="n">
        <f aca="false">W_PH(AK$2,$A553)</f>
        <v>1098.91848113264</v>
      </c>
      <c r="AL553" s="0" t="n">
        <f aca="false">W_PH(AL$2,$A553)</f>
        <v>1099.53696194649</v>
      </c>
      <c r="AM553" s="0" t="n">
        <f aca="false">W_PH(AM$2,$A553)</f>
        <v>1100.15817137174</v>
      </c>
      <c r="AN553" s="0" t="n">
        <f aca="false">W_PH(AN$2,$A553)</f>
        <v>1100.78254232957</v>
      </c>
      <c r="AO553" s="0" t="n">
        <f aca="false">W_PH(AO$2,$A553)</f>
        <v>1101.41050389034</v>
      </c>
      <c r="AP553" s="0" t="n">
        <f aca="false">W_PH(AP$2,$A553)</f>
        <v>2015</v>
      </c>
      <c r="AQ553" s="0" t="n">
        <f aca="false">W_PH(AQ$2,$A553)</f>
        <v>2015</v>
      </c>
      <c r="AR553" s="0" t="n">
        <f aca="false">W_PH(AR$2,$A553)</f>
        <v>2015</v>
      </c>
      <c r="AS553" s="0" t="n">
        <f aca="false">W_PH(AS$2,$A553)</f>
        <v>2015</v>
      </c>
    </row>
    <row r="554" customFormat="false" ht="13.8" hidden="false" customHeight="false" outlineLevel="0" collapsed="false">
      <c r="A554" s="0" t="n">
        <v>7140</v>
      </c>
      <c r="B554" s="0" t="n">
        <f aca="false">W_PH(B$2,$A554)</f>
        <v>1096.67467941364</v>
      </c>
      <c r="C554" s="0" t="n">
        <f aca="false">W_PH(C$2,$A554)</f>
        <v>1096.67474003501</v>
      </c>
      <c r="D554" s="0" t="n">
        <f aca="false">W_PH(D$2,$A554)</f>
        <v>1096.67480172386</v>
      </c>
      <c r="E554" s="0" t="n">
        <f aca="false">W_PH(E$2,$A554)</f>
        <v>1096.67486341271</v>
      </c>
      <c r="F554" s="0" t="n">
        <f aca="false">W_PH(F$2,$A554)</f>
        <v>1096.67492403408</v>
      </c>
      <c r="G554" s="0" t="n">
        <f aca="false">W_PH(G$2,$A554)</f>
        <v>1096.67553451784</v>
      </c>
      <c r="H554" s="0" t="n">
        <f aca="false">W_PH(H$2,$A554)</f>
        <v>1096.67614606923</v>
      </c>
      <c r="I554" s="0" t="n">
        <f aca="false">W_PH(I$2,$A554)</f>
        <v>1096.67675762078</v>
      </c>
      <c r="J554" s="0" t="n">
        <f aca="false">W_PH(J$2,$A554)</f>
        <v>1096.67736810502</v>
      </c>
      <c r="K554" s="0" t="n">
        <f aca="false">W_PH(K$2,$A554)</f>
        <v>1096.6779796569</v>
      </c>
      <c r="L554" s="0" t="n">
        <f aca="false">W_PH(L$2,$A554)</f>
        <v>1096.67859120895</v>
      </c>
      <c r="M554" s="0" t="n">
        <f aca="false">W_PH(M$2,$A554)</f>
        <v>1096.67920169369</v>
      </c>
      <c r="N554" s="0" t="n">
        <f aca="false">W_PH(N$2,$A554)</f>
        <v>1096.67981217859</v>
      </c>
      <c r="O554" s="0" t="n">
        <f aca="false">W_PH(O$2,$A554)</f>
        <v>1096.68042373113</v>
      </c>
      <c r="P554" s="0" t="n">
        <f aca="false">W_PH(P$2,$A554)</f>
        <v>1096.68653392844</v>
      </c>
      <c r="Q554" s="0" t="n">
        <f aca="false">W_PH(Q$2,$A554)</f>
        <v>1096.69264521035</v>
      </c>
      <c r="R554" s="0" t="n">
        <f aca="false">W_PH(R$2,$A554)</f>
        <v>1096.69875650982</v>
      </c>
      <c r="S554" s="0" t="n">
        <f aca="false">W_PH(S$2,$A554)</f>
        <v>1096.7048678273</v>
      </c>
      <c r="T554" s="0" t="n">
        <f aca="false">W_PH(T$2,$A554)</f>
        <v>1096.71097916325</v>
      </c>
      <c r="U554" s="0" t="n">
        <f aca="false">W_PH(U$2,$A554)</f>
        <v>1096.71708945059</v>
      </c>
      <c r="V554" s="0" t="n">
        <f aca="false">W_PH(V$2,$A554)</f>
        <v>1096.72319975728</v>
      </c>
      <c r="W554" s="0" t="n">
        <f aca="false">W_PH(W$2,$A554)</f>
        <v>1096.72931115127</v>
      </c>
      <c r="X554" s="0" t="n">
        <f aca="false">W_PH(X$2,$A554)</f>
        <v>1096.73542256549</v>
      </c>
      <c r="Y554" s="0" t="n">
        <f aca="false">W_PH(Y$2,$A554)</f>
        <v>1096.79653364893</v>
      </c>
      <c r="Z554" s="0" t="n">
        <f aca="false">W_PH(Z$2,$A554)</f>
        <v>1096.85764724672</v>
      </c>
      <c r="AA554" s="0" t="n">
        <f aca="false">W_PH(AA$2,$A554)</f>
        <v>1096.91876273716</v>
      </c>
      <c r="AB554" s="0" t="n">
        <f aca="false">W_PH(AB$2,$A554)</f>
        <v>1096.97988163378</v>
      </c>
      <c r="AC554" s="0" t="n">
        <f aca="false">W_PH(AC$2,$A554)</f>
        <v>1097.04100545029</v>
      </c>
      <c r="AD554" s="0" t="n">
        <f aca="false">W_PH(AD$2,$A554)</f>
        <v>1097.10213142966</v>
      </c>
      <c r="AE554" s="0" t="n">
        <f aca="false">W_PH(AE$2,$A554)</f>
        <v>1097.16326428881</v>
      </c>
      <c r="AF554" s="0" t="n">
        <f aca="false">W_PH(AF$2,$A554)</f>
        <v>1097.22440020288</v>
      </c>
      <c r="AG554" s="0" t="n">
        <f aca="false">W_PH(AG$2,$A554)</f>
        <v>1097.28554175349</v>
      </c>
      <c r="AH554" s="0" t="n">
        <f aca="false">W_PH(AH$2,$A554)</f>
        <v>1097.89734195143</v>
      </c>
      <c r="AI554" s="0" t="n">
        <f aca="false">W_PH(AI$2,$A554)</f>
        <v>1098.51014555484</v>
      </c>
      <c r="AJ554" s="0" t="n">
        <f aca="false">W_PH(AJ$2,$A554)</f>
        <v>1099.12437578541</v>
      </c>
      <c r="AK554" s="0" t="n">
        <f aca="false">W_PH(AK$2,$A554)</f>
        <v>1099.7404669172</v>
      </c>
      <c r="AL554" s="0" t="n">
        <f aca="false">W_PH(AL$2,$A554)</f>
        <v>1100.35884505352</v>
      </c>
      <c r="AM554" s="0" t="n">
        <f aca="false">W_PH(AM$2,$A554)</f>
        <v>1100.97993882759</v>
      </c>
      <c r="AN554" s="0" t="n">
        <f aca="false">W_PH(AN$2,$A554)</f>
        <v>1101.60418156435</v>
      </c>
      <c r="AO554" s="0" t="n">
        <f aca="false">W_PH(AO$2,$A554)</f>
        <v>1102.2320027442</v>
      </c>
      <c r="AP554" s="0" t="n">
        <f aca="false">W_PH(AP$2,$A554)</f>
        <v>2015</v>
      </c>
      <c r="AQ554" s="0" t="n">
        <f aca="false">W_PH(AQ$2,$A554)</f>
        <v>2015</v>
      </c>
      <c r="AR554" s="0" t="n">
        <f aca="false">W_PH(AR$2,$A554)</f>
        <v>2015</v>
      </c>
      <c r="AS554" s="0" t="n">
        <f aca="false">W_PH(AS$2,$A554)</f>
        <v>2015</v>
      </c>
    </row>
    <row r="555" customFormat="false" ht="13.8" hidden="false" customHeight="false" outlineLevel="0" collapsed="false">
      <c r="A555" s="0" t="n">
        <v>7150</v>
      </c>
      <c r="B555" s="0" t="n">
        <f aca="false">W_PH(B$2,$A555)</f>
        <v>1097.49612607037</v>
      </c>
      <c r="C555" s="0" t="n">
        <f aca="false">W_PH(C$2,$A555)</f>
        <v>1097.49618671976</v>
      </c>
      <c r="D555" s="0" t="n">
        <f aca="false">W_PH(D$2,$A555)</f>
        <v>1097.49624736914</v>
      </c>
      <c r="E555" s="0" t="n">
        <f aca="false">W_PH(E$2,$A555)</f>
        <v>1097.49630908517</v>
      </c>
      <c r="F555" s="0" t="n">
        <f aca="false">W_PH(F$2,$A555)</f>
        <v>1097.4963708012</v>
      </c>
      <c r="G555" s="0" t="n">
        <f aca="false">W_PH(G$2,$A555)</f>
        <v>1097.49698156174</v>
      </c>
      <c r="H555" s="0" t="n">
        <f aca="false">W_PH(H$2,$A555)</f>
        <v>1097.49759232244</v>
      </c>
      <c r="I555" s="0" t="n">
        <f aca="false">W_PH(I$2,$A555)</f>
        <v>1097.49820308331</v>
      </c>
      <c r="J555" s="0" t="n">
        <f aca="false">W_PH(J$2,$A555)</f>
        <v>1097.49881384433</v>
      </c>
      <c r="K555" s="0" t="n">
        <f aca="false">W_PH(K$2,$A555)</f>
        <v>1097.49942460552</v>
      </c>
      <c r="L555" s="0" t="n">
        <f aca="false">W_PH(L$2,$A555)</f>
        <v>1097.50003643352</v>
      </c>
      <c r="M555" s="0" t="n">
        <f aca="false">W_PH(M$2,$A555)</f>
        <v>1097.50064719504</v>
      </c>
      <c r="N555" s="0" t="n">
        <f aca="false">W_PH(N$2,$A555)</f>
        <v>1097.50125902337</v>
      </c>
      <c r="O555" s="0" t="n">
        <f aca="false">W_PH(O$2,$A555)</f>
        <v>1097.50186978521</v>
      </c>
      <c r="P555" s="0" t="n">
        <f aca="false">W_PH(P$2,$A555)</f>
        <v>1097.50797954612</v>
      </c>
      <c r="Q555" s="0" t="n">
        <f aca="false">W_PH(Q$2,$A555)</f>
        <v>1097.51408932399</v>
      </c>
      <c r="R555" s="0" t="n">
        <f aca="false">W_PH(R$2,$A555)</f>
        <v>1097.52019911927</v>
      </c>
      <c r="S555" s="0" t="n">
        <f aca="false">W_PH(S$2,$A555)</f>
        <v>1097.52630999907</v>
      </c>
      <c r="T555" s="0" t="n">
        <f aca="false">W_PH(T$2,$A555)</f>
        <v>1097.53242089717</v>
      </c>
      <c r="U555" s="0" t="n">
        <f aca="false">W_PH(U$2,$A555)</f>
        <v>1097.53853074734</v>
      </c>
      <c r="V555" s="0" t="n">
        <f aca="false">W_PH(V$2,$A555)</f>
        <v>1097.5446406167</v>
      </c>
      <c r="W555" s="0" t="n">
        <f aca="false">W_PH(W$2,$A555)</f>
        <v>1097.55075050569</v>
      </c>
      <c r="X555" s="0" t="n">
        <f aca="false">W_PH(X$2,$A555)</f>
        <v>1097.55686041476</v>
      </c>
      <c r="Y555" s="0" t="n">
        <f aca="false">W_PH(Y$2,$A555)</f>
        <v>1097.617964974</v>
      </c>
      <c r="Z555" s="0" t="n">
        <f aca="false">W_PH(Z$2,$A555)</f>
        <v>1097.67907096265</v>
      </c>
      <c r="AA555" s="0" t="n">
        <f aca="false">W_PH(AA$2,$A555)</f>
        <v>1097.7401798916</v>
      </c>
      <c r="AB555" s="0" t="n">
        <f aca="false">W_PH(AB$2,$A555)</f>
        <v>1097.80129113824</v>
      </c>
      <c r="AC555" s="0" t="n">
        <f aca="false">W_PH(AC$2,$A555)</f>
        <v>1097.86240621359</v>
      </c>
      <c r="AD555" s="0" t="n">
        <f aca="false">W_PH(AD$2,$A555)</f>
        <v>1097.92352556196</v>
      </c>
      <c r="AE555" s="0" t="n">
        <f aca="false">W_PH(AE$2,$A555)</f>
        <v>1097.98464962768</v>
      </c>
      <c r="AF555" s="0" t="n">
        <f aca="false">W_PH(AF$2,$A555)</f>
        <v>1098.04577885514</v>
      </c>
      <c r="AG555" s="0" t="n">
        <f aca="false">W_PH(AG$2,$A555)</f>
        <v>1098.10691262176</v>
      </c>
      <c r="AH555" s="0" t="n">
        <f aca="false">W_PH(AH$2,$A555)</f>
        <v>1098.71863614123</v>
      </c>
      <c r="AI555" s="0" t="n">
        <f aca="false">W_PH(AI$2,$A555)</f>
        <v>1099.33135707692</v>
      </c>
      <c r="AJ555" s="0" t="n">
        <f aca="false">W_PH(AJ$2,$A555)</f>
        <v>1099.94550012958</v>
      </c>
      <c r="AK555" s="0" t="n">
        <f aca="false">W_PH(AK$2,$A555)</f>
        <v>1100.56149357042</v>
      </c>
      <c r="AL555" s="0" t="n">
        <f aca="false">W_PH(AL$2,$A555)</f>
        <v>1101.17976605185</v>
      </c>
      <c r="AM555" s="0" t="n">
        <f aca="false">W_PH(AM$2,$A555)</f>
        <v>1101.80074448446</v>
      </c>
      <c r="AN555" s="0" t="n">
        <f aca="false">W_PH(AN$2,$A555)</f>
        <v>1102.42485832905</v>
      </c>
      <c r="AO555" s="0" t="n">
        <f aca="false">W_PH(AO$2,$A555)</f>
        <v>1103.05253534257</v>
      </c>
      <c r="AP555" s="0" t="n">
        <f aca="false">W_PH(AP$2,$A555)</f>
        <v>2015</v>
      </c>
      <c r="AQ555" s="0" t="n">
        <f aca="false">W_PH(AQ$2,$A555)</f>
        <v>2015</v>
      </c>
      <c r="AR555" s="0" t="n">
        <f aca="false">W_PH(AR$2,$A555)</f>
        <v>2015</v>
      </c>
      <c r="AS555" s="0" t="n">
        <f aca="false">W_PH(AS$2,$A555)</f>
        <v>2015</v>
      </c>
    </row>
    <row r="556" customFormat="false" ht="13.8" hidden="false" customHeight="false" outlineLevel="0" collapsed="false">
      <c r="A556" s="0" t="n">
        <v>7160</v>
      </c>
      <c r="B556" s="0" t="n">
        <f aca="false">W_PH(B$2,$A556)</f>
        <v>1098.31662642917</v>
      </c>
      <c r="C556" s="0" t="n">
        <f aca="false">W_PH(C$2,$A556)</f>
        <v>1098.3166881719</v>
      </c>
      <c r="D556" s="0" t="n">
        <f aca="false">W_PH(D$2,$A556)</f>
        <v>1098.31674884881</v>
      </c>
      <c r="E556" s="0" t="n">
        <f aca="false">W_PH(E$2,$A556)</f>
        <v>1098.31680952573</v>
      </c>
      <c r="F556" s="0" t="n">
        <f aca="false">W_PH(F$2,$A556)</f>
        <v>1098.31687020264</v>
      </c>
      <c r="G556" s="0" t="n">
        <f aca="false">W_PH(G$2,$A556)</f>
        <v>1098.31748123517</v>
      </c>
      <c r="H556" s="0" t="n">
        <f aca="false">W_PH(H$2,$A556)</f>
        <v>1098.31809226787</v>
      </c>
      <c r="I556" s="0" t="n">
        <f aca="false">W_PH(I$2,$A556)</f>
        <v>1098.31870330072</v>
      </c>
      <c r="J556" s="0" t="n">
        <f aca="false">W_PH(J$2,$A556)</f>
        <v>1098.31931433373</v>
      </c>
      <c r="K556" s="0" t="n">
        <f aca="false">W_PH(K$2,$A556)</f>
        <v>1098.31992536691</v>
      </c>
      <c r="L556" s="0" t="n">
        <f aca="false">W_PH(L$2,$A556)</f>
        <v>1098.32053640025</v>
      </c>
      <c r="M556" s="0" t="n">
        <f aca="false">W_PH(M$2,$A556)</f>
        <v>1098.32114743375</v>
      </c>
      <c r="N556" s="0" t="n">
        <f aca="false">W_PH(N$2,$A556)</f>
        <v>1098.32175846741</v>
      </c>
      <c r="O556" s="0" t="n">
        <f aca="false">W_PH(O$2,$A556)</f>
        <v>1098.32236950124</v>
      </c>
      <c r="P556" s="0" t="n">
        <f aca="false">W_PH(P$2,$A556)</f>
        <v>1098.32847878276</v>
      </c>
      <c r="Q556" s="0" t="n">
        <f aca="false">W_PH(Q$2,$A556)</f>
        <v>1098.3345880811</v>
      </c>
      <c r="R556" s="0" t="n">
        <f aca="false">W_PH(R$2,$A556)</f>
        <v>1098.3406973967</v>
      </c>
      <c r="S556" s="0" t="n">
        <f aca="false">W_PH(S$2,$A556)</f>
        <v>1098.34680673</v>
      </c>
      <c r="T556" s="0" t="n">
        <f aca="false">W_PH(T$2,$A556)</f>
        <v>1098.35291714729</v>
      </c>
      <c r="U556" s="0" t="n">
        <f aca="false">W_PH(U$2,$A556)</f>
        <v>1098.35902545148</v>
      </c>
      <c r="V556" s="0" t="n">
        <f aca="false">W_PH(V$2,$A556)</f>
        <v>1098.36513590639</v>
      </c>
      <c r="W556" s="0" t="n">
        <f aca="false">W_PH(W$2,$A556)</f>
        <v>1098.37124424907</v>
      </c>
      <c r="X556" s="0" t="n">
        <f aca="false">W_PH(X$2,$A556)</f>
        <v>1098.37735474337</v>
      </c>
      <c r="Y556" s="0" t="n">
        <f aca="false">W_PH(Y$2,$A556)</f>
        <v>1098.43845022045</v>
      </c>
      <c r="Z556" s="0" t="n">
        <f aca="false">W_PH(Z$2,$A556)</f>
        <v>1098.49954817557</v>
      </c>
      <c r="AA556" s="0" t="n">
        <f aca="false">W_PH(AA$2,$A556)</f>
        <v>1098.56064905118</v>
      </c>
      <c r="AB556" s="0" t="n">
        <f aca="false">W_PH(AB$2,$A556)</f>
        <v>1098.62175328979</v>
      </c>
      <c r="AC556" s="0" t="n">
        <f aca="false">W_PH(AC$2,$A556)</f>
        <v>1098.68286133392</v>
      </c>
      <c r="AD556" s="0" t="n">
        <f aca="false">W_PH(AD$2,$A556)</f>
        <v>1098.74397362613</v>
      </c>
      <c r="AE556" s="0" t="n">
        <f aca="false">W_PH(AE$2,$A556)</f>
        <v>1098.80508847684</v>
      </c>
      <c r="AF556" s="0" t="n">
        <f aca="false">W_PH(AF$2,$A556)</f>
        <v>1098.86621059302</v>
      </c>
      <c r="AG556" s="0" t="n">
        <f aca="false">W_PH(AG$2,$A556)</f>
        <v>1098.92733615289</v>
      </c>
      <c r="AH556" s="0" t="n">
        <f aca="false">W_PH(AH$2,$A556)</f>
        <v>1099.53897984431</v>
      </c>
      <c r="AI556" s="0" t="n">
        <f aca="false">W_PH(AI$2,$A556)</f>
        <v>1100.15161500193</v>
      </c>
      <c r="AJ556" s="0" t="n">
        <f aca="false">W_PH(AJ$2,$A556)</f>
        <v>1100.76566887781</v>
      </c>
      <c r="AK556" s="0" t="n">
        <f aca="false">W_PH(AK$2,$A556)</f>
        <v>1101.38156482559</v>
      </c>
      <c r="AL556" s="0" t="n">
        <f aca="false">W_PH(AL$2,$A556)</f>
        <v>1101.9997297806</v>
      </c>
      <c r="AM556" s="0" t="n">
        <f aca="false">W_PH(AM$2,$A556)</f>
        <v>1102.62058893881</v>
      </c>
      <c r="AN556" s="0" t="n">
        <f aca="false">W_PH(AN$2,$A556)</f>
        <v>1103.24457218218</v>
      </c>
      <c r="AO556" s="0" t="n">
        <f aca="false">W_PH(AO$2,$A556)</f>
        <v>1103.8721034185</v>
      </c>
      <c r="AP556" s="0" t="n">
        <f aca="false">W_PH(AP$2,$A556)</f>
        <v>2015</v>
      </c>
      <c r="AQ556" s="0" t="n">
        <f aca="false">W_PH(AQ$2,$A556)</f>
        <v>2015</v>
      </c>
      <c r="AR556" s="0" t="n">
        <f aca="false">W_PH(AR$2,$A556)</f>
        <v>2015</v>
      </c>
      <c r="AS556" s="0" t="n">
        <f aca="false">W_PH(AS$2,$A556)</f>
        <v>2015</v>
      </c>
    </row>
    <row r="557" customFormat="false" ht="13.8" hidden="false" customHeight="false" outlineLevel="0" collapsed="false">
      <c r="A557" s="0" t="n">
        <v>7170</v>
      </c>
      <c r="B557" s="0" t="n">
        <f aca="false">W_PH(B$2,$A557)</f>
        <v>1099.13618402425</v>
      </c>
      <c r="C557" s="0" t="n">
        <f aca="false">W_PH(C$2,$A557)</f>
        <v>1099.13624579321</v>
      </c>
      <c r="D557" s="0" t="n">
        <f aca="false">W_PH(D$2,$A557)</f>
        <v>1099.13630649718</v>
      </c>
      <c r="E557" s="0" t="n">
        <f aca="false">W_PH(E$2,$A557)</f>
        <v>1099.13636720115</v>
      </c>
      <c r="F557" s="0" t="n">
        <f aca="false">W_PH(F$2,$A557)</f>
        <v>1099.13642790512</v>
      </c>
      <c r="G557" s="0" t="n">
        <f aca="false">W_PH(G$2,$A557)</f>
        <v>1099.13703920489</v>
      </c>
      <c r="H557" s="0" t="n">
        <f aca="false">W_PH(H$2,$A557)</f>
        <v>1099.13765050482</v>
      </c>
      <c r="I557" s="0" t="n">
        <f aca="false">W_PH(I$2,$A557)</f>
        <v>1099.13826180492</v>
      </c>
      <c r="J557" s="0" t="n">
        <f aca="false">W_PH(J$2,$A557)</f>
        <v>1099.13887204017</v>
      </c>
      <c r="K557" s="0" t="n">
        <f aca="false">W_PH(K$2,$A557)</f>
        <v>1099.13948227558</v>
      </c>
      <c r="L557" s="0" t="n">
        <f aca="false">W_PH(L$2,$A557)</f>
        <v>1099.14009357616</v>
      </c>
      <c r="M557" s="0" t="n">
        <f aca="false">W_PH(M$2,$A557)</f>
        <v>1099.14070487689</v>
      </c>
      <c r="N557" s="0" t="n">
        <f aca="false">W_PH(N$2,$A557)</f>
        <v>1099.14131617779</v>
      </c>
      <c r="O557" s="0" t="n">
        <f aca="false">W_PH(O$2,$A557)</f>
        <v>1099.14192641385</v>
      </c>
      <c r="P557" s="0" t="n">
        <f aca="false">W_PH(P$2,$A557)</f>
        <v>1099.14803410842</v>
      </c>
      <c r="Q557" s="0" t="n">
        <f aca="false">W_PH(Q$2,$A557)</f>
        <v>1099.15414288467</v>
      </c>
      <c r="R557" s="0" t="n">
        <f aca="false">W_PH(R$2,$A557)</f>
        <v>1099.16025167803</v>
      </c>
      <c r="S557" s="0" t="n">
        <f aca="false">W_PH(S$2,$A557)</f>
        <v>1099.16636048895</v>
      </c>
      <c r="T557" s="0" t="n">
        <f aca="false">W_PH(T$2,$A557)</f>
        <v>1099.17246931785</v>
      </c>
      <c r="U557" s="0" t="n">
        <f aca="false">W_PH(U$2,$A557)</f>
        <v>1099.1785781652</v>
      </c>
      <c r="V557" s="0" t="n">
        <f aca="false">W_PH(V$2,$A557)</f>
        <v>1099.18468703141</v>
      </c>
      <c r="W557" s="0" t="n">
        <f aca="false">W_PH(W$2,$A557)</f>
        <v>1099.19079591694</v>
      </c>
      <c r="X557" s="0" t="n">
        <f aca="false">W_PH(X$2,$A557)</f>
        <v>1099.19690482223</v>
      </c>
      <c r="Y557" s="0" t="n">
        <f aca="false">W_PH(Y$2,$A557)</f>
        <v>1099.25799292851</v>
      </c>
      <c r="Z557" s="0" t="n">
        <f aca="false">W_PH(Z$2,$A557)</f>
        <v>1099.31908242993</v>
      </c>
      <c r="AA557" s="0" t="n">
        <f aca="false">W_PH(AA$2,$A557)</f>
        <v>1099.38017589737</v>
      </c>
      <c r="AB557" s="0" t="n">
        <f aca="false">W_PH(AB$2,$A557)</f>
        <v>1099.44127164139</v>
      </c>
      <c r="AC557" s="0" t="n">
        <f aca="false">W_PH(AC$2,$A557)</f>
        <v>1099.50237223308</v>
      </c>
      <c r="AD557" s="0" t="n">
        <f aca="false">W_PH(AD$2,$A557)</f>
        <v>1099.56347491768</v>
      </c>
      <c r="AE557" s="0" t="n">
        <f aca="false">W_PH(AE$2,$A557)</f>
        <v>1099.62458333168</v>
      </c>
      <c r="AF557" s="0" t="n">
        <f aca="false">W_PH(AF$2,$A557)</f>
        <v>1099.68569685081</v>
      </c>
      <c r="AG557" s="0" t="n">
        <f aca="false">W_PH(AG$2,$A557)</f>
        <v>1099.74681485067</v>
      </c>
      <c r="AH557" s="0" t="n">
        <f aca="false">W_PH(AH$2,$A557)</f>
        <v>1100.3583756037</v>
      </c>
      <c r="AI557" s="0" t="n">
        <f aca="false">W_PH(AI$2,$A557)</f>
        <v>1100.97092510983</v>
      </c>
      <c r="AJ557" s="0" t="n">
        <f aca="false">W_PH(AJ$2,$A557)</f>
        <v>1101.58488571424</v>
      </c>
      <c r="AK557" s="0" t="n">
        <f aca="false">W_PH(AK$2,$A557)</f>
        <v>1102.20068226409</v>
      </c>
      <c r="AL557" s="0" t="n">
        <f aca="false">W_PH(AL$2,$A557)</f>
        <v>1102.81873785552</v>
      </c>
      <c r="AM557" s="0" t="n">
        <f aca="false">W_PH(AM$2,$A557)</f>
        <v>1103.43947597982</v>
      </c>
      <c r="AN557" s="0" t="n">
        <f aca="false">W_PH(AN$2,$A557)</f>
        <v>1104.06332481141</v>
      </c>
      <c r="AO557" s="0" t="n">
        <f aca="false">W_PH(AO$2,$A557)</f>
        <v>1104.69070975952</v>
      </c>
      <c r="AP557" s="0" t="n">
        <f aca="false">W_PH(AP$2,$A557)</f>
        <v>2015</v>
      </c>
      <c r="AQ557" s="0" t="n">
        <f aca="false">W_PH(AQ$2,$A557)</f>
        <v>2015</v>
      </c>
      <c r="AR557" s="0" t="n">
        <f aca="false">W_PH(AR$2,$A557)</f>
        <v>2015</v>
      </c>
      <c r="AS557" s="0" t="n">
        <f aca="false">W_PH(AS$2,$A557)</f>
        <v>2015</v>
      </c>
    </row>
    <row r="558" customFormat="false" ht="13.8" hidden="false" customHeight="false" outlineLevel="0" collapsed="false">
      <c r="A558" s="0" t="n">
        <v>7180</v>
      </c>
      <c r="B558" s="0" t="n">
        <f aca="false">W_PH(B$2,$A558)</f>
        <v>1099.95480024518</v>
      </c>
      <c r="C558" s="0" t="n">
        <f aca="false">W_PH(C$2,$A558)</f>
        <v>1099.9548620399</v>
      </c>
      <c r="D558" s="0" t="n">
        <f aca="false">W_PH(D$2,$A558)</f>
        <v>1099.95492383462</v>
      </c>
      <c r="E558" s="0" t="n">
        <f aca="false">W_PH(E$2,$A558)</f>
        <v>1099.95498456517</v>
      </c>
      <c r="F558" s="0" t="n">
        <f aca="false">W_PH(F$2,$A558)</f>
        <v>1099.95504529573</v>
      </c>
      <c r="G558" s="0" t="n">
        <f aca="false">W_PH(G$2,$A558)</f>
        <v>1099.95565579386</v>
      </c>
      <c r="H558" s="0" t="n">
        <f aca="false">W_PH(H$2,$A558)</f>
        <v>1099.95626629215</v>
      </c>
      <c r="I558" s="0" t="n">
        <f aca="false">W_PH(I$2,$A558)</f>
        <v>1099.95687785478</v>
      </c>
      <c r="J558" s="0" t="n">
        <f aca="false">W_PH(J$2,$A558)</f>
        <v>1099.95748835338</v>
      </c>
      <c r="K558" s="0" t="n">
        <f aca="false">W_PH(K$2,$A558)</f>
        <v>1099.95809885215</v>
      </c>
      <c r="L558" s="0" t="n">
        <f aca="false">W_PH(L$2,$A558)</f>
        <v>1099.95871041525</v>
      </c>
      <c r="M558" s="0" t="n">
        <f aca="false">W_PH(M$2,$A558)</f>
        <v>1099.95931985016</v>
      </c>
      <c r="N558" s="0" t="n">
        <f aca="false">W_PH(N$2,$A558)</f>
        <v>1099.95993141358</v>
      </c>
      <c r="O558" s="0" t="n">
        <f aca="false">W_PH(O$2,$A558)</f>
        <v>1099.96054297716</v>
      </c>
      <c r="P558" s="0" t="n">
        <f aca="false">W_PH(P$2,$A558)</f>
        <v>1099.96665010848</v>
      </c>
      <c r="Q558" s="0" t="n">
        <f aca="false">W_PH(Q$2,$A558)</f>
        <v>1099.97275725632</v>
      </c>
      <c r="R558" s="0" t="n">
        <f aca="false">W_PH(R$2,$A558)</f>
        <v>1099.97886548531</v>
      </c>
      <c r="S558" s="0" t="n">
        <f aca="false">W_PH(S$2,$A558)</f>
        <v>1099.9849737317</v>
      </c>
      <c r="T558" s="0" t="n">
        <f aca="false">W_PH(T$2,$A558)</f>
        <v>1099.99108093174</v>
      </c>
      <c r="U558" s="0" t="n">
        <f aca="false">W_PH(U$2,$A558)</f>
        <v>1099.99718921426</v>
      </c>
      <c r="V558" s="0" t="n">
        <f aca="false">W_PH(V$2,$A558)</f>
        <v>1100.0032975155</v>
      </c>
      <c r="W558" s="0" t="n">
        <f aca="false">W_PH(W$2,$A558)</f>
        <v>1100.00940477169</v>
      </c>
      <c r="X558" s="0" t="n">
        <f aca="false">W_PH(X$2,$A558)</f>
        <v>1100.01551204748</v>
      </c>
      <c r="Y558" s="0" t="n">
        <f aca="false">W_PH(Y$2,$A558)</f>
        <v>1100.07659236502</v>
      </c>
      <c r="Z558" s="0" t="n">
        <f aca="false">W_PH(Z$2,$A558)</f>
        <v>1100.13767512518</v>
      </c>
      <c r="AA558" s="0" t="n">
        <f aca="false">W_PH(AA$2,$A558)</f>
        <v>1100.19876076696</v>
      </c>
      <c r="AB558" s="0" t="n">
        <f aca="false">W_PH(AB$2,$A558)</f>
        <v>1100.25984760074</v>
      </c>
      <c r="AC558" s="0" t="n">
        <f aca="false">W_PH(AC$2,$A558)</f>
        <v>1100.32094032291</v>
      </c>
      <c r="AD558" s="0" t="n">
        <f aca="false">W_PH(AD$2,$A558)</f>
        <v>1100.38203511517</v>
      </c>
      <c r="AE558" s="0" t="n">
        <f aca="false">W_PH(AE$2,$A558)</f>
        <v>1100.44313454536</v>
      </c>
      <c r="AF558" s="0" t="n">
        <f aca="false">W_PH(AF$2,$A558)</f>
        <v>1100.50424011717</v>
      </c>
      <c r="AG558" s="0" t="n">
        <f aca="false">W_PH(AG$2,$A558)</f>
        <v>1100.56534907641</v>
      </c>
      <c r="AH558" s="0" t="n">
        <f aca="false">W_PH(AH$2,$A558)</f>
        <v>1101.1768270134</v>
      </c>
      <c r="AI558" s="0" t="n">
        <f aca="false">W_PH(AI$2,$A558)</f>
        <v>1101.78928783031</v>
      </c>
      <c r="AJ558" s="0" t="n">
        <f aca="false">W_PH(AJ$2,$A558)</f>
        <v>1102.40315430494</v>
      </c>
      <c r="AK558" s="0" t="n">
        <f aca="false">W_PH(AK$2,$A558)</f>
        <v>1103.01884745565</v>
      </c>
      <c r="AL558" s="0" t="n">
        <f aca="false">W_PH(AL$2,$A558)</f>
        <v>1103.63679081427</v>
      </c>
      <c r="AM558" s="0" t="n">
        <f aca="false">W_PH(AM$2,$A558)</f>
        <v>1104.25740831094</v>
      </c>
      <c r="AN558" s="0" t="n">
        <f aca="false">W_PH(AN$2,$A558)</f>
        <v>1104.88112215819</v>
      </c>
      <c r="AO558" s="0" t="n">
        <f aca="false">W_PH(AO$2,$A558)</f>
        <v>1105.50835713659</v>
      </c>
      <c r="AP558" s="0" t="n">
        <f aca="false">W_PH(AP$2,$A558)</f>
        <v>2015</v>
      </c>
      <c r="AQ558" s="0" t="n">
        <f aca="false">W_PH(AQ$2,$A558)</f>
        <v>2015</v>
      </c>
      <c r="AR558" s="0" t="n">
        <f aca="false">W_PH(AR$2,$A558)</f>
        <v>2015</v>
      </c>
      <c r="AS558" s="0" t="n">
        <f aca="false">W_PH(AS$2,$A558)</f>
        <v>2015</v>
      </c>
    </row>
    <row r="559" customFormat="false" ht="13.8" hidden="false" customHeight="false" outlineLevel="0" collapsed="false">
      <c r="A559" s="0" t="n">
        <v>7190</v>
      </c>
      <c r="B559" s="0" t="n">
        <f aca="false">W_PH(B$2,$A559)</f>
        <v>1100.77247859855</v>
      </c>
      <c r="C559" s="0" t="n">
        <f aca="false">W_PH(C$2,$A559)</f>
        <v>1100.77253935522</v>
      </c>
      <c r="D559" s="0" t="n">
        <f aca="false">W_PH(D$2,$A559)</f>
        <v>1100.77260117523</v>
      </c>
      <c r="E559" s="0" t="n">
        <f aca="false">W_PH(E$2,$A559)</f>
        <v>1100.7726619319</v>
      </c>
      <c r="F559" s="0" t="n">
        <f aca="false">W_PH(F$2,$A559)</f>
        <v>1100.77272375192</v>
      </c>
      <c r="G559" s="0" t="n">
        <f aca="false">W_PH(G$2,$A559)</f>
        <v>1100.77333344539</v>
      </c>
      <c r="H559" s="0" t="n">
        <f aca="false">W_PH(H$2,$A559)</f>
        <v>1100.77394526573</v>
      </c>
      <c r="I559" s="0" t="n">
        <f aca="false">W_PH(I$2,$A559)</f>
        <v>1100.77455495951</v>
      </c>
      <c r="J559" s="0" t="n">
        <f aca="false">W_PH(J$2,$A559)</f>
        <v>1100.7751657168</v>
      </c>
      <c r="K559" s="0" t="n">
        <f aca="false">W_PH(K$2,$A559)</f>
        <v>1100.77577647425</v>
      </c>
      <c r="L559" s="0" t="n">
        <f aca="false">W_PH(L$2,$A559)</f>
        <v>1100.77638723186</v>
      </c>
      <c r="M559" s="0" t="n">
        <f aca="false">W_PH(M$2,$A559)</f>
        <v>1100.77699798963</v>
      </c>
      <c r="N559" s="0" t="n">
        <f aca="false">W_PH(N$2,$A559)</f>
        <v>1100.77760874756</v>
      </c>
      <c r="O559" s="0" t="n">
        <f aca="false">W_PH(O$2,$A559)</f>
        <v>1100.77821950564</v>
      </c>
      <c r="P559" s="0" t="n">
        <f aca="false">W_PH(P$2,$A559)</f>
        <v>1100.78432709533</v>
      </c>
      <c r="Q559" s="0" t="n">
        <f aca="false">W_PH(Q$2,$A559)</f>
        <v>1100.79043257468</v>
      </c>
      <c r="R559" s="0" t="n">
        <f aca="false">W_PH(R$2,$A559)</f>
        <v>1100.79654019756</v>
      </c>
      <c r="S559" s="0" t="n">
        <f aca="false">W_PH(S$2,$A559)</f>
        <v>1100.80264783771</v>
      </c>
      <c r="T559" s="0" t="n">
        <f aca="false">W_PH(T$2,$A559)</f>
        <v>1100.80875443218</v>
      </c>
      <c r="U559" s="0" t="n">
        <f aca="false">W_PH(U$2,$A559)</f>
        <v>1100.81486104478</v>
      </c>
      <c r="V559" s="0" t="n">
        <f aca="false">W_PH(V$2,$A559)</f>
        <v>1100.82096873932</v>
      </c>
      <c r="W559" s="0" t="n">
        <f aca="false">W_PH(W$2,$A559)</f>
        <v>1100.82707538949</v>
      </c>
      <c r="X559" s="0" t="n">
        <f aca="false">W_PH(X$2,$A559)</f>
        <v>1100.8331820591</v>
      </c>
      <c r="Y559" s="0" t="n">
        <f aca="false">W_PH(Y$2,$A559)</f>
        <v>1100.89425417419</v>
      </c>
      <c r="Z559" s="0" t="n">
        <f aca="false">W_PH(Z$2,$A559)</f>
        <v>1100.95532871446</v>
      </c>
      <c r="AA559" s="0" t="n">
        <f aca="false">W_PH(AA$2,$A559)</f>
        <v>1101.01640505372</v>
      </c>
      <c r="AB559" s="0" t="n">
        <f aca="false">W_PH(AB$2,$A559)</f>
        <v>1101.07748469274</v>
      </c>
      <c r="AC559" s="0" t="n">
        <f aca="false">W_PH(AC$2,$A559)</f>
        <v>1101.13856806891</v>
      </c>
      <c r="AD559" s="0" t="n">
        <f aca="false">W_PH(AD$2,$A559)</f>
        <v>1101.19965561966</v>
      </c>
      <c r="AE559" s="0" t="n">
        <f aca="false">W_PH(AE$2,$A559)</f>
        <v>1101.26074671882</v>
      </c>
      <c r="AF559" s="0" t="n">
        <f aca="false">W_PH(AF$2,$A559)</f>
        <v>1101.32184286746</v>
      </c>
      <c r="AG559" s="0" t="n">
        <f aca="false">W_PH(AG$2,$A559)</f>
        <v>1101.3829445031</v>
      </c>
      <c r="AH559" s="0" t="n">
        <f aca="false">W_PH(AH$2,$A559)</f>
        <v>1101.99433552227</v>
      </c>
      <c r="AI559" s="0" t="n">
        <f aca="false">W_PH(AI$2,$A559)</f>
        <v>1102.60670571431</v>
      </c>
      <c r="AJ559" s="0" t="n">
        <f aca="false">W_PH(AJ$2,$A559)</f>
        <v>1103.22047403944</v>
      </c>
      <c r="AK559" s="0" t="n">
        <f aca="false">W_PH(AK$2,$A559)</f>
        <v>1103.83606408831</v>
      </c>
      <c r="AL559" s="0" t="n">
        <f aca="false">W_PH(AL$2,$A559)</f>
        <v>1104.45389344695</v>
      </c>
      <c r="AM559" s="0" t="n">
        <f aca="false">W_PH(AM$2,$A559)</f>
        <v>1105.07438648884</v>
      </c>
      <c r="AN559" s="0" t="n">
        <f aca="false">W_PH(AN$2,$A559)</f>
        <v>1105.69796374278</v>
      </c>
      <c r="AO559" s="0" t="n">
        <f aca="false">W_PH(AO$2,$A559)</f>
        <v>1106.32504830416</v>
      </c>
      <c r="AP559" s="0" t="n">
        <f aca="false">W_PH(AP$2,$A559)</f>
        <v>2015</v>
      </c>
      <c r="AQ559" s="0" t="n">
        <f aca="false">W_PH(AQ$2,$A559)</f>
        <v>2015</v>
      </c>
      <c r="AR559" s="0" t="n">
        <f aca="false">W_PH(AR$2,$A559)</f>
        <v>2015</v>
      </c>
      <c r="AS559" s="0" t="n">
        <f aca="false">W_PH(AS$2,$A559)</f>
        <v>2015</v>
      </c>
    </row>
    <row r="560" customFormat="false" ht="13.8" hidden="false" customHeight="false" outlineLevel="0" collapsed="false">
      <c r="A560" s="0" t="n">
        <v>7200</v>
      </c>
      <c r="B560" s="0" t="n">
        <f aca="false">W_PH(B$2,$A560)</f>
        <v>1101.58922044978</v>
      </c>
      <c r="C560" s="0" t="n">
        <f aca="false">W_PH(C$2,$A560)</f>
        <v>1101.5892812321</v>
      </c>
      <c r="D560" s="0" t="n">
        <f aca="false">W_PH(D$2,$A560)</f>
        <v>1101.58934307695</v>
      </c>
      <c r="E560" s="0" t="n">
        <f aca="false">W_PH(E$2,$A560)</f>
        <v>1101.58940385926</v>
      </c>
      <c r="F560" s="0" t="n">
        <f aca="false">W_PH(F$2,$A560)</f>
        <v>1101.58946464159</v>
      </c>
      <c r="G560" s="0" t="n">
        <f aca="false">W_PH(G$2,$A560)</f>
        <v>1101.59007458994</v>
      </c>
      <c r="H560" s="0" t="n">
        <f aca="false">W_PH(H$2,$A560)</f>
        <v>1101.59068560099</v>
      </c>
      <c r="I560" s="0" t="n">
        <f aca="false">W_PH(I$2,$A560)</f>
        <v>1101.59129661219</v>
      </c>
      <c r="J560" s="0" t="n">
        <f aca="false">W_PH(J$2,$A560)</f>
        <v>1101.59190656101</v>
      </c>
      <c r="K560" s="0" t="n">
        <f aca="false">W_PH(K$2,$A560)</f>
        <v>1101.59251757252</v>
      </c>
      <c r="L560" s="0" t="n">
        <f aca="false">W_PH(L$2,$A560)</f>
        <v>1101.59312858419</v>
      </c>
      <c r="M560" s="0" t="n">
        <f aca="false">W_PH(M$2,$A560)</f>
        <v>1101.59373853348</v>
      </c>
      <c r="N560" s="0" t="n">
        <f aca="false">W_PH(N$2,$A560)</f>
        <v>1101.59434954546</v>
      </c>
      <c r="O560" s="0" t="n">
        <f aca="false">W_PH(O$2,$A560)</f>
        <v>1101.5949605576</v>
      </c>
      <c r="P560" s="0" t="n">
        <f aca="false">W_PH(P$2,$A560)</f>
        <v>1101.60106643762</v>
      </c>
      <c r="Q560" s="0" t="n">
        <f aca="false">W_PH(Q$2,$A560)</f>
        <v>1101.60717233388</v>
      </c>
      <c r="R560" s="0" t="n">
        <f aca="false">W_PH(R$2,$A560)</f>
        <v>1101.61327824681</v>
      </c>
      <c r="S560" s="0" t="n">
        <f aca="false">W_PH(S$2,$A560)</f>
        <v>1101.61938417685</v>
      </c>
      <c r="T560" s="0" t="n">
        <f aca="false">W_PH(T$2,$A560)</f>
        <v>1101.62549012443</v>
      </c>
      <c r="U560" s="0" t="n">
        <f aca="false">W_PH(U$2,$A560)</f>
        <v>1101.63159609</v>
      </c>
      <c r="V560" s="0" t="n">
        <f aca="false">W_PH(V$2,$A560)</f>
        <v>1101.63770313653</v>
      </c>
      <c r="W560" s="0" t="n">
        <f aca="false">W_PH(W$2,$A560)</f>
        <v>1101.64380913936</v>
      </c>
      <c r="X560" s="0" t="n">
        <f aca="false">W_PH(X$2,$A560)</f>
        <v>1101.64991622405</v>
      </c>
      <c r="Y560" s="0" t="n">
        <f aca="false">W_PH(Y$2,$A560)</f>
        <v>1101.71097866444</v>
      </c>
      <c r="Z560" s="0" t="n">
        <f aca="false">W_PH(Z$2,$A560)</f>
        <v>1101.77204351267</v>
      </c>
      <c r="AA560" s="0" t="n">
        <f aca="false">W_PH(AA$2,$A560)</f>
        <v>1101.83311226702</v>
      </c>
      <c r="AB560" s="0" t="n">
        <f aca="false">W_PH(AB$2,$A560)</f>
        <v>1101.89418323785</v>
      </c>
      <c r="AC560" s="0" t="n">
        <f aca="false">W_PH(AC$2,$A560)</f>
        <v>1101.95525792347</v>
      </c>
      <c r="AD560" s="0" t="n">
        <f aca="false">W_PH(AD$2,$A560)</f>
        <v>1102.01633675963</v>
      </c>
      <c r="AE560" s="0" t="n">
        <f aca="false">W_PH(AE$2,$A560)</f>
        <v>1102.07742018208</v>
      </c>
      <c r="AF560" s="0" t="n">
        <f aca="false">W_PH(AF$2,$A560)</f>
        <v>1102.13850756381</v>
      </c>
      <c r="AG560" s="0" t="n">
        <f aca="false">W_PH(AG$2,$A560)</f>
        <v>1102.19960040342</v>
      </c>
      <c r="AH560" s="0" t="n">
        <f aca="false">W_PH(AH$2,$A560)</f>
        <v>1102.81090150568</v>
      </c>
      <c r="AI560" s="0" t="n">
        <f aca="false">W_PH(AI$2,$A560)</f>
        <v>1103.42317917168</v>
      </c>
      <c r="AJ560" s="0" t="n">
        <f aca="false">W_PH(AJ$2,$A560)</f>
        <v>1104.03684962195</v>
      </c>
      <c r="AK560" s="0" t="n">
        <f aca="false">W_PH(AK$2,$A560)</f>
        <v>1104.65233263955</v>
      </c>
      <c r="AL560" s="0" t="n">
        <f aca="false">W_PH(AL$2,$A560)</f>
        <v>1105.2700483928</v>
      </c>
      <c r="AM560" s="0" t="n">
        <f aca="false">W_PH(AM$2,$A560)</f>
        <v>1105.89041425547</v>
      </c>
      <c r="AN560" s="0" t="n">
        <f aca="false">W_PH(AN$2,$A560)</f>
        <v>1106.51385333952</v>
      </c>
      <c r="AO560" s="0" t="n">
        <f aca="false">W_PH(AO$2,$A560)</f>
        <v>1107.14078493521</v>
      </c>
      <c r="AP560" s="0" t="n">
        <f aca="false">W_PH(AP$2,$A560)</f>
        <v>2015</v>
      </c>
      <c r="AQ560" s="0" t="n">
        <f aca="false">W_PH(AQ$2,$A560)</f>
        <v>2015</v>
      </c>
      <c r="AR560" s="0" t="n">
        <f aca="false">W_PH(AR$2,$A560)</f>
        <v>2015</v>
      </c>
      <c r="AS560" s="0" t="n">
        <f aca="false">W_PH(AS$2,$A560)</f>
        <v>2015</v>
      </c>
    </row>
    <row r="561" customFormat="false" ht="13.8" hidden="false" customHeight="false" outlineLevel="0" collapsed="false">
      <c r="A561" s="0" t="n">
        <v>7210</v>
      </c>
      <c r="B561" s="0" t="n">
        <f aca="false">W_PH(B$2,$A561)</f>
        <v>1102.40502821648</v>
      </c>
      <c r="C561" s="0" t="n">
        <f aca="false">W_PH(C$2,$A561)</f>
        <v>1102.40508902399</v>
      </c>
      <c r="D561" s="0" t="n">
        <f aca="false">W_PH(D$2,$A561)</f>
        <v>1102.4051498315</v>
      </c>
      <c r="E561" s="0" t="n">
        <f aca="false">W_PH(E$2,$A561)</f>
        <v>1102.40521063902</v>
      </c>
      <c r="F561" s="0" t="n">
        <f aca="false">W_PH(F$2,$A561)</f>
        <v>1102.40527144653</v>
      </c>
      <c r="G561" s="0" t="n">
        <f aca="false">W_PH(G$2,$A561)</f>
        <v>1102.40588164519</v>
      </c>
      <c r="H561" s="0" t="n">
        <f aca="false">W_PH(H$2,$A561)</f>
        <v>1102.40649290572</v>
      </c>
      <c r="I561" s="0" t="n">
        <f aca="false">W_PH(I$2,$A561)</f>
        <v>1102.40710310468</v>
      </c>
      <c r="J561" s="0" t="n">
        <f aca="false">W_PH(J$2,$A561)</f>
        <v>1102.40771436552</v>
      </c>
      <c r="K561" s="0" t="n">
        <f aca="false">W_PH(K$2,$A561)</f>
        <v>1102.40832456479</v>
      </c>
      <c r="L561" s="0" t="n">
        <f aca="false">W_PH(L$2,$A561)</f>
        <v>1102.40893476422</v>
      </c>
      <c r="M561" s="0" t="n">
        <f aca="false">W_PH(M$2,$A561)</f>
        <v>1102.4095449638</v>
      </c>
      <c r="N561" s="0" t="n">
        <f aca="false">W_PH(N$2,$A561)</f>
        <v>1102.41015516354</v>
      </c>
      <c r="O561" s="0" t="n">
        <f aca="false">W_PH(O$2,$A561)</f>
        <v>1102.41076642515</v>
      </c>
      <c r="P561" s="0" t="n">
        <f aca="false">W_PH(P$2,$A561)</f>
        <v>1102.41687161795</v>
      </c>
      <c r="Q561" s="0" t="n">
        <f aca="false">W_PH(Q$2,$A561)</f>
        <v>1102.42297682684</v>
      </c>
      <c r="R561" s="0" t="n">
        <f aca="false">W_PH(R$2,$A561)</f>
        <v>1102.42908205226</v>
      </c>
      <c r="S561" s="0" t="n">
        <f aca="false">W_PH(S$2,$A561)</f>
        <v>1102.43518729465</v>
      </c>
      <c r="T561" s="0" t="n">
        <f aca="false">W_PH(T$2,$A561)</f>
        <v>1102.44129255444</v>
      </c>
      <c r="U561" s="0" t="n">
        <f aca="false">W_PH(U$2,$A561)</f>
        <v>1102.44739783207</v>
      </c>
      <c r="V561" s="0" t="n">
        <f aca="false">W_PH(V$2,$A561)</f>
        <v>1102.45350312796</v>
      </c>
      <c r="W561" s="0" t="n">
        <f aca="false">W_PH(W$2,$A561)</f>
        <v>1102.45960844255</v>
      </c>
      <c r="X561" s="0" t="n">
        <f aca="false">W_PH(X$2,$A561)</f>
        <v>1102.46571377628</v>
      </c>
      <c r="Y561" s="0" t="n">
        <f aca="false">W_PH(Y$2,$A561)</f>
        <v>1102.52676826146</v>
      </c>
      <c r="Z561" s="0" t="n">
        <f aca="false">W_PH(Z$2,$A561)</f>
        <v>1102.58782513745</v>
      </c>
      <c r="AA561" s="0" t="n">
        <f aca="false">W_PH(AA$2,$A561)</f>
        <v>1102.64888483818</v>
      </c>
      <c r="AB561" s="0" t="n">
        <f aca="false">W_PH(AB$2,$A561)</f>
        <v>1102.70994673575</v>
      </c>
      <c r="AC561" s="0" t="n">
        <f aca="false">W_PH(AC$2,$A561)</f>
        <v>1102.77101232598</v>
      </c>
      <c r="AD561" s="0" t="n">
        <f aca="false">W_PH(AD$2,$A561)</f>
        <v>1102.83208310484</v>
      </c>
      <c r="AE561" s="0" t="n">
        <f aca="false">W_PH(AE$2,$A561)</f>
        <v>1102.89315632061</v>
      </c>
      <c r="AF561" s="0" t="n">
        <f aca="false">W_PH(AF$2,$A561)</f>
        <v>1102.95423453122</v>
      </c>
      <c r="AG561" s="0" t="n">
        <f aca="false">W_PH(AG$2,$A561)</f>
        <v>1103.01531923285</v>
      </c>
      <c r="AH561" s="0" t="n">
        <f aca="false">W_PH(AH$2,$A561)</f>
        <v>1103.6265306438</v>
      </c>
      <c r="AI561" s="0" t="n">
        <f aca="false">W_PH(AI$2,$A561)</f>
        <v>1104.23871285567</v>
      </c>
      <c r="AJ561" s="0" t="n">
        <f aca="false">W_PH(AJ$2,$A561)</f>
        <v>1104.8522825467</v>
      </c>
      <c r="AK561" s="0" t="n">
        <f aca="false">W_PH(AK$2,$A561)</f>
        <v>1105.46765783195</v>
      </c>
      <c r="AL561" s="0" t="n">
        <f aca="false">W_PH(AL$2,$A561)</f>
        <v>1106.08525508531</v>
      </c>
      <c r="AM561" s="0" t="n">
        <f aca="false">W_PH(AM$2,$A561)</f>
        <v>1106.7054932062</v>
      </c>
      <c r="AN561" s="0" t="n">
        <f aca="false">W_PH(AN$2,$A561)</f>
        <v>1107.32879257531</v>
      </c>
      <c r="AO561" s="0" t="n">
        <f aca="false">W_PH(AO$2,$A561)</f>
        <v>1107.95556975426</v>
      </c>
      <c r="AP561" s="0" t="n">
        <f aca="false">W_PH(AP$2,$A561)</f>
        <v>2015</v>
      </c>
      <c r="AQ561" s="0" t="n">
        <f aca="false">W_PH(AQ$2,$A561)</f>
        <v>2015</v>
      </c>
      <c r="AR561" s="0" t="n">
        <f aca="false">W_PH(AR$2,$A561)</f>
        <v>2015</v>
      </c>
      <c r="AS561" s="0" t="n">
        <f aca="false">W_PH(AS$2,$A561)</f>
        <v>2015</v>
      </c>
    </row>
    <row r="562" customFormat="false" ht="13.8" hidden="false" customHeight="false" outlineLevel="0" collapsed="false">
      <c r="A562" s="0" t="n">
        <v>7220</v>
      </c>
      <c r="B562" s="0" t="n">
        <f aca="false">W_PH(B$2,$A562)</f>
        <v>1103.21990218181</v>
      </c>
      <c r="C562" s="0" t="n">
        <f aca="false">W_PH(C$2,$A562)</f>
        <v>1103.21996301406</v>
      </c>
      <c r="D562" s="0" t="n">
        <f aca="false">W_PH(D$2,$A562)</f>
        <v>1103.22002384632</v>
      </c>
      <c r="E562" s="0" t="n">
        <f aca="false">W_PH(E$2,$A562)</f>
        <v>1103.22008573946</v>
      </c>
      <c r="F562" s="0" t="n">
        <f aca="false">W_PH(F$2,$A562)</f>
        <v>1103.22014657172</v>
      </c>
      <c r="G562" s="0" t="n">
        <f aca="false">W_PH(G$2,$A562)</f>
        <v>1103.22075701613</v>
      </c>
      <c r="H562" s="0" t="n">
        <f aca="false">W_PH(H$2,$A562)</f>
        <v>1103.2213674607</v>
      </c>
      <c r="I562" s="0" t="n">
        <f aca="false">W_PH(I$2,$A562)</f>
        <v>1103.22197790542</v>
      </c>
      <c r="J562" s="0" t="n">
        <f aca="false">W_PH(J$2,$A562)</f>
        <v>1103.2225883503</v>
      </c>
      <c r="K562" s="0" t="n">
        <f aca="false">W_PH(K$2,$A562)</f>
        <v>1103.22319879533</v>
      </c>
      <c r="L562" s="0" t="n">
        <f aca="false">W_PH(L$2,$A562)</f>
        <v>1103.22380924051</v>
      </c>
      <c r="M562" s="0" t="n">
        <f aca="false">W_PH(M$2,$A562)</f>
        <v>1103.22441968584</v>
      </c>
      <c r="N562" s="0" t="n">
        <f aca="false">W_PH(N$2,$A562)</f>
        <v>1103.22503013133</v>
      </c>
      <c r="O562" s="0" t="n">
        <f aca="false">W_PH(O$2,$A562)</f>
        <v>1103.22564057698</v>
      </c>
      <c r="P562" s="0" t="n">
        <f aca="false">W_PH(P$2,$A562)</f>
        <v>1103.23174504203</v>
      </c>
      <c r="Q562" s="0" t="n">
        <f aca="false">W_PH(Q$2,$A562)</f>
        <v>1103.23784846214</v>
      </c>
      <c r="R562" s="0" t="n">
        <f aca="false">W_PH(R$2,$A562)</f>
        <v>1103.24395295954</v>
      </c>
      <c r="S562" s="0" t="n">
        <f aca="false">W_PH(S$2,$A562)</f>
        <v>1103.25005747377</v>
      </c>
      <c r="T562" s="0" t="n">
        <f aca="false">W_PH(T$2,$A562)</f>
        <v>1103.25616200526</v>
      </c>
      <c r="U562" s="0" t="n">
        <f aca="false">W_PH(U$2,$A562)</f>
        <v>1103.26226655443</v>
      </c>
      <c r="V562" s="0" t="n">
        <f aca="false">W_PH(V$2,$A562)</f>
        <v>1103.26837112173</v>
      </c>
      <c r="W562" s="0" t="n">
        <f aca="false">W_PH(W$2,$A562)</f>
        <v>1103.27447570758</v>
      </c>
      <c r="X562" s="0" t="n">
        <f aca="false">W_PH(X$2,$A562)</f>
        <v>1103.28058031241</v>
      </c>
      <c r="Y562" s="0" t="n">
        <f aca="false">W_PH(Y$2,$A562)</f>
        <v>1103.34162537816</v>
      </c>
      <c r="Z562" s="0" t="n">
        <f aca="false">W_PH(Z$2,$A562)</f>
        <v>1103.40267281781</v>
      </c>
      <c r="AA562" s="0" t="n">
        <f aca="false">W_PH(AA$2,$A562)</f>
        <v>1103.46372306361</v>
      </c>
      <c r="AB562" s="0" t="n">
        <f aca="false">W_PH(AB$2,$A562)</f>
        <v>1103.52477654785</v>
      </c>
      <c r="AC562" s="0" t="n">
        <f aca="false">W_PH(AC$2,$A562)</f>
        <v>1103.58583370287</v>
      </c>
      <c r="AD562" s="0" t="n">
        <f aca="false">W_PH(AD$2,$A562)</f>
        <v>1103.64689496104</v>
      </c>
      <c r="AE562" s="0" t="n">
        <f aca="false">W_PH(AE$2,$A562)</f>
        <v>1103.70795969361</v>
      </c>
      <c r="AF562" s="0" t="n">
        <f aca="false">W_PH(AF$2,$A562)</f>
        <v>1103.76902939411</v>
      </c>
      <c r="AG562" s="0" t="n">
        <f aca="false">W_PH(AG$2,$A562)</f>
        <v>1103.83010343382</v>
      </c>
      <c r="AH562" s="0" t="n">
        <f aca="false">W_PH(AH$2,$A562)</f>
        <v>1104.44122328578</v>
      </c>
      <c r="AI562" s="0" t="n">
        <f aca="false">W_PH(AI$2,$A562)</f>
        <v>1105.05330821345</v>
      </c>
      <c r="AJ562" s="0" t="n">
        <f aca="false">W_PH(AJ$2,$A562)</f>
        <v>1105.66677535913</v>
      </c>
      <c r="AK562" s="0" t="n">
        <f aca="false">W_PH(AK$2,$A562)</f>
        <v>1106.28204011697</v>
      </c>
      <c r="AL562" s="0" t="n">
        <f aca="false">W_PH(AL$2,$A562)</f>
        <v>1106.89951826665</v>
      </c>
      <c r="AM562" s="0" t="n">
        <f aca="false">W_PH(AM$2,$A562)</f>
        <v>1107.51962705037</v>
      </c>
      <c r="AN562" s="0" t="n">
        <f aca="false">W_PH(AN$2,$A562)</f>
        <v>1108.14278306474</v>
      </c>
      <c r="AO562" s="0" t="n">
        <f aca="false">W_PH(AO$2,$A562)</f>
        <v>1108.7694054697</v>
      </c>
      <c r="AP562" s="0" t="n">
        <f aca="false">W_PH(AP$2,$A562)</f>
        <v>2015</v>
      </c>
      <c r="AQ562" s="0" t="n">
        <f aca="false">W_PH(AQ$2,$A562)</f>
        <v>2015</v>
      </c>
      <c r="AR562" s="0" t="n">
        <f aca="false">W_PH(AR$2,$A562)</f>
        <v>2015</v>
      </c>
      <c r="AS562" s="0" t="n">
        <f aca="false">W_PH(AS$2,$A562)</f>
        <v>2015</v>
      </c>
    </row>
    <row r="563" customFormat="false" ht="13.8" hidden="false" customHeight="false" outlineLevel="0" collapsed="false">
      <c r="A563" s="0" t="n">
        <v>7230</v>
      </c>
      <c r="B563" s="0" t="n">
        <f aca="false">W_PH(B$2,$A563)</f>
        <v>1104.03384686318</v>
      </c>
      <c r="C563" s="0" t="n">
        <f aca="false">W_PH(C$2,$A563)</f>
        <v>1104.0339087798</v>
      </c>
      <c r="D563" s="0" t="n">
        <f aca="false">W_PH(D$2,$A563)</f>
        <v>1104.03396963634</v>
      </c>
      <c r="E563" s="0" t="n">
        <f aca="false">W_PH(E$2,$A563)</f>
        <v>1104.03403049288</v>
      </c>
      <c r="F563" s="0" t="n">
        <f aca="false">W_PH(F$2,$A563)</f>
        <v>1104.0340924095</v>
      </c>
      <c r="G563" s="0" t="n">
        <f aca="false">W_PH(G$2,$A563)</f>
        <v>1104.0347020351</v>
      </c>
      <c r="H563" s="0" t="n">
        <f aca="false">W_PH(H$2,$A563)</f>
        <v>1104.03531166085</v>
      </c>
      <c r="I563" s="0" t="n">
        <f aca="false">W_PH(I$2,$A563)</f>
        <v>1104.03592234682</v>
      </c>
      <c r="J563" s="0" t="n">
        <f aca="false">W_PH(J$2,$A563)</f>
        <v>1104.03653303294</v>
      </c>
      <c r="K563" s="0" t="n">
        <f aca="false">W_PH(K$2,$A563)</f>
        <v>1104.03714371922</v>
      </c>
      <c r="L563" s="0" t="n">
        <f aca="false">W_PH(L$2,$A563)</f>
        <v>1104.03775440565</v>
      </c>
      <c r="M563" s="0" t="n">
        <f aca="false">W_PH(M$2,$A563)</f>
        <v>1104.03836403216</v>
      </c>
      <c r="N563" s="0" t="n">
        <f aca="false">W_PH(N$2,$A563)</f>
        <v>1104.03897365881</v>
      </c>
      <c r="O563" s="0" t="n">
        <f aca="false">W_PH(O$2,$A563)</f>
        <v>1104.0395843457</v>
      </c>
      <c r="P563" s="0" t="n">
        <f aca="false">W_PH(P$2,$A563)</f>
        <v>1104.0456880429</v>
      </c>
      <c r="Q563" s="0" t="n">
        <f aca="false">W_PH(Q$2,$A563)</f>
        <v>1104.05179175591</v>
      </c>
      <c r="R563" s="0" t="n">
        <f aca="false">W_PH(R$2,$A563)</f>
        <v>1104.0578944251</v>
      </c>
      <c r="S563" s="0" t="n">
        <f aca="false">W_PH(S$2,$A563)</f>
        <v>1104.06399923114</v>
      </c>
      <c r="T563" s="0" t="n">
        <f aca="false">W_PH(T$2,$A563)</f>
        <v>1104.07010193412</v>
      </c>
      <c r="U563" s="0" t="n">
        <f aca="false">W_PH(U$2,$A563)</f>
        <v>1104.07620465464</v>
      </c>
      <c r="V563" s="0" t="n">
        <f aca="false">W_PH(V$2,$A563)</f>
        <v>1104.08230951333</v>
      </c>
      <c r="W563" s="0" t="n">
        <f aca="false">W_PH(W$2,$A563)</f>
        <v>1104.08841227023</v>
      </c>
      <c r="X563" s="0" t="n">
        <f aca="false">W_PH(X$2,$A563)</f>
        <v>1104.09451610607</v>
      </c>
      <c r="Y563" s="0" t="n">
        <f aca="false">W_PH(Y$2,$A563)</f>
        <v>1104.15555241482</v>
      </c>
      <c r="Z563" s="0" t="n">
        <f aca="false">W_PH(Z$2,$A563)</f>
        <v>1104.21659108078</v>
      </c>
      <c r="AA563" s="0" t="n">
        <f aca="false">W_PH(AA$2,$A563)</f>
        <v>1104.27763253455</v>
      </c>
      <c r="AB563" s="0" t="n">
        <f aca="false">W_PH(AB$2,$A563)</f>
        <v>1104.33867614652</v>
      </c>
      <c r="AC563" s="0" t="n">
        <f aca="false">W_PH(AC$2,$A563)</f>
        <v>1104.39972340752</v>
      </c>
      <c r="AD563" s="0" t="n">
        <f aca="false">W_PH(AD$2,$A563)</f>
        <v>1104.46077474827</v>
      </c>
      <c r="AE563" s="0" t="n">
        <f aca="false">W_PH(AE$2,$A563)</f>
        <v>1104.52183059949</v>
      </c>
      <c r="AF563" s="0" t="n">
        <f aca="false">W_PH(AF$2,$A563)</f>
        <v>1104.58289139196</v>
      </c>
      <c r="AG563" s="0" t="n">
        <f aca="false">W_PH(AG$2,$A563)</f>
        <v>1104.64395755652</v>
      </c>
      <c r="AH563" s="0" t="n">
        <f aca="false">W_PH(AH$2,$A563)</f>
        <v>1105.25498083469</v>
      </c>
      <c r="AI563" s="0" t="n">
        <f aca="false">W_PH(AI$2,$A563)</f>
        <v>1105.86696668181</v>
      </c>
      <c r="AJ563" s="0" t="n">
        <f aca="false">W_PH(AJ$2,$A563)</f>
        <v>1106.48032952925</v>
      </c>
      <c r="AK563" s="0" t="n">
        <f aca="false">W_PH(AK$2,$A563)</f>
        <v>1107.09548206149</v>
      </c>
      <c r="AL563" s="0" t="n">
        <f aca="false">W_PH(AL$2,$A563)</f>
        <v>1107.71283840989</v>
      </c>
      <c r="AM563" s="0" t="n">
        <f aca="false">W_PH(AM$2,$A563)</f>
        <v>1108.33281523023</v>
      </c>
      <c r="AN563" s="0" t="n">
        <f aca="false">W_PH(AN$2,$A563)</f>
        <v>1108.95582853494</v>
      </c>
      <c r="AO563" s="0" t="n">
        <f aca="false">W_PH(AO$2,$A563)</f>
        <v>1109.58229264888</v>
      </c>
      <c r="AP563" s="0" t="n">
        <f aca="false">W_PH(AP$2,$A563)</f>
        <v>2015</v>
      </c>
      <c r="AQ563" s="0" t="n">
        <f aca="false">W_PH(AQ$2,$A563)</f>
        <v>2015</v>
      </c>
      <c r="AR563" s="0" t="n">
        <f aca="false">W_PH(AR$2,$A563)</f>
        <v>2015</v>
      </c>
      <c r="AS563" s="0" t="n">
        <f aca="false">W_PH(AS$2,$A563)</f>
        <v>2015</v>
      </c>
    </row>
    <row r="564" customFormat="false" ht="13.8" hidden="false" customHeight="false" outlineLevel="0" collapsed="false">
      <c r="A564" s="0" t="n">
        <v>7240</v>
      </c>
      <c r="B564" s="0" t="n">
        <f aca="false">W_PH(B$2,$A564)</f>
        <v>1104.84686464042</v>
      </c>
      <c r="C564" s="0" t="n">
        <f aca="false">W_PH(C$2,$A564)</f>
        <v>1104.8469255208</v>
      </c>
      <c r="D564" s="0" t="n">
        <f aca="false">W_PH(D$2,$A564)</f>
        <v>1104.84698640119</v>
      </c>
      <c r="E564" s="0" t="n">
        <f aca="false">W_PH(E$2,$A564)</f>
        <v>1104.84704834083</v>
      </c>
      <c r="F564" s="0" t="n">
        <f aca="false">W_PH(F$2,$A564)</f>
        <v>1104.84710922122</v>
      </c>
      <c r="G564" s="0" t="n">
        <f aca="false">W_PH(G$2,$A564)</f>
        <v>1104.84771908442</v>
      </c>
      <c r="H564" s="0" t="n">
        <f aca="false">W_PH(H$2,$A564)</f>
        <v>1104.84832894778</v>
      </c>
      <c r="I564" s="0" t="n">
        <f aca="false">W_PH(I$2,$A564)</f>
        <v>1104.84893987054</v>
      </c>
      <c r="J564" s="0" t="n">
        <f aca="false">W_PH(J$2,$A564)</f>
        <v>1104.8495497342</v>
      </c>
      <c r="K564" s="0" t="n">
        <f aca="false">W_PH(K$2,$A564)</f>
        <v>1104.850159598</v>
      </c>
      <c r="L564" s="0" t="n">
        <f aca="false">W_PH(L$2,$A564)</f>
        <v>1104.85077052122</v>
      </c>
      <c r="M564" s="0" t="n">
        <f aca="false">W_PH(M$2,$A564)</f>
        <v>1104.85138038532</v>
      </c>
      <c r="N564" s="0" t="n">
        <f aca="false">W_PH(N$2,$A564)</f>
        <v>1104.85199024958</v>
      </c>
      <c r="O564" s="0" t="n">
        <f aca="false">W_PH(O$2,$A564)</f>
        <v>1104.85260117325</v>
      </c>
      <c r="P564" s="0" t="n">
        <f aca="false">W_PH(P$2,$A564)</f>
        <v>1104.85870406286</v>
      </c>
      <c r="Q564" s="0" t="n">
        <f aca="false">W_PH(Q$2,$A564)</f>
        <v>1104.86480590889</v>
      </c>
      <c r="R564" s="0" t="n">
        <f aca="false">W_PH(R$2,$A564)</f>
        <v>1104.87090777103</v>
      </c>
      <c r="S564" s="0" t="n">
        <f aca="false">W_PH(S$2,$A564)</f>
        <v>1104.87701070899</v>
      </c>
      <c r="T564" s="0" t="n">
        <f aca="false">W_PH(T$2,$A564)</f>
        <v>1104.88311366393</v>
      </c>
      <c r="U564" s="0" t="n">
        <f aca="false">W_PH(U$2,$A564)</f>
        <v>1104.88921663627</v>
      </c>
      <c r="V564" s="0" t="n">
        <f aca="false">W_PH(V$2,$A564)</f>
        <v>1104.89531856716</v>
      </c>
      <c r="W564" s="0" t="n">
        <f aca="false">W_PH(W$2,$A564)</f>
        <v>1104.9014205163</v>
      </c>
      <c r="X564" s="0" t="n">
        <f aca="false">W_PH(X$2,$A564)</f>
        <v>1104.90752354342</v>
      </c>
      <c r="Y564" s="0" t="n">
        <f aca="false">W_PH(Y$2,$A564)</f>
        <v>1104.96855069975</v>
      </c>
      <c r="Z564" s="0" t="n">
        <f aca="false">W_PH(Z$2,$A564)</f>
        <v>1105.02958019678</v>
      </c>
      <c r="AA564" s="0" t="n">
        <f aca="false">W_PH(AA$2,$A564)</f>
        <v>1105.09061246345</v>
      </c>
      <c r="AB564" s="0" t="n">
        <f aca="false">W_PH(AB$2,$A564)</f>
        <v>1105.15164580989</v>
      </c>
      <c r="AC564" s="0" t="n">
        <f aca="false">W_PH(AC$2,$A564)</f>
        <v>1105.21268490271</v>
      </c>
      <c r="AD564" s="0" t="n">
        <f aca="false">W_PH(AD$2,$A564)</f>
        <v>1105.27372593325</v>
      </c>
      <c r="AE564" s="0" t="n">
        <f aca="false">W_PH(AE$2,$A564)</f>
        <v>1105.33477356842</v>
      </c>
      <c r="AF564" s="0" t="n">
        <f aca="false">W_PH(AF$2,$A564)</f>
        <v>1105.39582399939</v>
      </c>
      <c r="AG564" s="0" t="n">
        <f aca="false">W_PH(AG$2,$A564)</f>
        <v>1105.45687977427</v>
      </c>
      <c r="AH564" s="0" t="n">
        <f aca="false">W_PH(AH$2,$A564)</f>
        <v>1106.06780680336</v>
      </c>
      <c r="AI564" s="0" t="n">
        <f aca="false">W_PH(AI$2,$A564)</f>
        <v>1106.67969180747</v>
      </c>
      <c r="AJ564" s="0" t="n">
        <f aca="false">W_PH(AJ$2,$A564)</f>
        <v>1107.29294757683</v>
      </c>
      <c r="AK564" s="0" t="n">
        <f aca="false">W_PH(AK$2,$A564)</f>
        <v>1107.9079851572</v>
      </c>
      <c r="AL564" s="0" t="n">
        <f aca="false">W_PH(AL$2,$A564)</f>
        <v>1108.52522022411</v>
      </c>
      <c r="AM564" s="0" t="n">
        <f aca="false">W_PH(AM$2,$A564)</f>
        <v>1109.14506355061</v>
      </c>
      <c r="AN564" s="0" t="n">
        <f aca="false">W_PH(AN$2,$A564)</f>
        <v>1109.76793057108</v>
      </c>
      <c r="AO564" s="0" t="n">
        <f aca="false">W_PH(AO$2,$A564)</f>
        <v>1110.39423503527</v>
      </c>
      <c r="AP564" s="0" t="n">
        <f aca="false">W_PH(AP$2,$A564)</f>
        <v>2015</v>
      </c>
      <c r="AQ564" s="0" t="n">
        <f aca="false">W_PH(AQ$2,$A564)</f>
        <v>2015</v>
      </c>
      <c r="AR564" s="0" t="n">
        <f aca="false">W_PH(AR$2,$A564)</f>
        <v>2015</v>
      </c>
      <c r="AS564" s="0" t="n">
        <f aca="false">W_PH(AS$2,$A564)</f>
        <v>2015</v>
      </c>
    </row>
    <row r="565" customFormat="false" ht="13.8" hidden="false" customHeight="false" outlineLevel="0" collapsed="false">
      <c r="A565" s="0" t="n">
        <v>7250</v>
      </c>
      <c r="B565" s="0" t="n">
        <f aca="false">W_PH(B$2,$A565)</f>
        <v>1105.65895576405</v>
      </c>
      <c r="C565" s="0" t="n">
        <f aca="false">W_PH(C$2,$A565)</f>
        <v>1105.65901666783</v>
      </c>
      <c r="D565" s="0" t="n">
        <f aca="false">W_PH(D$2,$A565)</f>
        <v>1105.65907757162</v>
      </c>
      <c r="E565" s="0" t="n">
        <f aca="false">W_PH(E$2,$A565)</f>
        <v>1105.6591384754</v>
      </c>
      <c r="F565" s="0" t="n">
        <f aca="false">W_PH(F$2,$A565)</f>
        <v>1105.65919937919</v>
      </c>
      <c r="G565" s="0" t="n">
        <f aca="false">W_PH(G$2,$A565)</f>
        <v>1105.65981053402</v>
      </c>
      <c r="H565" s="0" t="n">
        <f aca="false">W_PH(H$2,$A565)</f>
        <v>1105.66041957212</v>
      </c>
      <c r="I565" s="0" t="n">
        <f aca="false">W_PH(I$2,$A565)</f>
        <v>1105.66103072725</v>
      </c>
      <c r="J565" s="0" t="n">
        <f aca="false">W_PH(J$2,$A565)</f>
        <v>1105.66163976564</v>
      </c>
      <c r="K565" s="0" t="n">
        <f aca="false">W_PH(K$2,$A565)</f>
        <v>1105.66225092107</v>
      </c>
      <c r="L565" s="0" t="n">
        <f aca="false">W_PH(L$2,$A565)</f>
        <v>1105.66285995975</v>
      </c>
      <c r="M565" s="0" t="n">
        <f aca="false">W_PH(M$2,$A565)</f>
        <v>1105.66347111548</v>
      </c>
      <c r="N565" s="0" t="n">
        <f aca="false">W_PH(N$2,$A565)</f>
        <v>1105.66408121292</v>
      </c>
      <c r="O565" s="0" t="n">
        <f aca="false">W_PH(O$2,$A565)</f>
        <v>1105.6646913105</v>
      </c>
      <c r="P565" s="0" t="n">
        <f aca="false">W_PH(P$2,$A565)</f>
        <v>1105.67079229474</v>
      </c>
      <c r="Q565" s="0" t="n">
        <f aca="false">W_PH(Q$2,$A565)</f>
        <v>1105.67689435297</v>
      </c>
      <c r="R565" s="0" t="n">
        <f aca="false">W_PH(R$2,$A565)</f>
        <v>1105.6829964272</v>
      </c>
      <c r="S565" s="0" t="n">
        <f aca="false">W_PH(S$2,$A565)</f>
        <v>1105.68909745937</v>
      </c>
      <c r="T565" s="0" t="n">
        <f aca="false">W_PH(T$2,$A565)</f>
        <v>1105.69519850838</v>
      </c>
      <c r="U565" s="0" t="n">
        <f aca="false">W_PH(U$2,$A565)</f>
        <v>1105.70130063311</v>
      </c>
      <c r="V565" s="0" t="n">
        <f aca="false">W_PH(V$2,$A565)</f>
        <v>1105.70740277553</v>
      </c>
      <c r="W565" s="0" t="n">
        <f aca="false">W_PH(W$2,$A565)</f>
        <v>1105.7135038776</v>
      </c>
      <c r="X565" s="0" t="n">
        <f aca="false">W_PH(X$2,$A565)</f>
        <v>1105.71960499821</v>
      </c>
      <c r="Y565" s="0" t="n">
        <f aca="false">W_PH(Y$2,$A565)</f>
        <v>1105.78062261058</v>
      </c>
      <c r="Z565" s="0" t="n">
        <f aca="false">W_PH(Z$2,$A565)</f>
        <v>1105.8416425473</v>
      </c>
      <c r="AA565" s="0" t="n">
        <f aca="false">W_PH(AA$2,$A565)</f>
        <v>1105.90266417711</v>
      </c>
      <c r="AB565" s="0" t="n">
        <f aca="false">W_PH(AB$2,$A565)</f>
        <v>1105.96369004441</v>
      </c>
      <c r="AC565" s="0" t="n">
        <f aca="false">W_PH(AC$2,$A565)</f>
        <v>1106.02471845941</v>
      </c>
      <c r="AD565" s="0" t="n">
        <f aca="false">W_PH(AD$2,$A565)</f>
        <v>1106.08575090808</v>
      </c>
      <c r="AE565" s="0" t="n">
        <f aca="false">W_PH(AE$2,$A565)</f>
        <v>1106.14678675917</v>
      </c>
      <c r="AF565" s="0" t="n">
        <f aca="false">W_PH(AF$2,$A565)</f>
        <v>1106.2078285575</v>
      </c>
      <c r="AG565" s="0" t="n">
        <f aca="false">W_PH(AG$2,$A565)</f>
        <v>1106.26887461319</v>
      </c>
      <c r="AH565" s="0" t="n">
        <f aca="false">W_PH(AH$2,$A565)</f>
        <v>1106.87970362908</v>
      </c>
      <c r="AI565" s="0" t="n">
        <f aca="false">W_PH(AI$2,$A565)</f>
        <v>1107.49148500162</v>
      </c>
      <c r="AJ565" s="0" t="n">
        <f aca="false">W_PH(AJ$2,$A565)</f>
        <v>1108.10463200767</v>
      </c>
      <c r="AK565" s="0" t="n">
        <f aca="false">W_PH(AK$2,$A565)</f>
        <v>1108.71955406453</v>
      </c>
      <c r="AL565" s="0" t="n">
        <f aca="false">W_PH(AL$2,$A565)</f>
        <v>1109.33666309615</v>
      </c>
      <c r="AM565" s="0" t="n">
        <f aca="false">W_PH(AM$2,$A565)</f>
        <v>1109.9563714287</v>
      </c>
      <c r="AN565" s="0" t="n">
        <f aca="false">W_PH(AN$2,$A565)</f>
        <v>1110.57909074642</v>
      </c>
      <c r="AO565" s="0" t="n">
        <f aca="false">W_PH(AO$2,$A565)</f>
        <v>1111.20523529234</v>
      </c>
      <c r="AP565" s="0" t="n">
        <f aca="false">W_PH(AP$2,$A565)</f>
        <v>2015</v>
      </c>
      <c r="AQ565" s="0" t="n">
        <f aca="false">W_PH(AQ$2,$A565)</f>
        <v>2015</v>
      </c>
      <c r="AR565" s="0" t="n">
        <f aca="false">W_PH(AR$2,$A565)</f>
        <v>2015</v>
      </c>
      <c r="AS565" s="0" t="n">
        <f aca="false">W_PH(AS$2,$A565)</f>
        <v>2015</v>
      </c>
    </row>
    <row r="566" customFormat="false" ht="13.8" hidden="false" customHeight="false" outlineLevel="0" collapsed="false">
      <c r="A566" s="0" t="n">
        <v>7260</v>
      </c>
      <c r="B566" s="0" t="n">
        <f aca="false">W_PH(B$2,$A566)</f>
        <v>1106.47012259403</v>
      </c>
      <c r="C566" s="0" t="n">
        <f aca="false">W_PH(C$2,$A566)</f>
        <v>1106.47018352077</v>
      </c>
      <c r="D566" s="0" t="n">
        <f aca="false">W_PH(D$2,$A566)</f>
        <v>1106.47024444752</v>
      </c>
      <c r="E566" s="0" t="n">
        <f aca="false">W_PH(E$2,$A566)</f>
        <v>1106.47030643189</v>
      </c>
      <c r="F566" s="0" t="n">
        <f aca="false">W_PH(F$2,$A566)</f>
        <v>1106.47036735864</v>
      </c>
      <c r="G566" s="0" t="n">
        <f aca="false">W_PH(G$2,$A566)</f>
        <v>1106.47097768383</v>
      </c>
      <c r="H566" s="0" t="n">
        <f aca="false">W_PH(H$2,$A566)</f>
        <v>1106.47158695154</v>
      </c>
      <c r="I566" s="0" t="n">
        <f aca="false">W_PH(I$2,$A566)</f>
        <v>1106.47219727702</v>
      </c>
      <c r="J566" s="0" t="n">
        <f aca="false">W_PH(J$2,$A566)</f>
        <v>1106.47280760265</v>
      </c>
      <c r="K566" s="0" t="n">
        <f aca="false">W_PH(K$2,$A566)</f>
        <v>1106.4734168708</v>
      </c>
      <c r="L566" s="0" t="n">
        <f aca="false">W_PH(L$2,$A566)</f>
        <v>1106.47402825436</v>
      </c>
      <c r="M566" s="0" t="n">
        <f aca="false">W_PH(M$2,$A566)</f>
        <v>1106.4746375228</v>
      </c>
      <c r="N566" s="0" t="n">
        <f aca="false">W_PH(N$2,$A566)</f>
        <v>1106.47524784903</v>
      </c>
      <c r="O566" s="0" t="n">
        <f aca="false">W_PH(O$2,$A566)</f>
        <v>1106.4758581754</v>
      </c>
      <c r="P566" s="0" t="n">
        <f aca="false">W_PH(P$2,$A566)</f>
        <v>1106.48195827458</v>
      </c>
      <c r="Q566" s="0" t="n">
        <f aca="false">W_PH(Q$2,$A566)</f>
        <v>1106.48805838917</v>
      </c>
      <c r="R566" s="0" t="n">
        <f aca="false">W_PH(R$2,$A566)</f>
        <v>1106.49415957725</v>
      </c>
      <c r="S566" s="0" t="n">
        <f aca="false">W_PH(S$2,$A566)</f>
        <v>1106.50025972395</v>
      </c>
      <c r="T566" s="0" t="n">
        <f aca="false">W_PH(T$2,$A566)</f>
        <v>1106.50635988736</v>
      </c>
      <c r="U566" s="0" t="n">
        <f aca="false">W_PH(U$2,$A566)</f>
        <v>1106.51246112553</v>
      </c>
      <c r="V566" s="0" t="n">
        <f aca="false">W_PH(V$2,$A566)</f>
        <v>1106.51856238126</v>
      </c>
      <c r="W566" s="0" t="n">
        <f aca="false">W_PH(W$2,$A566)</f>
        <v>1106.52466259731</v>
      </c>
      <c r="X566" s="0" t="n">
        <f aca="false">W_PH(X$2,$A566)</f>
        <v>1106.53076283176</v>
      </c>
      <c r="Y566" s="0" t="n">
        <f aca="false">W_PH(Y$2,$A566)</f>
        <v>1106.59177051248</v>
      </c>
      <c r="Z566" s="0" t="n">
        <f aca="false">W_PH(Z$2,$A566)</f>
        <v>1106.65278050138</v>
      </c>
      <c r="AA566" s="0" t="n">
        <f aca="false">W_PH(AA$2,$A566)</f>
        <v>1106.7137932241</v>
      </c>
      <c r="AB566" s="0" t="n">
        <f aca="false">W_PH(AB$2,$A566)</f>
        <v>1106.77480910632</v>
      </c>
      <c r="AC566" s="0" t="n">
        <f aca="false">W_PH(AC$2,$A566)</f>
        <v>1106.83582645817</v>
      </c>
      <c r="AD566" s="0" t="n">
        <f aca="false">W_PH(AD$2,$A566)</f>
        <v>1106.89684993657</v>
      </c>
      <c r="AE566" s="0" t="n">
        <f aca="false">W_PH(AE$2,$A566)</f>
        <v>1106.95787573604</v>
      </c>
      <c r="AF566" s="0" t="n">
        <f aca="false">W_PH(AF$2,$A566)</f>
        <v>1107.01890745592</v>
      </c>
      <c r="AG566" s="0" t="n">
        <f aca="false">W_PH(AG$2,$A566)</f>
        <v>1107.07994446425</v>
      </c>
      <c r="AH566" s="0" t="n">
        <f aca="false">W_PH(AH$2,$A566)</f>
        <v>1107.6906716196</v>
      </c>
      <c r="AI566" s="0" t="n">
        <f aca="false">W_PH(AI$2,$A566)</f>
        <v>1108.30234872378</v>
      </c>
      <c r="AJ566" s="0" t="n">
        <f aca="false">W_PH(AJ$2,$A566)</f>
        <v>1108.91538425498</v>
      </c>
      <c r="AK566" s="0" t="n">
        <f aca="false">W_PH(AK$2,$A566)</f>
        <v>1109.53018918677</v>
      </c>
      <c r="AL566" s="0" t="n">
        <f aca="false">W_PH(AL$2,$A566)</f>
        <v>1110.14717170498</v>
      </c>
      <c r="AM566" s="0" t="n">
        <f aca="false">W_PH(AM$2,$A566)</f>
        <v>1110.76674251515</v>
      </c>
      <c r="AN566" s="0" t="n">
        <f aca="false">W_PH(AN$2,$A566)</f>
        <v>1111.3893127419</v>
      </c>
      <c r="AO566" s="0" t="n">
        <f aca="false">W_PH(AO$2,$A566)</f>
        <v>1112.01529500797</v>
      </c>
      <c r="AP566" s="0" t="n">
        <f aca="false">W_PH(AP$2,$A566)</f>
        <v>2015</v>
      </c>
      <c r="AQ566" s="0" t="n">
        <f aca="false">W_PH(AQ$2,$A566)</f>
        <v>2015</v>
      </c>
      <c r="AR566" s="0" t="n">
        <f aca="false">W_PH(AR$2,$A566)</f>
        <v>2015</v>
      </c>
      <c r="AS566" s="0" t="n">
        <f aca="false">W_PH(AS$2,$A566)</f>
        <v>2015</v>
      </c>
    </row>
    <row r="567" customFormat="false" ht="13.8" hidden="false" customHeight="false" outlineLevel="0" collapsed="false">
      <c r="A567" s="0" t="n">
        <v>7270</v>
      </c>
      <c r="B567" s="0" t="n">
        <f aca="false">W_PH(B$2,$A567)</f>
        <v>1107.28036959167</v>
      </c>
      <c r="C567" s="0" t="n">
        <f aca="false">W_PH(C$2,$A567)</f>
        <v>1107.28043054094</v>
      </c>
      <c r="D567" s="0" t="n">
        <f aca="false">W_PH(D$2,$A567)</f>
        <v>1107.28049149021</v>
      </c>
      <c r="E567" s="0" t="n">
        <f aca="false">W_PH(E$2,$A567)</f>
        <v>1107.28055243948</v>
      </c>
      <c r="F567" s="0" t="n">
        <f aca="false">W_PH(F$2,$A567)</f>
        <v>1107.28061338876</v>
      </c>
      <c r="G567" s="0" t="n">
        <f aca="false">W_PH(G$2,$A567)</f>
        <v>1107.28122288159</v>
      </c>
      <c r="H567" s="0" t="n">
        <f aca="false">W_PH(H$2,$A567)</f>
        <v>1107.28183237456</v>
      </c>
      <c r="I567" s="0" t="n">
        <f aca="false">W_PH(I$2,$A567)</f>
        <v>1107.2824429245</v>
      </c>
      <c r="J567" s="0" t="n">
        <f aca="false">W_PH(J$2,$A567)</f>
        <v>1107.28305347458</v>
      </c>
      <c r="K567" s="0" t="n">
        <f aca="false">W_PH(K$2,$A567)</f>
        <v>1107.28366296799</v>
      </c>
      <c r="L567" s="0" t="n">
        <f aca="false">W_PH(L$2,$A567)</f>
        <v>1107.28427246155</v>
      </c>
      <c r="M567" s="0" t="n">
        <f aca="false">W_PH(M$2,$A567)</f>
        <v>1107.28488195525</v>
      </c>
      <c r="N567" s="0" t="n">
        <f aca="false">W_PH(N$2,$A567)</f>
        <v>1107.28549250593</v>
      </c>
      <c r="O567" s="0" t="n">
        <f aca="false">W_PH(O$2,$A567)</f>
        <v>1107.28610305675</v>
      </c>
      <c r="P567" s="0" t="n">
        <f aca="false">W_PH(P$2,$A567)</f>
        <v>1107.29220223228</v>
      </c>
      <c r="Q567" s="0" t="n">
        <f aca="false">W_PH(Q$2,$A567)</f>
        <v>1107.29830142311</v>
      </c>
      <c r="R567" s="0" t="n">
        <f aca="false">W_PH(R$2,$A567)</f>
        <v>1107.30440062964</v>
      </c>
      <c r="S567" s="0" t="n">
        <f aca="false">W_PH(S$2,$A567)</f>
        <v>1107.31050090915</v>
      </c>
      <c r="T567" s="0" t="n">
        <f aca="false">W_PH(T$2,$A567)</f>
        <v>1107.31660014838</v>
      </c>
      <c r="U567" s="0" t="n">
        <f aca="false">W_PH(U$2,$A567)</f>
        <v>1107.32270046144</v>
      </c>
      <c r="V567" s="0" t="n">
        <f aca="false">W_PH(V$2,$A567)</f>
        <v>1107.32879973507</v>
      </c>
      <c r="W567" s="0" t="n">
        <f aca="false">W_PH(W$2,$A567)</f>
        <v>1107.33489902653</v>
      </c>
      <c r="X567" s="0" t="n">
        <f aca="false">W_PH(X$2,$A567)</f>
        <v>1107.34099833625</v>
      </c>
      <c r="Y567" s="0" t="n">
        <f aca="false">W_PH(Y$2,$A567)</f>
        <v>1107.4019967583</v>
      </c>
      <c r="Z567" s="0" t="n">
        <f aca="false">W_PH(Z$2,$A567)</f>
        <v>1107.46299641565</v>
      </c>
      <c r="AA567" s="0" t="n">
        <f aca="false">W_PH(AA$2,$A567)</f>
        <v>1107.52399878918</v>
      </c>
      <c r="AB567" s="0" t="n">
        <f aca="false">W_PH(AB$2,$A567)</f>
        <v>1107.58500430295</v>
      </c>
      <c r="AC567" s="0" t="n">
        <f aca="false">W_PH(AC$2,$A567)</f>
        <v>1107.64601338104</v>
      </c>
      <c r="AD567" s="0" t="n">
        <f aca="false">W_PH(AD$2,$A567)</f>
        <v>1107.70702539059</v>
      </c>
      <c r="AE567" s="0" t="n">
        <f aca="false">W_PH(AE$2,$A567)</f>
        <v>1107.76804181271</v>
      </c>
      <c r="AF567" s="0" t="n">
        <f aca="false">W_PH(AF$2,$A567)</f>
        <v>1107.82906307163</v>
      </c>
      <c r="AG567" s="0" t="n">
        <f aca="false">W_PH(AG$2,$A567)</f>
        <v>1107.8900895916</v>
      </c>
      <c r="AH567" s="0" t="n">
        <f aca="false">W_PH(AH$2,$A567)</f>
        <v>1108.50071424844</v>
      </c>
      <c r="AI567" s="0" t="n">
        <f aca="false">W_PH(AI$2,$A567)</f>
        <v>1109.11228436243</v>
      </c>
      <c r="AJ567" s="0" t="n">
        <f aca="false">W_PH(AJ$2,$A567)</f>
        <v>1109.7252078574</v>
      </c>
      <c r="AK567" s="0" t="n">
        <f aca="false">W_PH(AK$2,$A567)</f>
        <v>1110.33989197801</v>
      </c>
      <c r="AL567" s="0" t="n">
        <f aca="false">W_PH(AL$2,$A567)</f>
        <v>1110.95674647449</v>
      </c>
      <c r="AM567" s="0" t="n">
        <f aca="false">W_PH(AM$2,$A567)</f>
        <v>1111.57617832503</v>
      </c>
      <c r="AN567" s="0" t="n">
        <f aca="false">W_PH(AN$2,$A567)</f>
        <v>1112.19859810203</v>
      </c>
      <c r="AO567" s="0" t="n">
        <f aca="false">W_PH(AO$2,$A567)</f>
        <v>1112.824415758</v>
      </c>
      <c r="AP567" s="0" t="n">
        <f aca="false">W_PH(AP$2,$A567)</f>
        <v>2015</v>
      </c>
      <c r="AQ567" s="0" t="n">
        <f aca="false">W_PH(AQ$2,$A567)</f>
        <v>2015</v>
      </c>
      <c r="AR567" s="0" t="n">
        <f aca="false">W_PH(AR$2,$A567)</f>
        <v>2015</v>
      </c>
      <c r="AS567" s="0" t="n">
        <f aca="false">W_PH(AS$2,$A567)</f>
        <v>2015</v>
      </c>
    </row>
    <row r="568" customFormat="false" ht="13.8" hidden="false" customHeight="false" outlineLevel="0" collapsed="false">
      <c r="A568" s="0" t="n">
        <v>7280</v>
      </c>
      <c r="B568" s="0" t="n">
        <f aca="false">W_PH(B$2,$A568)</f>
        <v>1108.08969486359</v>
      </c>
      <c r="C568" s="0" t="n">
        <f aca="false">W_PH(C$2,$A568)</f>
        <v>1108.08975583496</v>
      </c>
      <c r="D568" s="0" t="n">
        <f aca="false">W_PH(D$2,$A568)</f>
        <v>1108.08981680633</v>
      </c>
      <c r="E568" s="0" t="n">
        <f aca="false">W_PH(E$2,$A568)</f>
        <v>1108.0898777777</v>
      </c>
      <c r="F568" s="0" t="n">
        <f aca="false">W_PH(F$2,$A568)</f>
        <v>1108.08993874907</v>
      </c>
      <c r="G568" s="0" t="n">
        <f aca="false">W_PH(G$2,$A568)</f>
        <v>1108.09054846285</v>
      </c>
      <c r="H568" s="0" t="n">
        <f aca="false">W_PH(H$2,$A568)</f>
        <v>1108.09115923279</v>
      </c>
      <c r="I568" s="0" t="n">
        <f aca="false">W_PH(I$2,$A568)</f>
        <v>1108.09176894687</v>
      </c>
      <c r="J568" s="0" t="n">
        <f aca="false">W_PH(J$2,$A568)</f>
        <v>1108.09237866109</v>
      </c>
      <c r="K568" s="0" t="n">
        <f aca="false">W_PH(K$2,$A568)</f>
        <v>1108.09298837546</v>
      </c>
      <c r="L568" s="0" t="n">
        <f aca="false">W_PH(L$2,$A568)</f>
        <v>1108.09359808997</v>
      </c>
      <c r="M568" s="0" t="n">
        <f aca="false">W_PH(M$2,$A568)</f>
        <v>1108.09420780463</v>
      </c>
      <c r="N568" s="0" t="n">
        <f aca="false">W_PH(N$2,$A568)</f>
        <v>1108.09481751943</v>
      </c>
      <c r="O568" s="0" t="n">
        <f aca="false">W_PH(O$2,$A568)</f>
        <v>1108.09542723438</v>
      </c>
      <c r="P568" s="0" t="n">
        <f aca="false">W_PH(P$2,$A568)</f>
        <v>1108.10152650409</v>
      </c>
      <c r="Q568" s="0" t="n">
        <f aca="false">W_PH(Q$2,$A568)</f>
        <v>1108.10762473295</v>
      </c>
      <c r="R568" s="0" t="n">
        <f aca="false">W_PH(R$2,$A568)</f>
        <v>1108.1137229774</v>
      </c>
      <c r="S568" s="0" t="n">
        <f aca="false">W_PH(S$2,$A568)</f>
        <v>1108.11982229386</v>
      </c>
      <c r="T568" s="0" t="n">
        <f aca="false">W_PH(T$2,$A568)</f>
        <v>1108.12591951472</v>
      </c>
      <c r="U568" s="0" t="n">
        <f aca="false">W_PH(U$2,$A568)</f>
        <v>1108.13201886447</v>
      </c>
      <c r="V568" s="0" t="n">
        <f aca="false">W_PH(V$2,$A568)</f>
        <v>1108.13811823149</v>
      </c>
      <c r="W568" s="0" t="n">
        <f aca="false">W_PH(W$2,$A568)</f>
        <v>1108.14421550416</v>
      </c>
      <c r="X568" s="0" t="n">
        <f aca="false">W_PH(X$2,$A568)</f>
        <v>1108.15031490699</v>
      </c>
      <c r="Y568" s="0" t="n">
        <f aca="false">W_PH(Y$2,$A568)</f>
        <v>1108.2113015765</v>
      </c>
      <c r="Z568" s="0" t="n">
        <f aca="false">W_PH(Z$2,$A568)</f>
        <v>1108.27229263449</v>
      </c>
      <c r="AA568" s="0" t="n">
        <f aca="false">W_PH(AA$2,$A568)</f>
        <v>1108.33328427905</v>
      </c>
      <c r="AB568" s="0" t="n">
        <f aca="false">W_PH(AB$2,$A568)</f>
        <v>1108.39427904476</v>
      </c>
      <c r="AC568" s="0" t="n">
        <f aca="false">W_PH(AC$2,$A568)</f>
        <v>1108.45527735408</v>
      </c>
      <c r="AD568" s="0" t="n">
        <f aca="false">W_PH(AD$2,$A568)</f>
        <v>1108.51627962955</v>
      </c>
      <c r="AE568" s="0" t="n">
        <f aca="false">W_PH(AE$2,$A568)</f>
        <v>1108.5772862937</v>
      </c>
      <c r="AF568" s="0" t="n">
        <f aca="false">W_PH(AF$2,$A568)</f>
        <v>1108.63829776914</v>
      </c>
      <c r="AG568" s="0" t="n">
        <f aca="false">W_PH(AG$2,$A568)</f>
        <v>1108.69931236591</v>
      </c>
      <c r="AH568" s="0" t="n">
        <f aca="false">W_PH(AH$2,$A568)</f>
        <v>1109.30983285973</v>
      </c>
      <c r="AI568" s="0" t="n">
        <f aca="false">W_PH(AI$2,$A568)</f>
        <v>1109.92129435289</v>
      </c>
      <c r="AJ568" s="0" t="n">
        <f aca="false">W_PH(AJ$2,$A568)</f>
        <v>1110.53410316528</v>
      </c>
      <c r="AK568" s="0" t="n">
        <f aca="false">W_PH(AK$2,$A568)</f>
        <v>1111.14866599646</v>
      </c>
      <c r="AL568" s="0" t="n">
        <f aca="false">W_PH(AL$2,$A568)</f>
        <v>1111.7653899362</v>
      </c>
      <c r="AM568" s="0" t="n">
        <f aca="false">W_PH(AM$2,$A568)</f>
        <v>1112.38468141991</v>
      </c>
      <c r="AN568" s="0" t="n">
        <f aca="false">W_PH(AN$2,$A568)</f>
        <v>1113.00694941781</v>
      </c>
      <c r="AO568" s="0" t="n">
        <f aca="false">W_PH(AO$2,$A568)</f>
        <v>1113.63260122284</v>
      </c>
      <c r="AP568" s="0" t="n">
        <f aca="false">W_PH(AP$2,$A568)</f>
        <v>2015</v>
      </c>
      <c r="AQ568" s="0" t="n">
        <f aca="false">W_PH(AQ$2,$A568)</f>
        <v>2015</v>
      </c>
      <c r="AR568" s="0" t="n">
        <f aca="false">W_PH(AR$2,$A568)</f>
        <v>2015</v>
      </c>
      <c r="AS568" s="0" t="n">
        <f aca="false">W_PH(AS$2,$A568)</f>
        <v>2015</v>
      </c>
    </row>
    <row r="569" customFormat="false" ht="13.8" hidden="false" customHeight="false" outlineLevel="0" collapsed="false">
      <c r="A569" s="0" t="n">
        <v>7290</v>
      </c>
      <c r="B569" s="0" t="n">
        <f aca="false">W_PH(B$2,$A569)</f>
        <v>1108.89810284846</v>
      </c>
      <c r="C569" s="0" t="n">
        <f aca="false">W_PH(C$2,$A569)</f>
        <v>1108.8981638415</v>
      </c>
      <c r="D569" s="0" t="n">
        <f aca="false">W_PH(D$2,$A569)</f>
        <v>1108.89822483453</v>
      </c>
      <c r="E569" s="0" t="n">
        <f aca="false">W_PH(E$2,$A569)</f>
        <v>1108.89828582757</v>
      </c>
      <c r="F569" s="0" t="n">
        <f aca="false">W_PH(F$2,$A569)</f>
        <v>1108.89834682061</v>
      </c>
      <c r="G569" s="0" t="n">
        <f aca="false">W_PH(G$2,$A569)</f>
        <v>1108.89895675109</v>
      </c>
      <c r="H569" s="0" t="n">
        <f aca="false">W_PH(H$2,$A569)</f>
        <v>1108.89956668171</v>
      </c>
      <c r="I569" s="0" t="n">
        <f aca="false">W_PH(I$2,$A569)</f>
        <v>1108.90017661248</v>
      </c>
      <c r="J569" s="0" t="n">
        <f aca="false">W_PH(J$2,$A569)</f>
        <v>1108.90078654338</v>
      </c>
      <c r="K569" s="0" t="n">
        <f aca="false">W_PH(K$2,$A569)</f>
        <v>1108.90139647444</v>
      </c>
      <c r="L569" s="0" t="n">
        <f aca="false">W_PH(L$2,$A569)</f>
        <v>1108.90200640563</v>
      </c>
      <c r="M569" s="0" t="n">
        <f aca="false">W_PH(M$2,$A569)</f>
        <v>1108.90261528178</v>
      </c>
      <c r="N569" s="0" t="n">
        <f aca="false">W_PH(N$2,$A569)</f>
        <v>1108.90322521327</v>
      </c>
      <c r="O569" s="0" t="n">
        <f aca="false">W_PH(O$2,$A569)</f>
        <v>1108.9038340897</v>
      </c>
      <c r="P569" s="0" t="n">
        <f aca="false">W_PH(P$2,$A569)</f>
        <v>1108.90993235894</v>
      </c>
      <c r="Q569" s="0" t="n">
        <f aca="false">W_PH(Q$2,$A569)</f>
        <v>1108.91603064322</v>
      </c>
      <c r="R569" s="0" t="n">
        <f aca="false">W_PH(R$2,$A569)</f>
        <v>1108.92212788775</v>
      </c>
      <c r="S569" s="0" t="n">
        <f aca="false">W_PH(S$2,$A569)</f>
        <v>1108.92822514815</v>
      </c>
      <c r="T569" s="0" t="n">
        <f aca="false">W_PH(T$2,$A569)</f>
        <v>1108.93432242485</v>
      </c>
      <c r="U569" s="0" t="n">
        <f aca="false">W_PH(U$2,$A569)</f>
        <v>1108.94041971826</v>
      </c>
      <c r="V569" s="0" t="n">
        <f aca="false">W_PH(V$2,$A569)</f>
        <v>1108.94651702881</v>
      </c>
      <c r="W569" s="0" t="n">
        <f aca="false">W_PH(W$2,$A569)</f>
        <v>1108.95261541213</v>
      </c>
      <c r="X569" s="0" t="n">
        <f aca="false">W_PH(X$2,$A569)</f>
        <v>1108.95871275822</v>
      </c>
      <c r="Y569" s="0" t="n">
        <f aca="false">W_PH(Y$2,$A569)</f>
        <v>1109.01969046613</v>
      </c>
      <c r="Z569" s="0" t="n">
        <f aca="false">W_PH(Z$2,$A569)</f>
        <v>1109.08066937948</v>
      </c>
      <c r="AA569" s="0" t="n">
        <f aca="false">W_PH(AA$2,$A569)</f>
        <v>1109.14165097428</v>
      </c>
      <c r="AB569" s="0" t="n">
        <f aca="false">W_PH(AB$2,$A569)</f>
        <v>1109.20263567136</v>
      </c>
      <c r="AC569" s="0" t="n">
        <f aca="false">W_PH(AC$2,$A569)</f>
        <v>1109.2636238916</v>
      </c>
      <c r="AD569" s="0" t="n">
        <f aca="false">W_PH(AD$2,$A569)</f>
        <v>1109.3246160559</v>
      </c>
      <c r="AE569" s="0" t="n">
        <f aca="false">W_PH(AE$2,$A569)</f>
        <v>1109.38561152978</v>
      </c>
      <c r="AF569" s="0" t="n">
        <f aca="false">W_PH(AF$2,$A569)</f>
        <v>1109.4466117896</v>
      </c>
      <c r="AG569" s="0" t="n">
        <f aca="false">W_PH(AG$2,$A569)</f>
        <v>1109.50761725636</v>
      </c>
      <c r="AH569" s="0" t="n">
        <f aca="false">W_PH(AH$2,$A569)</f>
        <v>1110.1180308996</v>
      </c>
      <c r="AI569" s="0" t="n">
        <f aca="false">W_PH(AI$2,$A569)</f>
        <v>1110.72938111732</v>
      </c>
      <c r="AJ569" s="0" t="n">
        <f aca="false">W_PH(AJ$2,$A569)</f>
        <v>1111.34207369092</v>
      </c>
      <c r="AK569" s="0" t="n">
        <f aca="false">W_PH(AK$2,$A569)</f>
        <v>1111.95651266998</v>
      </c>
      <c r="AL569" s="0" t="n">
        <f aca="false">W_PH(AL$2,$A569)</f>
        <v>1112.57310460738</v>
      </c>
      <c r="AM569" s="0" t="n">
        <f aca="false">W_PH(AM$2,$A569)</f>
        <v>1113.19225434681</v>
      </c>
      <c r="AN569" s="0" t="n">
        <f aca="false">W_PH(AN$2,$A569)</f>
        <v>1113.81436715084</v>
      </c>
      <c r="AO569" s="0" t="n">
        <f aca="false">W_PH(AO$2,$A569)</f>
        <v>1114.43985189202</v>
      </c>
      <c r="AP569" s="0" t="n">
        <f aca="false">W_PH(AP$2,$A569)</f>
        <v>2015</v>
      </c>
      <c r="AQ569" s="0" t="n">
        <f aca="false">W_PH(AQ$2,$A569)</f>
        <v>2015</v>
      </c>
      <c r="AR569" s="0" t="n">
        <f aca="false">W_PH(AR$2,$A569)</f>
        <v>2015</v>
      </c>
      <c r="AS569" s="0" t="n">
        <f aca="false">W_PH(AS$2,$A569)</f>
        <v>2015</v>
      </c>
    </row>
    <row r="570" customFormat="false" ht="13.8" hidden="false" customHeight="false" outlineLevel="0" collapsed="false">
      <c r="A570" s="0" t="n">
        <v>7300</v>
      </c>
      <c r="B570" s="0" t="n">
        <f aca="false">W_PH(B$2,$A570)</f>
        <v>1109.70559585766</v>
      </c>
      <c r="C570" s="0" t="n">
        <f aca="false">W_PH(C$2,$A570)</f>
        <v>1109.70565687194</v>
      </c>
      <c r="D570" s="0" t="n">
        <f aca="false">W_PH(D$2,$A570)</f>
        <v>1109.70571788622</v>
      </c>
      <c r="E570" s="0" t="n">
        <f aca="false">W_PH(E$2,$A570)</f>
        <v>1109.70577890051</v>
      </c>
      <c r="F570" s="0" t="n">
        <f aca="false">W_PH(F$2,$A570)</f>
        <v>1109.70583991479</v>
      </c>
      <c r="G570" s="0" t="n">
        <f aca="false">W_PH(G$2,$A570)</f>
        <v>1109.70645005773</v>
      </c>
      <c r="H570" s="0" t="n">
        <f aca="false">W_PH(H$2,$A570)</f>
        <v>1109.70705914642</v>
      </c>
      <c r="I570" s="0" t="n">
        <f aca="false">W_PH(I$2,$A570)</f>
        <v>1109.70766823526</v>
      </c>
      <c r="J570" s="0" t="n">
        <f aca="false">W_PH(J$2,$A570)</f>
        <v>1109.70827837862</v>
      </c>
      <c r="K570" s="0" t="n">
        <f aca="false">W_PH(K$2,$A570)</f>
        <v>1109.70888852213</v>
      </c>
      <c r="L570" s="0" t="n">
        <f aca="false">W_PH(L$2,$A570)</f>
        <v>1109.7094976114</v>
      </c>
      <c r="M570" s="0" t="n">
        <f aca="false">W_PH(M$2,$A570)</f>
        <v>1109.7101067008</v>
      </c>
      <c r="N570" s="0" t="n">
        <f aca="false">W_PH(N$2,$A570)</f>
        <v>1109.71071684474</v>
      </c>
      <c r="O570" s="0" t="n">
        <f aca="false">W_PH(O$2,$A570)</f>
        <v>1109.71132698882</v>
      </c>
      <c r="P570" s="0" t="n">
        <f aca="false">W_PH(P$2,$A570)</f>
        <v>1109.71742211136</v>
      </c>
      <c r="Q570" s="0" t="n">
        <f aca="false">W_PH(Q$2,$A570)</f>
        <v>1109.72351935759</v>
      </c>
      <c r="R570" s="0" t="n">
        <f aca="false">W_PH(R$2,$A570)</f>
        <v>1109.72961661914</v>
      </c>
      <c r="S570" s="0" t="n">
        <f aca="false">W_PH(S$2,$A570)</f>
        <v>1109.73571178765</v>
      </c>
      <c r="T570" s="0" t="n">
        <f aca="false">W_PH(T$2,$A570)</f>
        <v>1109.74180908112</v>
      </c>
      <c r="U570" s="0" t="n">
        <f aca="false">W_PH(U$2,$A570)</f>
        <v>1109.74790533678</v>
      </c>
      <c r="V570" s="0" t="n">
        <f aca="false">W_PH(V$2,$A570)</f>
        <v>1109.75400160943</v>
      </c>
      <c r="W570" s="0" t="n">
        <f aca="false">W_PH(W$2,$A570)</f>
        <v>1109.76009895392</v>
      </c>
      <c r="X570" s="0" t="n">
        <f aca="false">W_PH(X$2,$A570)</f>
        <v>1109.76619420743</v>
      </c>
      <c r="Y570" s="0" t="n">
        <f aca="false">W_PH(Y$2,$A570)</f>
        <v>1109.82716152332</v>
      </c>
      <c r="Z570" s="0" t="n">
        <f aca="false">W_PH(Z$2,$A570)</f>
        <v>1109.88813002999</v>
      </c>
      <c r="AA570" s="0" t="n">
        <f aca="false">W_PH(AA$2,$A570)</f>
        <v>1109.94910120102</v>
      </c>
      <c r="AB570" s="0" t="n">
        <f aca="false">W_PH(AB$2,$A570)</f>
        <v>1110.01007545566</v>
      </c>
      <c r="AC570" s="0" t="n">
        <f aca="false">W_PH(AC$2,$A570)</f>
        <v>1110.07105215861</v>
      </c>
      <c r="AD570" s="0" t="n">
        <f aca="false">W_PH(AD$2,$A570)</f>
        <v>1110.13203383826</v>
      </c>
      <c r="AE570" s="0" t="n">
        <f aca="false">W_PH(AE$2,$A570)</f>
        <v>1110.19301985943</v>
      </c>
      <c r="AF570" s="0" t="n">
        <f aca="false">W_PH(AF$2,$A570)</f>
        <v>1110.25400853224</v>
      </c>
      <c r="AG570" s="0" t="n">
        <f aca="false">W_PH(AG$2,$A570)</f>
        <v>1110.31500343992</v>
      </c>
      <c r="AH570" s="0" t="n">
        <f aca="false">W_PH(AH$2,$A570)</f>
        <v>1110.92530757838</v>
      </c>
      <c r="AI570" s="0" t="n">
        <f aca="false">W_PH(AI$2,$A570)</f>
        <v>1111.53654600955</v>
      </c>
      <c r="AJ570" s="0" t="n">
        <f aca="false">W_PH(AJ$2,$A570)</f>
        <v>1112.14912081891</v>
      </c>
      <c r="AK570" s="0" t="n">
        <f aca="false">W_PH(AK$2,$A570)</f>
        <v>1112.76343341598</v>
      </c>
      <c r="AL570" s="0" t="n">
        <f aca="false">W_PH(AL$2,$A570)</f>
        <v>1113.37989193522</v>
      </c>
      <c r="AM570" s="0" t="n">
        <f aca="false">W_PH(AM$2,$A570)</f>
        <v>1113.99889752591</v>
      </c>
      <c r="AN570" s="0" t="n">
        <f aca="false">W_PH(AN$2,$A570)</f>
        <v>1114.62085598018</v>
      </c>
      <c r="AO570" s="0" t="n">
        <f aca="false">W_PH(AO$2,$A570)</f>
        <v>1115.24617141642</v>
      </c>
      <c r="AP570" s="0" t="n">
        <f aca="false">W_PH(AP$2,$A570)</f>
        <v>2015</v>
      </c>
      <c r="AQ570" s="0" t="n">
        <f aca="false">W_PH(AQ$2,$A570)</f>
        <v>2015</v>
      </c>
      <c r="AR570" s="0" t="n">
        <f aca="false">W_PH(AR$2,$A570)</f>
        <v>2015</v>
      </c>
      <c r="AS570" s="0" t="n">
        <f aca="false">W_PH(AS$2,$A570)</f>
        <v>2015</v>
      </c>
    </row>
    <row r="571" customFormat="false" ht="13.8" hidden="false" customHeight="false" outlineLevel="0" collapsed="false">
      <c r="A571" s="0" t="n">
        <v>7310</v>
      </c>
      <c r="B571" s="0" t="n">
        <f aca="false">W_PH(B$2,$A571)</f>
        <v>1110.51217408348</v>
      </c>
      <c r="C571" s="0" t="n">
        <f aca="false">W_PH(C$2,$A571)</f>
        <v>1110.51223511859</v>
      </c>
      <c r="D571" s="0" t="n">
        <f aca="false">W_PH(D$2,$A571)</f>
        <v>1110.5122961537</v>
      </c>
      <c r="E571" s="0" t="n">
        <f aca="false">W_PH(E$2,$A571)</f>
        <v>1110.51235718881</v>
      </c>
      <c r="F571" s="0" t="n">
        <f aca="false">W_PH(F$2,$A571)</f>
        <v>1110.51241822393</v>
      </c>
      <c r="G571" s="0" t="n">
        <f aca="false">W_PH(G$2,$A571)</f>
        <v>1110.51302857513</v>
      </c>
      <c r="H571" s="0" t="n">
        <f aca="false">W_PH(H$2,$A571)</f>
        <v>1110.51363681932</v>
      </c>
      <c r="I571" s="0" t="n">
        <f aca="false">W_PH(I$2,$A571)</f>
        <v>1110.5142471708</v>
      </c>
      <c r="J571" s="0" t="n">
        <f aca="false">W_PH(J$2,$A571)</f>
        <v>1110.51485646885</v>
      </c>
      <c r="K571" s="0" t="n">
        <f aca="false">W_PH(K$2,$A571)</f>
        <v>1110.51546576704</v>
      </c>
      <c r="L571" s="0" t="n">
        <f aca="false">W_PH(L$2,$A571)</f>
        <v>1110.51607611895</v>
      </c>
      <c r="M571" s="0" t="n">
        <f aca="false">W_PH(M$2,$A571)</f>
        <v>1110.51668541742</v>
      </c>
      <c r="N571" s="0" t="n">
        <f aca="false">W_PH(N$2,$A571)</f>
        <v>1110.51729471604</v>
      </c>
      <c r="O571" s="0" t="n">
        <f aca="false">W_PH(O$2,$A571)</f>
        <v>1110.51790506838</v>
      </c>
      <c r="P571" s="0" t="n">
        <f aca="false">W_PH(P$2,$A571)</f>
        <v>1110.5240001711</v>
      </c>
      <c r="Q571" s="0" t="n">
        <f aca="false">W_PH(Q$2,$A571)</f>
        <v>1110.53009528861</v>
      </c>
      <c r="R571" s="0" t="n">
        <f aca="false">W_PH(R$2,$A571)</f>
        <v>1110.53619042132</v>
      </c>
      <c r="S571" s="0" t="n">
        <f aca="false">W_PH(S$2,$A571)</f>
        <v>1110.54228556965</v>
      </c>
      <c r="T571" s="0" t="n">
        <f aca="false">W_PH(T$2,$A571)</f>
        <v>1110.54838073401</v>
      </c>
      <c r="U571" s="0" t="n">
        <f aca="false">W_PH(U$2,$A571)</f>
        <v>1110.55447591482</v>
      </c>
      <c r="V571" s="0" t="n">
        <f aca="false">W_PH(V$2,$A571)</f>
        <v>1110.56057216609</v>
      </c>
      <c r="W571" s="0" t="n">
        <f aca="false">W_PH(W$2,$A571)</f>
        <v>1110.56666738106</v>
      </c>
      <c r="X571" s="0" t="n">
        <f aca="false">W_PH(X$2,$A571)</f>
        <v>1110.57276366734</v>
      </c>
      <c r="Y571" s="0" t="n">
        <f aca="false">W_PH(Y$2,$A571)</f>
        <v>1110.63371916695</v>
      </c>
      <c r="Z571" s="0" t="n">
        <f aca="false">W_PH(Z$2,$A571)</f>
        <v>1110.69467689642</v>
      </c>
      <c r="AA571" s="0" t="n">
        <f aca="false">W_PH(AA$2,$A571)</f>
        <v>1110.75563727334</v>
      </c>
      <c r="AB571" s="0" t="n">
        <f aca="false">W_PH(AB$2,$A571)</f>
        <v>1110.81660071535</v>
      </c>
      <c r="AC571" s="0" t="n">
        <f aca="false">W_PH(AC$2,$A571)</f>
        <v>1110.87756764013</v>
      </c>
      <c r="AD571" s="0" t="n">
        <f aca="false">W_PH(AD$2,$A571)</f>
        <v>1110.93853741163</v>
      </c>
      <c r="AE571" s="0" t="n">
        <f aca="false">W_PH(AE$2,$A571)</f>
        <v>1110.9995115013</v>
      </c>
      <c r="AF571" s="0" t="n">
        <f aca="false">W_PH(AF$2,$A571)</f>
        <v>1111.06049032696</v>
      </c>
      <c r="AG571" s="0" t="n">
        <f aca="false">W_PH(AG$2,$A571)</f>
        <v>1111.12147430641</v>
      </c>
      <c r="AH571" s="0" t="n">
        <f aca="false">W_PH(AH$2,$A571)</f>
        <v>1111.73166842829</v>
      </c>
      <c r="AI571" s="0" t="n">
        <f aca="false">W_PH(AI$2,$A571)</f>
        <v>1112.34279142809</v>
      </c>
      <c r="AJ571" s="0" t="n">
        <f aca="false">W_PH(AJ$2,$A571)</f>
        <v>1112.95524486919</v>
      </c>
      <c r="AK571" s="0" t="n">
        <f aca="false">W_PH(AK$2,$A571)</f>
        <v>1113.56943280609</v>
      </c>
      <c r="AL571" s="0" t="n">
        <f aca="false">W_PH(AL$2,$A571)</f>
        <v>1114.18575546639</v>
      </c>
      <c r="AM571" s="0" t="n">
        <f aca="false">W_PH(AM$2,$A571)</f>
        <v>1114.80461453575</v>
      </c>
      <c r="AN571" s="0" t="n">
        <f aca="false">W_PH(AN$2,$A571)</f>
        <v>1115.42641528582</v>
      </c>
      <c r="AO571" s="0" t="n">
        <f aca="false">W_PH(AO$2,$A571)</f>
        <v>1116.05156131709</v>
      </c>
      <c r="AP571" s="0" t="n">
        <f aca="false">W_PH(AP$2,$A571)</f>
        <v>2015</v>
      </c>
      <c r="AQ571" s="0" t="n">
        <f aca="false">W_PH(AQ$2,$A571)</f>
        <v>2015</v>
      </c>
      <c r="AR571" s="0" t="n">
        <f aca="false">W_PH(AR$2,$A571)</f>
        <v>2015</v>
      </c>
      <c r="AS571" s="0" t="n">
        <f aca="false">W_PH(AS$2,$A571)</f>
        <v>2015</v>
      </c>
    </row>
    <row r="572" customFormat="false" ht="13.8" hidden="false" customHeight="false" outlineLevel="0" collapsed="false">
      <c r="A572" s="0" t="n">
        <v>7320</v>
      </c>
      <c r="B572" s="0" t="n">
        <f aca="false">W_PH(B$2,$A572)</f>
        <v>1111.31784192391</v>
      </c>
      <c r="C572" s="0" t="n">
        <f aca="false">W_PH(C$2,$A572)</f>
        <v>1111.31790192666</v>
      </c>
      <c r="D572" s="0" t="n">
        <f aca="false">W_PH(D$2,$A572)</f>
        <v>1111.31796298219</v>
      </c>
      <c r="E572" s="0" t="n">
        <f aca="false">W_PH(E$2,$A572)</f>
        <v>1111.31802403771</v>
      </c>
      <c r="F572" s="0" t="n">
        <f aca="false">W_PH(F$2,$A572)</f>
        <v>1111.31808509323</v>
      </c>
      <c r="G572" s="0" t="n">
        <f aca="false">W_PH(G$2,$A572)</f>
        <v>1111.31869564854</v>
      </c>
      <c r="H572" s="0" t="n">
        <f aca="false">W_PH(H$2,$A572)</f>
        <v>1111.31930409845</v>
      </c>
      <c r="I572" s="0" t="n">
        <f aca="false">W_PH(I$2,$A572)</f>
        <v>1111.31991360127</v>
      </c>
      <c r="J572" s="0" t="n">
        <f aca="false">W_PH(J$2,$A572)</f>
        <v>1111.32052310423</v>
      </c>
      <c r="K572" s="0" t="n">
        <f aca="false">W_PH(K$2,$A572)</f>
        <v>1111.32113260733</v>
      </c>
      <c r="L572" s="0" t="n">
        <f aca="false">W_PH(L$2,$A572)</f>
        <v>1111.32174211057</v>
      </c>
      <c r="M572" s="0" t="n">
        <f aca="false">W_PH(M$2,$A572)</f>
        <v>1111.32235161396</v>
      </c>
      <c r="N572" s="0" t="n">
        <f aca="false">W_PH(N$2,$A572)</f>
        <v>1111.32296111748</v>
      </c>
      <c r="O572" s="0" t="n">
        <f aca="false">W_PH(O$2,$A572)</f>
        <v>1111.32356956838</v>
      </c>
      <c r="P572" s="0" t="n">
        <f aca="false">W_PH(P$2,$A572)</f>
        <v>1111.32966461295</v>
      </c>
      <c r="Q572" s="0" t="n">
        <f aca="false">W_PH(Q$2,$A572)</f>
        <v>1111.3357586194</v>
      </c>
      <c r="R572" s="0" t="n">
        <f aca="false">W_PH(R$2,$A572)</f>
        <v>1111.34185264093</v>
      </c>
      <c r="S572" s="0" t="n">
        <f aca="false">W_PH(S$2,$A572)</f>
        <v>1111.34794773073</v>
      </c>
      <c r="T572" s="0" t="n">
        <f aca="false">W_PH(T$2,$A572)</f>
        <v>1111.35404178366</v>
      </c>
      <c r="U572" s="0" t="n">
        <f aca="false">W_PH(U$2,$A572)</f>
        <v>1111.36013585291</v>
      </c>
      <c r="V572" s="0" t="n">
        <f aca="false">W_PH(V$2,$A572)</f>
        <v>1111.36623099169</v>
      </c>
      <c r="W572" s="0" t="n">
        <f aca="false">W_PH(W$2,$A572)</f>
        <v>1111.37232509483</v>
      </c>
      <c r="X572" s="0" t="n">
        <f aca="false">W_PH(X$2,$A572)</f>
        <v>1111.37841921555</v>
      </c>
      <c r="Y572" s="0" t="n">
        <f aca="false">W_PH(Y$2,$A572)</f>
        <v>1111.4393635862</v>
      </c>
      <c r="Z572" s="0" t="n">
        <f aca="false">W_PH(Z$2,$A572)</f>
        <v>1111.50031122438</v>
      </c>
      <c r="AA572" s="0" t="n">
        <f aca="false">W_PH(AA$2,$A572)</f>
        <v>1111.56126044044</v>
      </c>
      <c r="AB572" s="0" t="n">
        <f aca="false">W_PH(AB$2,$A572)</f>
        <v>1111.62221270324</v>
      </c>
      <c r="AC572" s="0" t="n">
        <f aca="false">W_PH(AC$2,$A572)</f>
        <v>1111.6831684289</v>
      </c>
      <c r="AD572" s="0" t="n">
        <f aca="false">W_PH(AD$2,$A572)</f>
        <v>1111.74412698058</v>
      </c>
      <c r="AE572" s="0" t="n">
        <f aca="false">W_PH(AE$2,$A572)</f>
        <v>1111.80509088034</v>
      </c>
      <c r="AF572" s="0" t="n">
        <f aca="false">W_PH(AF$2,$A572)</f>
        <v>1111.86605843845</v>
      </c>
      <c r="AG572" s="0" t="n">
        <f aca="false">W_PH(AG$2,$A572)</f>
        <v>1111.92703112412</v>
      </c>
      <c r="AH572" s="0" t="n">
        <f aca="false">W_PH(AH$2,$A572)</f>
        <v>1112.53711263936</v>
      </c>
      <c r="AI572" s="0" t="n">
        <f aca="false">W_PH(AI$2,$A572)</f>
        <v>1113.14811870496</v>
      </c>
      <c r="AJ572" s="0" t="n">
        <f aca="false">W_PH(AJ$2,$A572)</f>
        <v>1113.76045142405</v>
      </c>
      <c r="AK572" s="0" t="n">
        <f aca="false">W_PH(AK$2,$A572)</f>
        <v>1114.37450906747</v>
      </c>
      <c r="AL572" s="0" t="n">
        <f aca="false">W_PH(AL$2,$A572)</f>
        <v>1114.99069451326</v>
      </c>
      <c r="AM572" s="0" t="n">
        <f aca="false">W_PH(AM$2,$A572)</f>
        <v>1115.60940682824</v>
      </c>
      <c r="AN572" s="0" t="n">
        <f aca="false">W_PH(AN$2,$A572)</f>
        <v>1116.23104971666</v>
      </c>
      <c r="AO572" s="0" t="n">
        <f aca="false">W_PH(AO$2,$A572)</f>
        <v>1116.85602310356</v>
      </c>
      <c r="AP572" s="0" t="n">
        <f aca="false">W_PH(AP$2,$A572)</f>
        <v>2015</v>
      </c>
      <c r="AQ572" s="0" t="n">
        <f aca="false">W_PH(AQ$2,$A572)</f>
        <v>2015</v>
      </c>
      <c r="AR572" s="0" t="n">
        <f aca="false">W_PH(AR$2,$A572)</f>
        <v>2015</v>
      </c>
      <c r="AS572" s="0" t="n">
        <f aca="false">W_PH(AS$2,$A572)</f>
        <v>2015</v>
      </c>
    </row>
    <row r="573" customFormat="false" ht="13.8" hidden="false" customHeight="false" outlineLevel="0" collapsed="false">
      <c r="A573" s="0" t="n">
        <v>7330</v>
      </c>
      <c r="B573" s="0" t="n">
        <f aca="false">W_PH(B$2,$A573)</f>
        <v>1112.12259955083</v>
      </c>
      <c r="C573" s="0" t="n">
        <f aca="false">W_PH(C$2,$A573)</f>
        <v>1112.12265957439</v>
      </c>
      <c r="D573" s="0" t="n">
        <f aca="false">W_PH(D$2,$A573)</f>
        <v>1112.12272064991</v>
      </c>
      <c r="E573" s="0" t="n">
        <f aca="false">W_PH(E$2,$A573)</f>
        <v>1112.12278172543</v>
      </c>
      <c r="F573" s="0" t="n">
        <f aca="false">W_PH(F$2,$A573)</f>
        <v>1112.12284280095</v>
      </c>
      <c r="G573" s="0" t="n">
        <f aca="false">W_PH(G$2,$A573)</f>
        <v>1112.12345250429</v>
      </c>
      <c r="H573" s="0" t="n">
        <f aca="false">W_PH(H$2,$A573)</f>
        <v>1112.1240611558</v>
      </c>
      <c r="I573" s="0" t="n">
        <f aca="false">W_PH(I$2,$A573)</f>
        <v>1112.12466980745</v>
      </c>
      <c r="J573" s="0" t="n">
        <f aca="false">W_PH(J$2,$A573)</f>
        <v>1112.12528056316</v>
      </c>
      <c r="K573" s="0" t="n">
        <f aca="false">W_PH(K$2,$A573)</f>
        <v>1112.12588921509</v>
      </c>
      <c r="L573" s="0" t="n">
        <f aca="false">W_PH(L$2,$A573)</f>
        <v>1112.12649786716</v>
      </c>
      <c r="M573" s="0" t="n">
        <f aca="false">W_PH(M$2,$A573)</f>
        <v>1112.12710757133</v>
      </c>
      <c r="N573" s="0" t="n">
        <f aca="false">W_PH(N$2,$A573)</f>
        <v>1112.12771727564</v>
      </c>
      <c r="O573" s="0" t="n">
        <f aca="false">W_PH(O$2,$A573)</f>
        <v>1112.12832592813</v>
      </c>
      <c r="P573" s="0" t="n">
        <f aca="false">W_PH(P$2,$A573)</f>
        <v>1112.13441877263</v>
      </c>
      <c r="Q573" s="0" t="n">
        <f aca="false">W_PH(Q$2,$A573)</f>
        <v>1112.14051268363</v>
      </c>
      <c r="R573" s="0" t="n">
        <f aca="false">W_PH(R$2,$A573)</f>
        <v>1112.14660660958</v>
      </c>
      <c r="S573" s="0" t="n">
        <f aca="false">W_PH(S$2,$A573)</f>
        <v>1112.15269949894</v>
      </c>
      <c r="T573" s="0" t="n">
        <f aca="false">W_PH(T$2,$A573)</f>
        <v>1112.15879240407</v>
      </c>
      <c r="U573" s="0" t="n">
        <f aca="false">W_PH(U$2,$A573)</f>
        <v>1112.1648853254</v>
      </c>
      <c r="V573" s="0" t="n">
        <f aca="false">W_PH(V$2,$A573)</f>
        <v>1112.17097826334</v>
      </c>
      <c r="W573" s="0" t="n">
        <f aca="false">W_PH(W$2,$A573)</f>
        <v>1112.17707227028</v>
      </c>
      <c r="X573" s="0" t="n">
        <f aca="false">W_PH(X$2,$A573)</f>
        <v>1112.18316524268</v>
      </c>
      <c r="Y573" s="0" t="n">
        <f aca="false">W_PH(Y$2,$A573)</f>
        <v>1112.24409917291</v>
      </c>
      <c r="Z573" s="0" t="n">
        <f aca="false">W_PH(Z$2,$A573)</f>
        <v>1112.30503425081</v>
      </c>
      <c r="AA573" s="0" t="n">
        <f aca="false">W_PH(AA$2,$A573)</f>
        <v>1112.36597299487</v>
      </c>
      <c r="AB573" s="0" t="n">
        <f aca="false">W_PH(AB$2,$A573)</f>
        <v>1112.42691476757</v>
      </c>
      <c r="AC573" s="0" t="n">
        <f aca="false">W_PH(AC$2,$A573)</f>
        <v>1112.48785893132</v>
      </c>
      <c r="AD573" s="0" t="n">
        <f aca="false">W_PH(AD$2,$A573)</f>
        <v>1112.54880695272</v>
      </c>
      <c r="AE573" s="0" t="n">
        <f aca="false">W_PH(AE$2,$A573)</f>
        <v>1112.6097592464</v>
      </c>
      <c r="AF573" s="0" t="n">
        <f aca="false">W_PH(AF$2,$A573)</f>
        <v>1112.67071517477</v>
      </c>
      <c r="AG573" s="0" t="n">
        <f aca="false">W_PH(AG$2,$A573)</f>
        <v>1112.73167620467</v>
      </c>
      <c r="AH573" s="0" t="n">
        <f aca="false">W_PH(AH$2,$A573)</f>
        <v>1113.34164360888</v>
      </c>
      <c r="AI573" s="0" t="n">
        <f aca="false">W_PH(AI$2,$A573)</f>
        <v>1113.9525312681</v>
      </c>
      <c r="AJ573" s="0" t="n">
        <f aca="false">W_PH(AJ$2,$A573)</f>
        <v>1114.56473972483</v>
      </c>
      <c r="AK573" s="0" t="n">
        <f aca="false">W_PH(AK$2,$A573)</f>
        <v>1115.1786677995</v>
      </c>
      <c r="AL573" s="0" t="n">
        <f aca="false">W_PH(AL$2,$A573)</f>
        <v>1115.79471365149</v>
      </c>
      <c r="AM573" s="0" t="n">
        <f aca="false">W_PH(AM$2,$A573)</f>
        <v>1116.41327795177</v>
      </c>
      <c r="AN573" s="0" t="n">
        <f aca="false">W_PH(AN$2,$A573)</f>
        <v>1117.03475968507</v>
      </c>
      <c r="AO573" s="0" t="n">
        <f aca="false">W_PH(AO$2,$A573)</f>
        <v>1117.65955932799</v>
      </c>
      <c r="AP573" s="0" t="n">
        <f aca="false">W_PH(AP$2,$A573)</f>
        <v>2015</v>
      </c>
      <c r="AQ573" s="0" t="n">
        <f aca="false">W_PH(AQ$2,$A573)</f>
        <v>2015</v>
      </c>
      <c r="AR573" s="0" t="n">
        <f aca="false">W_PH(AR$2,$A573)</f>
        <v>2015</v>
      </c>
      <c r="AS573" s="0" t="n">
        <f aca="false">W_PH(AS$2,$A573)</f>
        <v>2015</v>
      </c>
    </row>
    <row r="574" customFormat="false" ht="13.8" hidden="false" customHeight="false" outlineLevel="0" collapsed="false">
      <c r="A574" s="0" t="n">
        <v>7340</v>
      </c>
      <c r="B574" s="0" t="n">
        <f aca="false">W_PH(B$2,$A574)</f>
        <v>1112.92644818204</v>
      </c>
      <c r="C574" s="0" t="n">
        <f aca="false">W_PH(C$2,$A574)</f>
        <v>1112.926508226</v>
      </c>
      <c r="D574" s="0" t="n">
        <f aca="false">W_PH(D$2,$A574)</f>
        <v>1112.9265693211</v>
      </c>
      <c r="E574" s="0" t="n">
        <f aca="false">W_PH(E$2,$A574)</f>
        <v>1112.92663041622</v>
      </c>
      <c r="F574" s="0" t="n">
        <f aca="false">W_PH(F$2,$A574)</f>
        <v>1112.92669151133</v>
      </c>
      <c r="G574" s="0" t="n">
        <f aca="false">W_PH(G$2,$A574)</f>
        <v>1112.92730036022</v>
      </c>
      <c r="H574" s="0" t="n">
        <f aca="false">W_PH(H$2,$A574)</f>
        <v>1112.9279102604</v>
      </c>
      <c r="I574" s="0" t="n">
        <f aca="false">W_PH(I$2,$A574)</f>
        <v>1112.92851910956</v>
      </c>
      <c r="J574" s="0" t="n">
        <f aca="false">W_PH(J$2,$A574)</f>
        <v>1112.92912901002</v>
      </c>
      <c r="K574" s="0" t="n">
        <f aca="false">W_PH(K$2,$A574)</f>
        <v>1112.92973785946</v>
      </c>
      <c r="L574" s="0" t="n">
        <f aca="false">W_PH(L$2,$A574)</f>
        <v>1112.93034670903</v>
      </c>
      <c r="M574" s="0" t="n">
        <f aca="false">W_PH(M$2,$A574)</f>
        <v>1112.93095555875</v>
      </c>
      <c r="N574" s="0" t="n">
        <f aca="false">W_PH(N$2,$A574)</f>
        <v>1112.93156545976</v>
      </c>
      <c r="O574" s="0" t="n">
        <f aca="false">W_PH(O$2,$A574)</f>
        <v>1112.93217430976</v>
      </c>
      <c r="P574" s="0" t="n">
        <f aca="false">W_PH(P$2,$A574)</f>
        <v>1112.93826597094</v>
      </c>
      <c r="Q574" s="0" t="n">
        <f aca="false">W_PH(Q$2,$A574)</f>
        <v>1112.9443586977</v>
      </c>
      <c r="R574" s="0" t="n">
        <f aca="false">W_PH(R$2,$A574)</f>
        <v>1112.95045038814</v>
      </c>
      <c r="S574" s="0" t="n">
        <f aca="false">W_PH(S$2,$A574)</f>
        <v>1112.95654209381</v>
      </c>
      <c r="T574" s="0" t="n">
        <f aca="false">W_PH(T$2,$A574)</f>
        <v>1112.96263486631</v>
      </c>
      <c r="U574" s="0" t="n">
        <f aca="false">W_PH(U$2,$A574)</f>
        <v>1112.96872660371</v>
      </c>
      <c r="V574" s="0" t="n">
        <f aca="false">W_PH(V$2,$A574)</f>
        <v>1112.97481835759</v>
      </c>
      <c r="W574" s="0" t="n">
        <f aca="false">W_PH(W$2,$A574)</f>
        <v>1112.98091117953</v>
      </c>
      <c r="X574" s="0" t="n">
        <f aca="false">W_PH(X$2,$A574)</f>
        <v>1112.98700401879</v>
      </c>
      <c r="Y574" s="0" t="n">
        <f aca="false">W_PH(Y$2,$A574)</f>
        <v>1113.04792504465</v>
      </c>
      <c r="Z574" s="0" t="n">
        <f aca="false">W_PH(Z$2,$A574)</f>
        <v>1113.10885035775</v>
      </c>
      <c r="AA574" s="0" t="n">
        <f aca="false">W_PH(AA$2,$A574)</f>
        <v>1113.16977721737</v>
      </c>
      <c r="AB574" s="0" t="n">
        <f aca="false">W_PH(AB$2,$A574)</f>
        <v>1113.23070708763</v>
      </c>
      <c r="AC574" s="0" t="n">
        <f aca="false">W_PH(AC$2,$A574)</f>
        <v>1113.29163933017</v>
      </c>
      <c r="AD574" s="0" t="n">
        <f aca="false">W_PH(AD$2,$A574)</f>
        <v>1113.35257646058</v>
      </c>
      <c r="AE574" s="0" t="n">
        <f aca="false">W_PH(AE$2,$A574)</f>
        <v>1113.41351678925</v>
      </c>
      <c r="AF574" s="0" t="n">
        <f aca="false">W_PH(AF$2,$A574)</f>
        <v>1113.47446178056</v>
      </c>
      <c r="AG574" s="0" t="n">
        <f aca="false">W_PH(AG$2,$A574)</f>
        <v>1113.53541184763</v>
      </c>
      <c r="AH574" s="0" t="n">
        <f aca="false">W_PH(AH$2,$A574)</f>
        <v>1114.14526261513</v>
      </c>
      <c r="AI574" s="0" t="n">
        <f aca="false">W_PH(AI$2,$A574)</f>
        <v>1114.7560304256</v>
      </c>
      <c r="AJ574" s="0" t="n">
        <f aca="false">W_PH(AJ$2,$A574)</f>
        <v>1115.36811321831</v>
      </c>
      <c r="AK574" s="0" t="n">
        <f aca="false">W_PH(AK$2,$A574)</f>
        <v>1115.98190931631</v>
      </c>
      <c r="AL574" s="0" t="n">
        <f aca="false">W_PH(AL$2,$A574)</f>
        <v>1116.59781427856</v>
      </c>
      <c r="AM574" s="0" t="n">
        <f aca="false">W_PH(AM$2,$A574)</f>
        <v>1117.21622722614</v>
      </c>
      <c r="AN574" s="0" t="n">
        <f aca="false">W_PH(AN$2,$A574)</f>
        <v>1117.83754664874</v>
      </c>
      <c r="AO574" s="0" t="n">
        <f aca="false">W_PH(AO$2,$A574)</f>
        <v>1118.46217252783</v>
      </c>
      <c r="AP574" s="0" t="n">
        <f aca="false">W_PH(AP$2,$A574)</f>
        <v>2015</v>
      </c>
      <c r="AQ574" s="0" t="n">
        <f aca="false">W_PH(AQ$2,$A574)</f>
        <v>2015</v>
      </c>
      <c r="AR574" s="0" t="n">
        <f aca="false">W_PH(AR$2,$A574)</f>
        <v>2015</v>
      </c>
      <c r="AS574" s="0" t="n">
        <f aca="false">W_PH(AS$2,$A574)</f>
        <v>2015</v>
      </c>
    </row>
    <row r="575" customFormat="false" ht="13.8" hidden="false" customHeight="false" outlineLevel="0" collapsed="false">
      <c r="A575" s="0" t="n">
        <v>7350</v>
      </c>
      <c r="B575" s="0" t="n">
        <f aca="false">W_PH(B$2,$A575)</f>
        <v>1113.72939112762</v>
      </c>
      <c r="C575" s="0" t="n">
        <f aca="false">W_PH(C$2,$A575)</f>
        <v>1113.72945224191</v>
      </c>
      <c r="D575" s="0" t="n">
        <f aca="false">W_PH(D$2,$A575)</f>
        <v>1113.72951335621</v>
      </c>
      <c r="E575" s="0" t="n">
        <f aca="false">W_PH(E$2,$A575)</f>
        <v>1113.7295744705</v>
      </c>
      <c r="F575" s="0" t="n">
        <f aca="false">W_PH(F$2,$A575)</f>
        <v>1113.72963453445</v>
      </c>
      <c r="G575" s="0" t="n">
        <f aca="false">W_PH(G$2,$A575)</f>
        <v>1113.73024357681</v>
      </c>
      <c r="H575" s="0" t="n">
        <f aca="false">W_PH(H$2,$A575)</f>
        <v>1113.7308526193</v>
      </c>
      <c r="I575" s="0" t="n">
        <f aca="false">W_PH(I$2,$A575)</f>
        <v>1113.73146166192</v>
      </c>
      <c r="J575" s="0" t="n">
        <f aca="false">W_PH(J$2,$A575)</f>
        <v>1113.73207175504</v>
      </c>
      <c r="K575" s="0" t="n">
        <f aca="false">W_PH(K$2,$A575)</f>
        <v>1113.73268079794</v>
      </c>
      <c r="L575" s="0" t="n">
        <f aca="false">W_PH(L$2,$A575)</f>
        <v>1113.73328984097</v>
      </c>
      <c r="M575" s="0" t="n">
        <f aca="false">W_PH(M$2,$A575)</f>
        <v>1113.73389888415</v>
      </c>
      <c r="N575" s="0" t="n">
        <f aca="false">W_PH(N$2,$A575)</f>
        <v>1113.73450792746</v>
      </c>
      <c r="O575" s="0" t="n">
        <f aca="false">W_PH(O$2,$A575)</f>
        <v>1113.73511697091</v>
      </c>
      <c r="P575" s="0" t="n">
        <f aca="false">W_PH(P$2,$A575)</f>
        <v>1113.74120741312</v>
      </c>
      <c r="Q575" s="0" t="n">
        <f aca="false">W_PH(Q$2,$A575)</f>
        <v>1113.74729786963</v>
      </c>
      <c r="R575" s="0" t="n">
        <f aca="false">W_PH(R$2,$A575)</f>
        <v>1113.75338834085</v>
      </c>
      <c r="S575" s="0" t="n">
        <f aca="false">W_PH(S$2,$A575)</f>
        <v>1113.75947987755</v>
      </c>
      <c r="T575" s="0" t="n">
        <f aca="false">W_PH(T$2,$A575)</f>
        <v>1113.76557142978</v>
      </c>
      <c r="U575" s="0" t="n">
        <f aca="false">W_PH(U$2,$A575)</f>
        <v>1113.77166194759</v>
      </c>
      <c r="V575" s="0" t="n">
        <f aca="false">W_PH(V$2,$A575)</f>
        <v>1113.77775248176</v>
      </c>
      <c r="W575" s="0" t="n">
        <f aca="false">W_PH(W$2,$A575)</f>
        <v>1113.78384303269</v>
      </c>
      <c r="X575" s="0" t="n">
        <f aca="false">W_PH(X$2,$A575)</f>
        <v>1113.78993465117</v>
      </c>
      <c r="Y575" s="0" t="n">
        <f aca="false">W_PH(Y$2,$A575)</f>
        <v>1113.85084556899</v>
      </c>
      <c r="Z575" s="0" t="n">
        <f aca="false">W_PH(Z$2,$A575)</f>
        <v>1113.91175865697</v>
      </c>
      <c r="AA575" s="0" t="n">
        <f aca="false">W_PH(AA$2,$A575)</f>
        <v>1113.972673276</v>
      </c>
      <c r="AB575" s="0" t="n">
        <f aca="false">W_PH(AB$2,$A575)</f>
        <v>1114.0335919383</v>
      </c>
      <c r="AC575" s="0" t="n">
        <f aca="false">W_PH(AC$2,$A575)</f>
        <v>1114.09451400486</v>
      </c>
      <c r="AD575" s="0" t="n">
        <f aca="false">W_PH(AD$2,$A575)</f>
        <v>1114.15543778606</v>
      </c>
      <c r="AE575" s="0" t="n">
        <f aca="false">W_PH(AE$2,$A575)</f>
        <v>1114.21636789543</v>
      </c>
      <c r="AF575" s="0" t="n">
        <f aca="false">W_PH(AF$2,$A575)</f>
        <v>1114.27730054234</v>
      </c>
      <c r="AG575" s="0" t="n">
        <f aca="false">W_PH(AG$2,$A575)</f>
        <v>1114.33823928999</v>
      </c>
      <c r="AH575" s="0" t="n">
        <f aca="false">W_PH(AH$2,$A575)</f>
        <v>1114.9479719782</v>
      </c>
      <c r="AI575" s="0" t="n">
        <f aca="false">W_PH(AI$2,$A575)</f>
        <v>1115.55861747622</v>
      </c>
      <c r="AJ575" s="0" t="n">
        <f aca="false">W_PH(AJ$2,$A575)</f>
        <v>1116.17057428366</v>
      </c>
      <c r="AK575" s="0" t="n">
        <f aca="false">W_PH(AK$2,$A575)</f>
        <v>1116.78423497691</v>
      </c>
      <c r="AL575" s="0" t="n">
        <f aca="false">W_PH(AL$2,$A575)</f>
        <v>1117.39999778164</v>
      </c>
      <c r="AM575" s="0" t="n">
        <f aca="false">W_PH(AM$2,$A575)</f>
        <v>1118.01825922703</v>
      </c>
      <c r="AN575" s="0" t="n">
        <f aca="false">W_PH(AN$2,$A575)</f>
        <v>1118.63941521092</v>
      </c>
      <c r="AO575" s="0" t="n">
        <f aca="false">W_PH(AO$2,$A575)</f>
        <v>1119.26386312135</v>
      </c>
      <c r="AP575" s="0" t="n">
        <f aca="false">W_PH(AP$2,$A575)</f>
        <v>2015</v>
      </c>
      <c r="AQ575" s="0" t="n">
        <f aca="false">W_PH(AQ$2,$A575)</f>
        <v>2015</v>
      </c>
      <c r="AR575" s="0" t="n">
        <f aca="false">W_PH(AR$2,$A575)</f>
        <v>2015</v>
      </c>
      <c r="AS575" s="0" t="n">
        <f aca="false">W_PH(AS$2,$A575)</f>
        <v>2015</v>
      </c>
    </row>
    <row r="576" customFormat="false" ht="13.8" hidden="false" customHeight="false" outlineLevel="0" collapsed="false">
      <c r="A576" s="0" t="n">
        <v>7360</v>
      </c>
      <c r="B576" s="0" t="n">
        <f aca="false">W_PH(B$2,$A576)</f>
        <v>1114.53142958379</v>
      </c>
      <c r="C576" s="0" t="n">
        <f aca="false">W_PH(C$2,$A576)</f>
        <v>1114.53149071686</v>
      </c>
      <c r="D576" s="0" t="n">
        <f aca="false">W_PH(D$2,$A576)</f>
        <v>1114.5315508004</v>
      </c>
      <c r="E576" s="0" t="n">
        <f aca="false">W_PH(E$2,$A576)</f>
        <v>1114.53161193348</v>
      </c>
      <c r="F576" s="0" t="n">
        <f aca="false">W_PH(F$2,$A576)</f>
        <v>1114.53167306656</v>
      </c>
      <c r="G576" s="0" t="n">
        <f aca="false">W_PH(G$2,$A576)</f>
        <v>1114.53228229837</v>
      </c>
      <c r="H576" s="0" t="n">
        <f aca="false">W_PH(H$2,$A576)</f>
        <v>1114.53289153031</v>
      </c>
      <c r="I576" s="0" t="n">
        <f aca="false">W_PH(I$2,$A576)</f>
        <v>1114.53350076238</v>
      </c>
      <c r="J576" s="0" t="n">
        <f aca="false">W_PH(J$2,$A576)</f>
        <v>1114.53410999459</v>
      </c>
      <c r="K576" s="0" t="n">
        <f aca="false">W_PH(K$2,$A576)</f>
        <v>1114.53471817739</v>
      </c>
      <c r="L576" s="0" t="n">
        <f aca="false">W_PH(L$2,$A576)</f>
        <v>1114.53532740987</v>
      </c>
      <c r="M576" s="0" t="n">
        <f aca="false">W_PH(M$2,$A576)</f>
        <v>1114.53593559294</v>
      </c>
      <c r="N576" s="0" t="n">
        <f aca="false">W_PH(N$2,$A576)</f>
        <v>1114.5365448257</v>
      </c>
      <c r="O576" s="0" t="n">
        <f aca="false">W_PH(O$2,$A576)</f>
        <v>1114.53715405859</v>
      </c>
      <c r="P576" s="0" t="n">
        <f aca="false">W_PH(P$2,$A576)</f>
        <v>1114.54324429606</v>
      </c>
      <c r="Q576" s="0" t="n">
        <f aca="false">W_PH(Q$2,$A576)</f>
        <v>1114.54933349816</v>
      </c>
      <c r="R576" s="0" t="n">
        <f aca="false">W_PH(R$2,$A576)</f>
        <v>1114.55542271485</v>
      </c>
      <c r="S576" s="0" t="n">
        <f aca="false">W_PH(S$2,$A576)</f>
        <v>1114.5615129961</v>
      </c>
      <c r="T576" s="0" t="n">
        <f aca="false">W_PH(T$2,$A576)</f>
        <v>1114.56760329276</v>
      </c>
      <c r="U576" s="0" t="n">
        <f aca="false">W_PH(U$2,$A576)</f>
        <v>1114.57369255568</v>
      </c>
      <c r="V576" s="0" t="n">
        <f aca="false">W_PH(V$2,$A576)</f>
        <v>1114.57978183483</v>
      </c>
      <c r="W576" s="0" t="n">
        <f aca="false">W_PH(W$2,$A576)</f>
        <v>1114.58587218018</v>
      </c>
      <c r="X576" s="0" t="n">
        <f aca="false">W_PH(X$2,$A576)</f>
        <v>1114.59196254258</v>
      </c>
      <c r="Y576" s="0" t="n">
        <f aca="false">W_PH(Y$2,$A576)</f>
        <v>1114.65286089704</v>
      </c>
      <c r="Z576" s="0" t="n">
        <f aca="false">W_PH(Z$2,$A576)</f>
        <v>1114.71376245671</v>
      </c>
      <c r="AA576" s="0" t="n">
        <f aca="false">W_PH(AA$2,$A576)</f>
        <v>1114.77466658179</v>
      </c>
      <c r="AB576" s="0" t="n">
        <f aca="false">W_PH(AB$2,$A576)</f>
        <v>1114.83557263244</v>
      </c>
      <c r="AC576" s="0" t="n">
        <f aca="false">W_PH(AC$2,$A576)</f>
        <v>1114.89648206813</v>
      </c>
      <c r="AD576" s="0" t="n">
        <f aca="false">W_PH(AD$2,$A576)</f>
        <v>1114.95739529875</v>
      </c>
      <c r="AE576" s="0" t="n">
        <f aca="false">W_PH(AE$2,$A576)</f>
        <v>1115.01831273422</v>
      </c>
      <c r="AF576" s="0" t="n">
        <f aca="false">W_PH(AF$2,$A576)</f>
        <v>1115.07923478453</v>
      </c>
      <c r="AG576" s="0" t="n">
        <f aca="false">W_PH(AG$2,$A576)</f>
        <v>1115.1401597601</v>
      </c>
      <c r="AH576" s="0" t="n">
        <f aca="false">W_PH(AH$2,$A576)</f>
        <v>1115.74977295591</v>
      </c>
      <c r="AI576" s="0" t="n">
        <f aca="false">W_PH(AI$2,$A576)</f>
        <v>1116.3602958099</v>
      </c>
      <c r="AJ576" s="0" t="n">
        <f aca="false">W_PH(AJ$2,$A576)</f>
        <v>1116.97212318613</v>
      </c>
      <c r="AK576" s="0" t="n">
        <f aca="false">W_PH(AK$2,$A576)</f>
        <v>1117.5856482318</v>
      </c>
      <c r="AL576" s="0" t="n">
        <f aca="false">W_PH(AL$2,$A576)</f>
        <v>1118.20126658862</v>
      </c>
      <c r="AM576" s="0" t="n">
        <f aca="false">W_PH(AM$2,$A576)</f>
        <v>1118.81937325396</v>
      </c>
      <c r="AN576" s="0" t="n">
        <f aca="false">W_PH(AN$2,$A576)</f>
        <v>1119.44036364613</v>
      </c>
      <c r="AO576" s="0" t="n">
        <f aca="false">W_PH(AO$2,$A576)</f>
        <v>1120.06463572496</v>
      </c>
      <c r="AP576" s="0" t="n">
        <f aca="false">W_PH(AP$2,$A576)</f>
        <v>2015</v>
      </c>
      <c r="AQ576" s="0" t="n">
        <f aca="false">W_PH(AQ$2,$A576)</f>
        <v>2015</v>
      </c>
      <c r="AR576" s="0" t="n">
        <f aca="false">W_PH(AR$2,$A576)</f>
        <v>2015</v>
      </c>
      <c r="AS576" s="0" t="n">
        <f aca="false">W_PH(AS$2,$A576)</f>
        <v>2015</v>
      </c>
    </row>
    <row r="577" customFormat="false" ht="13.8" hidden="false" customHeight="false" outlineLevel="0" collapsed="false">
      <c r="A577" s="0" t="n">
        <v>7370</v>
      </c>
      <c r="B577" s="0" t="n">
        <f aca="false">W_PH(B$2,$A577)</f>
        <v>1115.33256683599</v>
      </c>
      <c r="C577" s="0" t="n">
        <f aca="false">W_PH(C$2,$A577)</f>
        <v>1115.33262693871</v>
      </c>
      <c r="D577" s="0" t="n">
        <f aca="false">W_PH(D$2,$A577)</f>
        <v>1115.33268809018</v>
      </c>
      <c r="E577" s="0" t="n">
        <f aca="false">W_PH(E$2,$A577)</f>
        <v>1115.3327481929</v>
      </c>
      <c r="F577" s="0" t="n">
        <f aca="false">W_PH(F$2,$A577)</f>
        <v>1115.33280934437</v>
      </c>
      <c r="G577" s="0" t="n">
        <f aca="false">W_PH(G$2,$A577)</f>
        <v>1115.33341876165</v>
      </c>
      <c r="H577" s="0" t="n">
        <f aca="false">W_PH(H$2,$A577)</f>
        <v>1115.33402817906</v>
      </c>
      <c r="I577" s="0" t="n">
        <f aca="false">W_PH(I$2,$A577)</f>
        <v>1115.33463549911</v>
      </c>
      <c r="J577" s="0" t="n">
        <f aca="false">W_PH(J$2,$A577)</f>
        <v>1115.33524491679</v>
      </c>
      <c r="K577" s="0" t="n">
        <f aca="false">W_PH(K$2,$A577)</f>
        <v>1115.3358543346</v>
      </c>
      <c r="L577" s="0" t="n">
        <f aca="false">W_PH(L$2,$A577)</f>
        <v>1115.33646270381</v>
      </c>
      <c r="M577" s="0" t="n">
        <f aca="false">W_PH(M$2,$A577)</f>
        <v>1115.33707107315</v>
      </c>
      <c r="N577" s="0" t="n">
        <f aca="false">W_PH(N$2,$A577)</f>
        <v>1115.33768049137</v>
      </c>
      <c r="O577" s="0" t="n">
        <f aca="false">W_PH(O$2,$A577)</f>
        <v>1115.33828990972</v>
      </c>
      <c r="P577" s="0" t="n">
        <f aca="false">W_PH(P$2,$A577)</f>
        <v>1115.34437780838</v>
      </c>
      <c r="Q577" s="0" t="n">
        <f aca="false">W_PH(Q$2,$A577)</f>
        <v>1115.35046572111</v>
      </c>
      <c r="R577" s="0" t="n">
        <f aca="false">W_PH(R$2,$A577)</f>
        <v>1115.35655574581</v>
      </c>
      <c r="S577" s="0" t="n">
        <f aca="false">W_PH(S$2,$A577)</f>
        <v>1115.36264368789</v>
      </c>
      <c r="T577" s="0" t="n">
        <f aca="false">W_PH(T$2,$A577)</f>
        <v>1115.36873164525</v>
      </c>
      <c r="U577" s="0" t="n">
        <f aca="false">W_PH(U$2,$A577)</f>
        <v>1115.37482066707</v>
      </c>
      <c r="V577" s="0" t="n">
        <f aca="false">W_PH(V$2,$A577)</f>
        <v>1115.380909705</v>
      </c>
      <c r="W577" s="0" t="n">
        <f aca="false">W_PH(W$2,$A577)</f>
        <v>1115.38699771068</v>
      </c>
      <c r="X577" s="0" t="n">
        <f aca="false">W_PH(X$2,$A577)</f>
        <v>1115.39308678205</v>
      </c>
      <c r="Y577" s="0" t="n">
        <f aca="false">W_PH(Y$2,$A577)</f>
        <v>1115.45397327239</v>
      </c>
      <c r="Z577" s="0" t="n">
        <f aca="false">W_PH(Z$2,$A577)</f>
        <v>1115.51486295277</v>
      </c>
      <c r="AA577" s="0" t="n">
        <f aca="false">W_PH(AA$2,$A577)</f>
        <v>1115.57575518264</v>
      </c>
      <c r="AB577" s="0" t="n">
        <f aca="false">W_PH(AB$2,$A577)</f>
        <v>1115.63664932142</v>
      </c>
      <c r="AC577" s="0" t="n">
        <f aca="false">W_PH(AC$2,$A577)</f>
        <v>1115.69754682625</v>
      </c>
      <c r="AD577" s="0" t="n">
        <f aca="false">W_PH(AD$2,$A577)</f>
        <v>1115.75844915438</v>
      </c>
      <c r="AE577" s="0" t="n">
        <f aca="false">W_PH(AE$2,$A577)</f>
        <v>1115.81935356749</v>
      </c>
      <c r="AF577" s="0" t="n">
        <f aca="false">W_PH(AF$2,$A577)</f>
        <v>1115.88026257176</v>
      </c>
      <c r="AG577" s="0" t="n">
        <f aca="false">W_PH(AG$2,$A577)</f>
        <v>1115.94117762466</v>
      </c>
      <c r="AH577" s="0" t="n">
        <f aca="false">W_PH(AH$2,$A577)</f>
        <v>1116.55066889561</v>
      </c>
      <c r="AI577" s="0" t="n">
        <f aca="false">W_PH(AI$2,$A577)</f>
        <v>1117.16106565254</v>
      </c>
      <c r="AJ577" s="0" t="n">
        <f aca="false">W_PH(AJ$2,$A577)</f>
        <v>1117.77276228414</v>
      </c>
      <c r="AK577" s="0" t="n">
        <f aca="false">W_PH(AK$2,$A577)</f>
        <v>1118.38614936542</v>
      </c>
      <c r="AL577" s="0" t="n">
        <f aca="false">W_PH(AL$2,$A577)</f>
        <v>1119.00162206386</v>
      </c>
      <c r="AM577" s="0" t="n">
        <f aca="false">W_PH(AM$2,$A577)</f>
        <v>1119.61957385414</v>
      </c>
      <c r="AN577" s="0" t="n">
        <f aca="false">W_PH(AN$2,$A577)</f>
        <v>1120.24039863197</v>
      </c>
      <c r="AO577" s="0" t="n">
        <f aca="false">W_PH(AO$2,$A577)</f>
        <v>1120.86448968087</v>
      </c>
      <c r="AP577" s="0" t="n">
        <f aca="false">W_PH(AP$2,$A577)</f>
        <v>2015</v>
      </c>
      <c r="AQ577" s="0" t="n">
        <f aca="false">W_PH(AQ$2,$A577)</f>
        <v>2015</v>
      </c>
      <c r="AR577" s="0" t="n">
        <f aca="false">W_PH(AR$2,$A577)</f>
        <v>2015</v>
      </c>
      <c r="AS577" s="0" t="n">
        <f aca="false">W_PH(AS$2,$A577)</f>
        <v>2015</v>
      </c>
    </row>
    <row r="578" customFormat="false" ht="13.8" hidden="false" customHeight="false" outlineLevel="0" collapsed="false">
      <c r="A578" s="0" t="n">
        <v>7380</v>
      </c>
      <c r="B578" s="0" t="n">
        <f aca="false">W_PH(B$2,$A578)</f>
        <v>2015</v>
      </c>
      <c r="C578" s="0" t="n">
        <f aca="false">W_PH(C$2,$A578)</f>
        <v>2015</v>
      </c>
      <c r="D578" s="0" t="n">
        <f aca="false">W_PH(D$2,$A578)</f>
        <v>2015</v>
      </c>
      <c r="E578" s="0" t="n">
        <f aca="false">W_PH(E$2,$A578)</f>
        <v>2015</v>
      </c>
      <c r="F578" s="0" t="n">
        <f aca="false">W_PH(F$2,$A578)</f>
        <v>2015</v>
      </c>
      <c r="G578" s="0" t="n">
        <f aca="false">W_PH(G$2,$A578)</f>
        <v>2015</v>
      </c>
      <c r="H578" s="0" t="n">
        <f aca="false">W_PH(H$2,$A578)</f>
        <v>2015</v>
      </c>
      <c r="I578" s="0" t="n">
        <f aca="false">W_PH(I$2,$A578)</f>
        <v>2015</v>
      </c>
      <c r="J578" s="0" t="n">
        <f aca="false">W_PH(J$2,$A578)</f>
        <v>2015</v>
      </c>
      <c r="K578" s="0" t="n">
        <f aca="false">W_PH(K$2,$A578)</f>
        <v>2015</v>
      </c>
      <c r="L578" s="0" t="n">
        <f aca="false">W_PH(L$2,$A578)</f>
        <v>2015</v>
      </c>
      <c r="M578" s="0" t="n">
        <f aca="false">W_PH(M$2,$A578)</f>
        <v>2015</v>
      </c>
      <c r="N578" s="0" t="n">
        <f aca="false">W_PH(N$2,$A578)</f>
        <v>2015</v>
      </c>
      <c r="O578" s="0" t="n">
        <f aca="false">W_PH(O$2,$A578)</f>
        <v>2015</v>
      </c>
      <c r="P578" s="0" t="n">
        <f aca="false">W_PH(P$2,$A578)</f>
        <v>2015</v>
      </c>
      <c r="Q578" s="0" t="n">
        <f aca="false">W_PH(Q$2,$A578)</f>
        <v>2015</v>
      </c>
      <c r="R578" s="0" t="n">
        <f aca="false">W_PH(R$2,$A578)</f>
        <v>2015</v>
      </c>
      <c r="S578" s="0" t="n">
        <f aca="false">W_PH(S$2,$A578)</f>
        <v>2015</v>
      </c>
      <c r="T578" s="0" t="n">
        <f aca="false">W_PH(T$2,$A578)</f>
        <v>2015</v>
      </c>
      <c r="U578" s="0" t="n">
        <f aca="false">W_PH(U$2,$A578)</f>
        <v>2015</v>
      </c>
      <c r="V578" s="0" t="n">
        <f aca="false">W_PH(V$2,$A578)</f>
        <v>2015</v>
      </c>
      <c r="W578" s="0" t="n">
        <f aca="false">W_PH(W$2,$A578)</f>
        <v>2015</v>
      </c>
      <c r="X578" s="0" t="n">
        <f aca="false">W_PH(X$2,$A578)</f>
        <v>2015</v>
      </c>
      <c r="Y578" s="0" t="n">
        <f aca="false">W_PH(Y$2,$A578)</f>
        <v>2015</v>
      </c>
      <c r="Z578" s="0" t="n">
        <f aca="false">W_PH(Z$2,$A578)</f>
        <v>2015</v>
      </c>
      <c r="AA578" s="0" t="n">
        <f aca="false">W_PH(AA$2,$A578)</f>
        <v>2015</v>
      </c>
      <c r="AB578" s="0" t="n">
        <f aca="false">W_PH(AB$2,$A578)</f>
        <v>2015</v>
      </c>
      <c r="AC578" s="0" t="n">
        <f aca="false">W_PH(AC$2,$A578)</f>
        <v>2015</v>
      </c>
      <c r="AD578" s="0" t="n">
        <f aca="false">W_PH(AD$2,$A578)</f>
        <v>2015</v>
      </c>
      <c r="AE578" s="0" t="n">
        <f aca="false">W_PH(AE$2,$A578)</f>
        <v>2015</v>
      </c>
      <c r="AF578" s="0" t="n">
        <f aca="false">W_PH(AF$2,$A578)</f>
        <v>2015</v>
      </c>
      <c r="AG578" s="0" t="n">
        <f aca="false">W_PH(AG$2,$A578)</f>
        <v>2015</v>
      </c>
      <c r="AH578" s="0" t="n">
        <f aca="false">W_PH(AH$2,$A578)</f>
        <v>2015</v>
      </c>
      <c r="AI578" s="0" t="n">
        <f aca="false">W_PH(AI$2,$A578)</f>
        <v>2015</v>
      </c>
      <c r="AJ578" s="0" t="n">
        <f aca="false">W_PH(AJ$2,$A578)</f>
        <v>2015</v>
      </c>
      <c r="AK578" s="0" t="n">
        <f aca="false">W_PH(AK$2,$A578)</f>
        <v>2015</v>
      </c>
      <c r="AL578" s="0" t="n">
        <f aca="false">W_PH(AL$2,$A578)</f>
        <v>2015</v>
      </c>
      <c r="AM578" s="0" t="n">
        <f aca="false">W_PH(AM$2,$A578)</f>
        <v>2015</v>
      </c>
      <c r="AN578" s="0" t="n">
        <f aca="false">W_PH(AN$2,$A578)</f>
        <v>2015</v>
      </c>
      <c r="AO578" s="0" t="n">
        <f aca="false">W_PH(AO$2,$A578)</f>
        <v>2015</v>
      </c>
      <c r="AP578" s="0" t="n">
        <f aca="false">W_PH(AP$2,$A578)</f>
        <v>2015</v>
      </c>
      <c r="AQ578" s="0" t="n">
        <f aca="false">W_PH(AQ$2,$A578)</f>
        <v>2015</v>
      </c>
      <c r="AR578" s="0" t="n">
        <f aca="false">W_PH(AR$2,$A578)</f>
        <v>2015</v>
      </c>
      <c r="AS578" s="0" t="n">
        <f aca="false">W_PH(AS$2,$A578)</f>
        <v>2015</v>
      </c>
    </row>
    <row r="579" customFormat="false" ht="13.8" hidden="false" customHeight="false" outlineLevel="0" collapsed="false">
      <c r="A579" s="0" t="n">
        <v>7390</v>
      </c>
      <c r="B579" s="0" t="n">
        <f aca="false">W_PH(B$2,$A579)</f>
        <v>2015</v>
      </c>
      <c r="C579" s="0" t="n">
        <f aca="false">W_PH(C$2,$A579)</f>
        <v>2015</v>
      </c>
      <c r="D579" s="0" t="n">
        <f aca="false">W_PH(D$2,$A579)</f>
        <v>2015</v>
      </c>
      <c r="E579" s="0" t="n">
        <f aca="false">W_PH(E$2,$A579)</f>
        <v>2015</v>
      </c>
      <c r="F579" s="0" t="n">
        <f aca="false">W_PH(F$2,$A579)</f>
        <v>2015</v>
      </c>
      <c r="G579" s="0" t="n">
        <f aca="false">W_PH(G$2,$A579)</f>
        <v>2015</v>
      </c>
      <c r="H579" s="0" t="n">
        <f aca="false">W_PH(H$2,$A579)</f>
        <v>2015</v>
      </c>
      <c r="I579" s="0" t="n">
        <f aca="false">W_PH(I$2,$A579)</f>
        <v>2015</v>
      </c>
      <c r="J579" s="0" t="n">
        <f aca="false">W_PH(J$2,$A579)</f>
        <v>2015</v>
      </c>
      <c r="K579" s="0" t="n">
        <f aca="false">W_PH(K$2,$A579)</f>
        <v>2015</v>
      </c>
      <c r="L579" s="0" t="n">
        <f aca="false">W_PH(L$2,$A579)</f>
        <v>2015</v>
      </c>
      <c r="M579" s="0" t="n">
        <f aca="false">W_PH(M$2,$A579)</f>
        <v>2015</v>
      </c>
      <c r="N579" s="0" t="n">
        <f aca="false">W_PH(N$2,$A579)</f>
        <v>2015</v>
      </c>
      <c r="O579" s="0" t="n">
        <f aca="false">W_PH(O$2,$A579)</f>
        <v>2015</v>
      </c>
      <c r="P579" s="0" t="n">
        <f aca="false">W_PH(P$2,$A579)</f>
        <v>2015</v>
      </c>
      <c r="Q579" s="0" t="n">
        <f aca="false">W_PH(Q$2,$A579)</f>
        <v>2015</v>
      </c>
      <c r="R579" s="0" t="n">
        <f aca="false">W_PH(R$2,$A579)</f>
        <v>2015</v>
      </c>
      <c r="S579" s="0" t="n">
        <f aca="false">W_PH(S$2,$A579)</f>
        <v>2015</v>
      </c>
      <c r="T579" s="0" t="n">
        <f aca="false">W_PH(T$2,$A579)</f>
        <v>2015</v>
      </c>
      <c r="U579" s="0" t="n">
        <f aca="false">W_PH(U$2,$A579)</f>
        <v>2015</v>
      </c>
      <c r="V579" s="0" t="n">
        <f aca="false">W_PH(V$2,$A579)</f>
        <v>2015</v>
      </c>
      <c r="W579" s="0" t="n">
        <f aca="false">W_PH(W$2,$A579)</f>
        <v>2015</v>
      </c>
      <c r="X579" s="0" t="n">
        <f aca="false">W_PH(X$2,$A579)</f>
        <v>2015</v>
      </c>
      <c r="Y579" s="0" t="n">
        <f aca="false">W_PH(Y$2,$A579)</f>
        <v>2015</v>
      </c>
      <c r="Z579" s="0" t="n">
        <f aca="false">W_PH(Z$2,$A579)</f>
        <v>2015</v>
      </c>
      <c r="AA579" s="0" t="n">
        <f aca="false">W_PH(AA$2,$A579)</f>
        <v>2015</v>
      </c>
      <c r="AB579" s="0" t="n">
        <f aca="false">W_PH(AB$2,$A579)</f>
        <v>2015</v>
      </c>
      <c r="AC579" s="0" t="n">
        <f aca="false">W_PH(AC$2,$A579)</f>
        <v>2015</v>
      </c>
      <c r="AD579" s="0" t="n">
        <f aca="false">W_PH(AD$2,$A579)</f>
        <v>2015</v>
      </c>
      <c r="AE579" s="0" t="n">
        <f aca="false">W_PH(AE$2,$A579)</f>
        <v>2015</v>
      </c>
      <c r="AF579" s="0" t="n">
        <f aca="false">W_PH(AF$2,$A579)</f>
        <v>2015</v>
      </c>
      <c r="AG579" s="0" t="n">
        <f aca="false">W_PH(AG$2,$A579)</f>
        <v>2015</v>
      </c>
      <c r="AH579" s="0" t="n">
        <f aca="false">W_PH(AH$2,$A579)</f>
        <v>2015</v>
      </c>
      <c r="AI579" s="0" t="n">
        <f aca="false">W_PH(AI$2,$A579)</f>
        <v>2015</v>
      </c>
      <c r="AJ579" s="0" t="n">
        <f aca="false">W_PH(AJ$2,$A579)</f>
        <v>2015</v>
      </c>
      <c r="AK579" s="0" t="n">
        <f aca="false">W_PH(AK$2,$A579)</f>
        <v>2015</v>
      </c>
      <c r="AL579" s="0" t="n">
        <f aca="false">W_PH(AL$2,$A579)</f>
        <v>2015</v>
      </c>
      <c r="AM579" s="0" t="n">
        <f aca="false">W_PH(AM$2,$A579)</f>
        <v>2015</v>
      </c>
      <c r="AN579" s="0" t="n">
        <f aca="false">W_PH(AN$2,$A579)</f>
        <v>2015</v>
      </c>
      <c r="AO579" s="0" t="n">
        <f aca="false">W_PH(AO$2,$A579)</f>
        <v>2015</v>
      </c>
      <c r="AP579" s="0" t="n">
        <f aca="false">W_PH(AP$2,$A579)</f>
        <v>2015</v>
      </c>
      <c r="AQ579" s="0" t="n">
        <f aca="false">W_PH(AQ$2,$A579)</f>
        <v>2015</v>
      </c>
      <c r="AR579" s="0" t="n">
        <f aca="false">W_PH(AR$2,$A579)</f>
        <v>2015</v>
      </c>
      <c r="AS579" s="0" t="n">
        <f aca="false">W_PH(AS$2,$A579)</f>
        <v>2015</v>
      </c>
    </row>
    <row r="580" customFormat="false" ht="13.8" hidden="false" customHeight="false" outlineLevel="0" collapsed="false">
      <c r="A580" s="0" t="n">
        <v>7400</v>
      </c>
      <c r="B580" s="0" t="n">
        <f aca="false">W_PH(B$2,$A580)</f>
        <v>2015</v>
      </c>
      <c r="C580" s="0" t="n">
        <f aca="false">W_PH(C$2,$A580)</f>
        <v>2015</v>
      </c>
      <c r="D580" s="0" t="n">
        <f aca="false">W_PH(D$2,$A580)</f>
        <v>2015</v>
      </c>
      <c r="E580" s="0" t="n">
        <f aca="false">W_PH(E$2,$A580)</f>
        <v>2015</v>
      </c>
      <c r="F580" s="0" t="n">
        <f aca="false">W_PH(F$2,$A580)</f>
        <v>2015</v>
      </c>
      <c r="G580" s="0" t="n">
        <f aca="false">W_PH(G$2,$A580)</f>
        <v>2015</v>
      </c>
      <c r="H580" s="0" t="n">
        <f aca="false">W_PH(H$2,$A580)</f>
        <v>2015</v>
      </c>
      <c r="I580" s="0" t="n">
        <f aca="false">W_PH(I$2,$A580)</f>
        <v>2015</v>
      </c>
      <c r="J580" s="0" t="n">
        <f aca="false">W_PH(J$2,$A580)</f>
        <v>2015</v>
      </c>
      <c r="K580" s="0" t="n">
        <f aca="false">W_PH(K$2,$A580)</f>
        <v>2015</v>
      </c>
      <c r="L580" s="0" t="n">
        <f aca="false">W_PH(L$2,$A580)</f>
        <v>2015</v>
      </c>
      <c r="M580" s="0" t="n">
        <f aca="false">W_PH(M$2,$A580)</f>
        <v>2015</v>
      </c>
      <c r="N580" s="0" t="n">
        <f aca="false">W_PH(N$2,$A580)</f>
        <v>2015</v>
      </c>
      <c r="O580" s="0" t="n">
        <f aca="false">W_PH(O$2,$A580)</f>
        <v>2015</v>
      </c>
      <c r="P580" s="0" t="n">
        <f aca="false">W_PH(P$2,$A580)</f>
        <v>2015</v>
      </c>
      <c r="Q580" s="0" t="n">
        <f aca="false">W_PH(Q$2,$A580)</f>
        <v>2015</v>
      </c>
      <c r="R580" s="0" t="n">
        <f aca="false">W_PH(R$2,$A580)</f>
        <v>2015</v>
      </c>
      <c r="S580" s="0" t="n">
        <f aca="false">W_PH(S$2,$A580)</f>
        <v>2015</v>
      </c>
      <c r="T580" s="0" t="n">
        <f aca="false">W_PH(T$2,$A580)</f>
        <v>2015</v>
      </c>
      <c r="U580" s="0" t="n">
        <f aca="false">W_PH(U$2,$A580)</f>
        <v>2015</v>
      </c>
      <c r="V580" s="0" t="n">
        <f aca="false">W_PH(V$2,$A580)</f>
        <v>2015</v>
      </c>
      <c r="W580" s="0" t="n">
        <f aca="false">W_PH(W$2,$A580)</f>
        <v>2015</v>
      </c>
      <c r="X580" s="0" t="n">
        <f aca="false">W_PH(X$2,$A580)</f>
        <v>2015</v>
      </c>
      <c r="Y580" s="0" t="n">
        <f aca="false">W_PH(Y$2,$A580)</f>
        <v>2015</v>
      </c>
      <c r="Z580" s="0" t="n">
        <f aca="false">W_PH(Z$2,$A580)</f>
        <v>2015</v>
      </c>
      <c r="AA580" s="0" t="n">
        <f aca="false">W_PH(AA$2,$A580)</f>
        <v>2015</v>
      </c>
      <c r="AB580" s="0" t="n">
        <f aca="false">W_PH(AB$2,$A580)</f>
        <v>2015</v>
      </c>
      <c r="AC580" s="0" t="n">
        <f aca="false">W_PH(AC$2,$A580)</f>
        <v>2015</v>
      </c>
      <c r="AD580" s="0" t="n">
        <f aca="false">W_PH(AD$2,$A580)</f>
        <v>2015</v>
      </c>
      <c r="AE580" s="0" t="n">
        <f aca="false">W_PH(AE$2,$A580)</f>
        <v>2015</v>
      </c>
      <c r="AF580" s="0" t="n">
        <f aca="false">W_PH(AF$2,$A580)</f>
        <v>2015</v>
      </c>
      <c r="AG580" s="0" t="n">
        <f aca="false">W_PH(AG$2,$A580)</f>
        <v>2015</v>
      </c>
      <c r="AH580" s="0" t="n">
        <f aca="false">W_PH(AH$2,$A580)</f>
        <v>2015</v>
      </c>
      <c r="AI580" s="0" t="n">
        <f aca="false">W_PH(AI$2,$A580)</f>
        <v>2015</v>
      </c>
      <c r="AJ580" s="0" t="n">
        <f aca="false">W_PH(AJ$2,$A580)</f>
        <v>2015</v>
      </c>
      <c r="AK580" s="0" t="n">
        <f aca="false">W_PH(AK$2,$A580)</f>
        <v>2015</v>
      </c>
      <c r="AL580" s="0" t="n">
        <f aca="false">W_PH(AL$2,$A580)</f>
        <v>2015</v>
      </c>
      <c r="AM580" s="0" t="n">
        <f aca="false">W_PH(AM$2,$A580)</f>
        <v>2015</v>
      </c>
      <c r="AN580" s="0" t="n">
        <f aca="false">W_PH(AN$2,$A580)</f>
        <v>2015</v>
      </c>
      <c r="AO580" s="0" t="n">
        <f aca="false">W_PH(AO$2,$A580)</f>
        <v>2015</v>
      </c>
      <c r="AP580" s="0" t="n">
        <f aca="false">W_PH(AP$2,$A580)</f>
        <v>2015</v>
      </c>
      <c r="AQ580" s="0" t="n">
        <f aca="false">W_PH(AQ$2,$A580)</f>
        <v>2015</v>
      </c>
      <c r="AR580" s="0" t="n">
        <f aca="false">W_PH(AR$2,$A580)</f>
        <v>2015</v>
      </c>
      <c r="AS580" s="0" t="n">
        <f aca="false">W_PH(AS$2,$A580)</f>
        <v>2015</v>
      </c>
    </row>
    <row r="581" customFormat="false" ht="13.8" hidden="false" customHeight="false" outlineLevel="0" collapsed="false">
      <c r="A581" s="0" t="n">
        <v>7410</v>
      </c>
      <c r="B581" s="0" t="n">
        <f aca="false">W_PH(B$2,$A581)</f>
        <v>2015</v>
      </c>
      <c r="C581" s="0" t="n">
        <f aca="false">W_PH(C$2,$A581)</f>
        <v>2015</v>
      </c>
      <c r="D581" s="0" t="n">
        <f aca="false">W_PH(D$2,$A581)</f>
        <v>2015</v>
      </c>
      <c r="E581" s="0" t="n">
        <f aca="false">W_PH(E$2,$A581)</f>
        <v>2015</v>
      </c>
      <c r="F581" s="0" t="n">
        <f aca="false">W_PH(F$2,$A581)</f>
        <v>2015</v>
      </c>
      <c r="G581" s="0" t="n">
        <f aca="false">W_PH(G$2,$A581)</f>
        <v>2015</v>
      </c>
      <c r="H581" s="0" t="n">
        <f aca="false">W_PH(H$2,$A581)</f>
        <v>2015</v>
      </c>
      <c r="I581" s="0" t="n">
        <f aca="false">W_PH(I$2,$A581)</f>
        <v>2015</v>
      </c>
      <c r="J581" s="0" t="n">
        <f aca="false">W_PH(J$2,$A581)</f>
        <v>2015</v>
      </c>
      <c r="K581" s="0" t="n">
        <f aca="false">W_PH(K$2,$A581)</f>
        <v>2015</v>
      </c>
      <c r="L581" s="0" t="n">
        <f aca="false">W_PH(L$2,$A581)</f>
        <v>2015</v>
      </c>
      <c r="M581" s="0" t="n">
        <f aca="false">W_PH(M$2,$A581)</f>
        <v>2015</v>
      </c>
      <c r="N581" s="0" t="n">
        <f aca="false">W_PH(N$2,$A581)</f>
        <v>2015</v>
      </c>
      <c r="O581" s="0" t="n">
        <f aca="false">W_PH(O$2,$A581)</f>
        <v>2015</v>
      </c>
      <c r="P581" s="0" t="n">
        <f aca="false">W_PH(P$2,$A581)</f>
        <v>2015</v>
      </c>
      <c r="Q581" s="0" t="n">
        <f aca="false">W_PH(Q$2,$A581)</f>
        <v>2015</v>
      </c>
      <c r="R581" s="0" t="n">
        <f aca="false">W_PH(R$2,$A581)</f>
        <v>2015</v>
      </c>
      <c r="S581" s="0" t="n">
        <f aca="false">W_PH(S$2,$A581)</f>
        <v>2015</v>
      </c>
      <c r="T581" s="0" t="n">
        <f aca="false">W_PH(T$2,$A581)</f>
        <v>2015</v>
      </c>
      <c r="U581" s="0" t="n">
        <f aca="false">W_PH(U$2,$A581)</f>
        <v>2015</v>
      </c>
      <c r="V581" s="0" t="n">
        <f aca="false">W_PH(V$2,$A581)</f>
        <v>2015</v>
      </c>
      <c r="W581" s="0" t="n">
        <f aca="false">W_PH(W$2,$A581)</f>
        <v>2015</v>
      </c>
      <c r="X581" s="0" t="n">
        <f aca="false">W_PH(X$2,$A581)</f>
        <v>2015</v>
      </c>
      <c r="Y581" s="0" t="n">
        <f aca="false">W_PH(Y$2,$A581)</f>
        <v>2015</v>
      </c>
      <c r="Z581" s="0" t="n">
        <f aca="false">W_PH(Z$2,$A581)</f>
        <v>2015</v>
      </c>
      <c r="AA581" s="0" t="n">
        <f aca="false">W_PH(AA$2,$A581)</f>
        <v>2015</v>
      </c>
      <c r="AB581" s="0" t="n">
        <f aca="false">W_PH(AB$2,$A581)</f>
        <v>2015</v>
      </c>
      <c r="AC581" s="0" t="n">
        <f aca="false">W_PH(AC$2,$A581)</f>
        <v>2015</v>
      </c>
      <c r="AD581" s="0" t="n">
        <f aca="false">W_PH(AD$2,$A581)</f>
        <v>2015</v>
      </c>
      <c r="AE581" s="0" t="n">
        <f aca="false">W_PH(AE$2,$A581)</f>
        <v>2015</v>
      </c>
      <c r="AF581" s="0" t="n">
        <f aca="false">W_PH(AF$2,$A581)</f>
        <v>2015</v>
      </c>
      <c r="AG581" s="0" t="n">
        <f aca="false">W_PH(AG$2,$A581)</f>
        <v>2015</v>
      </c>
      <c r="AH581" s="0" t="n">
        <f aca="false">W_PH(AH$2,$A581)</f>
        <v>2015</v>
      </c>
      <c r="AI581" s="0" t="n">
        <f aca="false">W_PH(AI$2,$A581)</f>
        <v>2015</v>
      </c>
      <c r="AJ581" s="0" t="n">
        <f aca="false">W_PH(AJ$2,$A581)</f>
        <v>2015</v>
      </c>
      <c r="AK581" s="0" t="n">
        <f aca="false">W_PH(AK$2,$A581)</f>
        <v>2015</v>
      </c>
      <c r="AL581" s="0" t="n">
        <f aca="false">W_PH(AL$2,$A581)</f>
        <v>2015</v>
      </c>
      <c r="AM581" s="0" t="n">
        <f aca="false">W_PH(AM$2,$A581)</f>
        <v>2015</v>
      </c>
      <c r="AN581" s="0" t="n">
        <f aca="false">W_PH(AN$2,$A581)</f>
        <v>2015</v>
      </c>
      <c r="AO581" s="0" t="n">
        <f aca="false">W_PH(AO$2,$A581)</f>
        <v>2015</v>
      </c>
      <c r="AP581" s="0" t="n">
        <f aca="false">W_PH(AP$2,$A581)</f>
        <v>2015</v>
      </c>
      <c r="AQ581" s="0" t="n">
        <f aca="false">W_PH(AQ$2,$A581)</f>
        <v>2015</v>
      </c>
      <c r="AR581" s="0" t="n">
        <f aca="false">W_PH(AR$2,$A581)</f>
        <v>2015</v>
      </c>
      <c r="AS581" s="0" t="n">
        <f aca="false">W_PH(AS$2,$A581)</f>
        <v>2015</v>
      </c>
    </row>
    <row r="582" customFormat="false" ht="13.8" hidden="false" customHeight="false" outlineLevel="0" collapsed="false">
      <c r="A582" s="0" t="n">
        <v>7420</v>
      </c>
      <c r="B582" s="0" t="n">
        <f aca="false">W_PH(B$2,$A582)</f>
        <v>2015</v>
      </c>
      <c r="C582" s="0" t="n">
        <f aca="false">W_PH(C$2,$A582)</f>
        <v>2015</v>
      </c>
      <c r="D582" s="0" t="n">
        <f aca="false">W_PH(D$2,$A582)</f>
        <v>2015</v>
      </c>
      <c r="E582" s="0" t="n">
        <f aca="false">W_PH(E$2,$A582)</f>
        <v>2015</v>
      </c>
      <c r="F582" s="0" t="n">
        <f aca="false">W_PH(F$2,$A582)</f>
        <v>2015</v>
      </c>
      <c r="G582" s="0" t="n">
        <f aca="false">W_PH(G$2,$A582)</f>
        <v>2015</v>
      </c>
      <c r="H582" s="0" t="n">
        <f aca="false">W_PH(H$2,$A582)</f>
        <v>2015</v>
      </c>
      <c r="I582" s="0" t="n">
        <f aca="false">W_PH(I$2,$A582)</f>
        <v>2015</v>
      </c>
      <c r="J582" s="0" t="n">
        <f aca="false">W_PH(J$2,$A582)</f>
        <v>2015</v>
      </c>
      <c r="K582" s="0" t="n">
        <f aca="false">W_PH(K$2,$A582)</f>
        <v>2015</v>
      </c>
      <c r="L582" s="0" t="n">
        <f aca="false">W_PH(L$2,$A582)</f>
        <v>2015</v>
      </c>
      <c r="M582" s="0" t="n">
        <f aca="false">W_PH(M$2,$A582)</f>
        <v>2015</v>
      </c>
      <c r="N582" s="0" t="n">
        <f aca="false">W_PH(N$2,$A582)</f>
        <v>2015</v>
      </c>
      <c r="O582" s="0" t="n">
        <f aca="false">W_PH(O$2,$A582)</f>
        <v>2015</v>
      </c>
      <c r="P582" s="0" t="n">
        <f aca="false">W_PH(P$2,$A582)</f>
        <v>2015</v>
      </c>
      <c r="Q582" s="0" t="n">
        <f aca="false">W_PH(Q$2,$A582)</f>
        <v>2015</v>
      </c>
      <c r="R582" s="0" t="n">
        <f aca="false">W_PH(R$2,$A582)</f>
        <v>2015</v>
      </c>
      <c r="S582" s="0" t="n">
        <f aca="false">W_PH(S$2,$A582)</f>
        <v>2015</v>
      </c>
      <c r="T582" s="0" t="n">
        <f aca="false">W_PH(T$2,$A582)</f>
        <v>2015</v>
      </c>
      <c r="U582" s="0" t="n">
        <f aca="false">W_PH(U$2,$A582)</f>
        <v>2015</v>
      </c>
      <c r="V582" s="0" t="n">
        <f aca="false">W_PH(V$2,$A582)</f>
        <v>2015</v>
      </c>
      <c r="W582" s="0" t="n">
        <f aca="false">W_PH(W$2,$A582)</f>
        <v>2015</v>
      </c>
      <c r="X582" s="0" t="n">
        <f aca="false">W_PH(X$2,$A582)</f>
        <v>2015</v>
      </c>
      <c r="Y582" s="0" t="n">
        <f aca="false">W_PH(Y$2,$A582)</f>
        <v>2015</v>
      </c>
      <c r="Z582" s="0" t="n">
        <f aca="false">W_PH(Z$2,$A582)</f>
        <v>2015</v>
      </c>
      <c r="AA582" s="0" t="n">
        <f aca="false">W_PH(AA$2,$A582)</f>
        <v>2015</v>
      </c>
      <c r="AB582" s="0" t="n">
        <f aca="false">W_PH(AB$2,$A582)</f>
        <v>2015</v>
      </c>
      <c r="AC582" s="0" t="n">
        <f aca="false">W_PH(AC$2,$A582)</f>
        <v>2015</v>
      </c>
      <c r="AD582" s="0" t="n">
        <f aca="false">W_PH(AD$2,$A582)</f>
        <v>2015</v>
      </c>
      <c r="AE582" s="0" t="n">
        <f aca="false">W_PH(AE$2,$A582)</f>
        <v>2015</v>
      </c>
      <c r="AF582" s="0" t="n">
        <f aca="false">W_PH(AF$2,$A582)</f>
        <v>2015</v>
      </c>
      <c r="AG582" s="0" t="n">
        <f aca="false">W_PH(AG$2,$A582)</f>
        <v>2015</v>
      </c>
      <c r="AH582" s="0" t="n">
        <f aca="false">W_PH(AH$2,$A582)</f>
        <v>2015</v>
      </c>
      <c r="AI582" s="0" t="n">
        <f aca="false">W_PH(AI$2,$A582)</f>
        <v>2015</v>
      </c>
      <c r="AJ582" s="0" t="n">
        <f aca="false">W_PH(AJ$2,$A582)</f>
        <v>2015</v>
      </c>
      <c r="AK582" s="0" t="n">
        <f aca="false">W_PH(AK$2,$A582)</f>
        <v>2015</v>
      </c>
      <c r="AL582" s="0" t="n">
        <f aca="false">W_PH(AL$2,$A582)</f>
        <v>2015</v>
      </c>
      <c r="AM582" s="0" t="n">
        <f aca="false">W_PH(AM$2,$A582)</f>
        <v>2015</v>
      </c>
      <c r="AN582" s="0" t="n">
        <f aca="false">W_PH(AN$2,$A582)</f>
        <v>2015</v>
      </c>
      <c r="AO582" s="0" t="n">
        <f aca="false">W_PH(AO$2,$A582)</f>
        <v>2015</v>
      </c>
      <c r="AP582" s="0" t="n">
        <f aca="false">W_PH(AP$2,$A582)</f>
        <v>2015</v>
      </c>
      <c r="AQ582" s="0" t="n">
        <f aca="false">W_PH(AQ$2,$A582)</f>
        <v>2015</v>
      </c>
      <c r="AR582" s="0" t="n">
        <f aca="false">W_PH(AR$2,$A582)</f>
        <v>2015</v>
      </c>
      <c r="AS582" s="0" t="n">
        <f aca="false">W_PH(AS$2,$A582)</f>
        <v>2015</v>
      </c>
    </row>
    <row r="583" customFormat="false" ht="13.8" hidden="false" customHeight="false" outlineLevel="0" collapsed="false">
      <c r="A583" s="0" t="n">
        <v>7430</v>
      </c>
      <c r="B583" s="0" t="n">
        <f aca="false">W_PH(B$2,$A583)</f>
        <v>2015</v>
      </c>
      <c r="C583" s="0" t="n">
        <f aca="false">W_PH(C$2,$A583)</f>
        <v>2015</v>
      </c>
      <c r="D583" s="0" t="n">
        <f aca="false">W_PH(D$2,$A583)</f>
        <v>2015</v>
      </c>
      <c r="E583" s="0" t="n">
        <f aca="false">W_PH(E$2,$A583)</f>
        <v>2015</v>
      </c>
      <c r="F583" s="0" t="n">
        <f aca="false">W_PH(F$2,$A583)</f>
        <v>2015</v>
      </c>
      <c r="G583" s="0" t="n">
        <f aca="false">W_PH(G$2,$A583)</f>
        <v>2015</v>
      </c>
      <c r="H583" s="0" t="n">
        <f aca="false">W_PH(H$2,$A583)</f>
        <v>2015</v>
      </c>
      <c r="I583" s="0" t="n">
        <f aca="false">W_PH(I$2,$A583)</f>
        <v>2015</v>
      </c>
      <c r="J583" s="0" t="n">
        <f aca="false">W_PH(J$2,$A583)</f>
        <v>2015</v>
      </c>
      <c r="K583" s="0" t="n">
        <f aca="false">W_PH(K$2,$A583)</f>
        <v>2015</v>
      </c>
      <c r="L583" s="0" t="n">
        <f aca="false">W_PH(L$2,$A583)</f>
        <v>2015</v>
      </c>
      <c r="M583" s="0" t="n">
        <f aca="false">W_PH(M$2,$A583)</f>
        <v>2015</v>
      </c>
      <c r="N583" s="0" t="n">
        <f aca="false">W_PH(N$2,$A583)</f>
        <v>2015</v>
      </c>
      <c r="O583" s="0" t="n">
        <f aca="false">W_PH(O$2,$A583)</f>
        <v>2015</v>
      </c>
      <c r="P583" s="0" t="n">
        <f aca="false">W_PH(P$2,$A583)</f>
        <v>2015</v>
      </c>
      <c r="Q583" s="0" t="n">
        <f aca="false">W_PH(Q$2,$A583)</f>
        <v>2015</v>
      </c>
      <c r="R583" s="0" t="n">
        <f aca="false">W_PH(R$2,$A583)</f>
        <v>2015</v>
      </c>
      <c r="S583" s="0" t="n">
        <f aca="false">W_PH(S$2,$A583)</f>
        <v>2015</v>
      </c>
      <c r="T583" s="0" t="n">
        <f aca="false">W_PH(T$2,$A583)</f>
        <v>2015</v>
      </c>
      <c r="U583" s="0" t="n">
        <f aca="false">W_PH(U$2,$A583)</f>
        <v>2015</v>
      </c>
      <c r="V583" s="0" t="n">
        <f aca="false">W_PH(V$2,$A583)</f>
        <v>2015</v>
      </c>
      <c r="W583" s="0" t="n">
        <f aca="false">W_PH(W$2,$A583)</f>
        <v>2015</v>
      </c>
      <c r="X583" s="0" t="n">
        <f aca="false">W_PH(X$2,$A583)</f>
        <v>2015</v>
      </c>
      <c r="Y583" s="0" t="n">
        <f aca="false">W_PH(Y$2,$A583)</f>
        <v>2015</v>
      </c>
      <c r="Z583" s="0" t="n">
        <f aca="false">W_PH(Z$2,$A583)</f>
        <v>2015</v>
      </c>
      <c r="AA583" s="0" t="n">
        <f aca="false">W_PH(AA$2,$A583)</f>
        <v>2015</v>
      </c>
      <c r="AB583" s="0" t="n">
        <f aca="false">W_PH(AB$2,$A583)</f>
        <v>2015</v>
      </c>
      <c r="AC583" s="0" t="n">
        <f aca="false">W_PH(AC$2,$A583)</f>
        <v>2015</v>
      </c>
      <c r="AD583" s="0" t="n">
        <f aca="false">W_PH(AD$2,$A583)</f>
        <v>2015</v>
      </c>
      <c r="AE583" s="0" t="n">
        <f aca="false">W_PH(AE$2,$A583)</f>
        <v>2015</v>
      </c>
      <c r="AF583" s="0" t="n">
        <f aca="false">W_PH(AF$2,$A583)</f>
        <v>2015</v>
      </c>
      <c r="AG583" s="0" t="n">
        <f aca="false">W_PH(AG$2,$A583)</f>
        <v>2015</v>
      </c>
      <c r="AH583" s="0" t="n">
        <f aca="false">W_PH(AH$2,$A583)</f>
        <v>2015</v>
      </c>
      <c r="AI583" s="0" t="n">
        <f aca="false">W_PH(AI$2,$A583)</f>
        <v>2015</v>
      </c>
      <c r="AJ583" s="0" t="n">
        <f aca="false">W_PH(AJ$2,$A583)</f>
        <v>2015</v>
      </c>
      <c r="AK583" s="0" t="n">
        <f aca="false">W_PH(AK$2,$A583)</f>
        <v>2015</v>
      </c>
      <c r="AL583" s="0" t="n">
        <f aca="false">W_PH(AL$2,$A583)</f>
        <v>2015</v>
      </c>
      <c r="AM583" s="0" t="n">
        <f aca="false">W_PH(AM$2,$A583)</f>
        <v>2015</v>
      </c>
      <c r="AN583" s="0" t="n">
        <f aca="false">W_PH(AN$2,$A583)</f>
        <v>2015</v>
      </c>
      <c r="AO583" s="0" t="n">
        <f aca="false">W_PH(AO$2,$A583)</f>
        <v>2015</v>
      </c>
      <c r="AP583" s="0" t="n">
        <f aca="false">W_PH(AP$2,$A583)</f>
        <v>2015</v>
      </c>
      <c r="AQ583" s="0" t="n">
        <f aca="false">W_PH(AQ$2,$A583)</f>
        <v>2015</v>
      </c>
      <c r="AR583" s="0" t="n">
        <f aca="false">W_PH(AR$2,$A583)</f>
        <v>2015</v>
      </c>
      <c r="AS583" s="0" t="n">
        <f aca="false">W_PH(AS$2,$A583)</f>
        <v>2015</v>
      </c>
    </row>
    <row r="584" customFormat="false" ht="13.8" hidden="false" customHeight="false" outlineLevel="0" collapsed="false">
      <c r="A584" s="0" t="n">
        <v>7440</v>
      </c>
      <c r="B584" s="0" t="n">
        <f aca="false">W_PH(B$2,$A584)</f>
        <v>2015</v>
      </c>
      <c r="C584" s="0" t="n">
        <f aca="false">W_PH(C$2,$A584)</f>
        <v>2015</v>
      </c>
      <c r="D584" s="0" t="n">
        <f aca="false">W_PH(D$2,$A584)</f>
        <v>2015</v>
      </c>
      <c r="E584" s="0" t="n">
        <f aca="false">W_PH(E$2,$A584)</f>
        <v>2015</v>
      </c>
      <c r="F584" s="0" t="n">
        <f aca="false">W_PH(F$2,$A584)</f>
        <v>2015</v>
      </c>
      <c r="G584" s="0" t="n">
        <f aca="false">W_PH(G$2,$A584)</f>
        <v>2015</v>
      </c>
      <c r="H584" s="0" t="n">
        <f aca="false">W_PH(H$2,$A584)</f>
        <v>2015</v>
      </c>
      <c r="I584" s="0" t="n">
        <f aca="false">W_PH(I$2,$A584)</f>
        <v>2015</v>
      </c>
      <c r="J584" s="0" t="n">
        <f aca="false">W_PH(J$2,$A584)</f>
        <v>2015</v>
      </c>
      <c r="K584" s="0" t="n">
        <f aca="false">W_PH(K$2,$A584)</f>
        <v>2015</v>
      </c>
      <c r="L584" s="0" t="n">
        <f aca="false">W_PH(L$2,$A584)</f>
        <v>2015</v>
      </c>
      <c r="M584" s="0" t="n">
        <f aca="false">W_PH(M$2,$A584)</f>
        <v>2015</v>
      </c>
      <c r="N584" s="0" t="n">
        <f aca="false">W_PH(N$2,$A584)</f>
        <v>2015</v>
      </c>
      <c r="O584" s="0" t="n">
        <f aca="false">W_PH(O$2,$A584)</f>
        <v>2015</v>
      </c>
      <c r="P584" s="0" t="n">
        <f aca="false">W_PH(P$2,$A584)</f>
        <v>2015</v>
      </c>
      <c r="Q584" s="0" t="n">
        <f aca="false">W_PH(Q$2,$A584)</f>
        <v>2015</v>
      </c>
      <c r="R584" s="0" t="n">
        <f aca="false">W_PH(R$2,$A584)</f>
        <v>2015</v>
      </c>
      <c r="S584" s="0" t="n">
        <f aca="false">W_PH(S$2,$A584)</f>
        <v>2015</v>
      </c>
      <c r="T584" s="0" t="n">
        <f aca="false">W_PH(T$2,$A584)</f>
        <v>2015</v>
      </c>
      <c r="U584" s="0" t="n">
        <f aca="false">W_PH(U$2,$A584)</f>
        <v>2015</v>
      </c>
      <c r="V584" s="0" t="n">
        <f aca="false">W_PH(V$2,$A584)</f>
        <v>2015</v>
      </c>
      <c r="W584" s="0" t="n">
        <f aca="false">W_PH(W$2,$A584)</f>
        <v>2015</v>
      </c>
      <c r="X584" s="0" t="n">
        <f aca="false">W_PH(X$2,$A584)</f>
        <v>2015</v>
      </c>
      <c r="Y584" s="0" t="n">
        <f aca="false">W_PH(Y$2,$A584)</f>
        <v>2015</v>
      </c>
      <c r="Z584" s="0" t="n">
        <f aca="false">W_PH(Z$2,$A584)</f>
        <v>2015</v>
      </c>
      <c r="AA584" s="0" t="n">
        <f aca="false">W_PH(AA$2,$A584)</f>
        <v>2015</v>
      </c>
      <c r="AB584" s="0" t="n">
        <f aca="false">W_PH(AB$2,$A584)</f>
        <v>2015</v>
      </c>
      <c r="AC584" s="0" t="n">
        <f aca="false">W_PH(AC$2,$A584)</f>
        <v>2015</v>
      </c>
      <c r="AD584" s="0" t="n">
        <f aca="false">W_PH(AD$2,$A584)</f>
        <v>2015</v>
      </c>
      <c r="AE584" s="0" t="n">
        <f aca="false">W_PH(AE$2,$A584)</f>
        <v>2015</v>
      </c>
      <c r="AF584" s="0" t="n">
        <f aca="false">W_PH(AF$2,$A584)</f>
        <v>2015</v>
      </c>
      <c r="AG584" s="0" t="n">
        <f aca="false">W_PH(AG$2,$A584)</f>
        <v>2015</v>
      </c>
      <c r="AH584" s="0" t="n">
        <f aca="false">W_PH(AH$2,$A584)</f>
        <v>2015</v>
      </c>
      <c r="AI584" s="0" t="n">
        <f aca="false">W_PH(AI$2,$A584)</f>
        <v>2015</v>
      </c>
      <c r="AJ584" s="0" t="n">
        <f aca="false">W_PH(AJ$2,$A584)</f>
        <v>2015</v>
      </c>
      <c r="AK584" s="0" t="n">
        <f aca="false">W_PH(AK$2,$A584)</f>
        <v>2015</v>
      </c>
      <c r="AL584" s="0" t="n">
        <f aca="false">W_PH(AL$2,$A584)</f>
        <v>2015</v>
      </c>
      <c r="AM584" s="0" t="n">
        <f aca="false">W_PH(AM$2,$A584)</f>
        <v>2015</v>
      </c>
      <c r="AN584" s="0" t="n">
        <f aca="false">W_PH(AN$2,$A584)</f>
        <v>2015</v>
      </c>
      <c r="AO584" s="0" t="n">
        <f aca="false">W_PH(AO$2,$A584)</f>
        <v>2015</v>
      </c>
      <c r="AP584" s="0" t="n">
        <f aca="false">W_PH(AP$2,$A584)</f>
        <v>2015</v>
      </c>
      <c r="AQ584" s="0" t="n">
        <f aca="false">W_PH(AQ$2,$A584)</f>
        <v>2015</v>
      </c>
      <c r="AR584" s="0" t="n">
        <f aca="false">W_PH(AR$2,$A584)</f>
        <v>2015</v>
      </c>
      <c r="AS584" s="0" t="n">
        <f aca="false">W_PH(AS$2,$A584)</f>
        <v>2015</v>
      </c>
    </row>
    <row r="585" customFormat="false" ht="13.8" hidden="false" customHeight="false" outlineLevel="0" collapsed="false">
      <c r="A585" s="0" t="n">
        <v>7450</v>
      </c>
      <c r="B585" s="0" t="n">
        <f aca="false">W_PH(B$2,$A585)</f>
        <v>2015</v>
      </c>
      <c r="C585" s="0" t="n">
        <f aca="false">W_PH(C$2,$A585)</f>
        <v>2015</v>
      </c>
      <c r="D585" s="0" t="n">
        <f aca="false">W_PH(D$2,$A585)</f>
        <v>2015</v>
      </c>
      <c r="E585" s="0" t="n">
        <f aca="false">W_PH(E$2,$A585)</f>
        <v>2015</v>
      </c>
      <c r="F585" s="0" t="n">
        <f aca="false">W_PH(F$2,$A585)</f>
        <v>2015</v>
      </c>
      <c r="G585" s="0" t="n">
        <f aca="false">W_PH(G$2,$A585)</f>
        <v>2015</v>
      </c>
      <c r="H585" s="0" t="n">
        <f aca="false">W_PH(H$2,$A585)</f>
        <v>2015</v>
      </c>
      <c r="I585" s="0" t="n">
        <f aca="false">W_PH(I$2,$A585)</f>
        <v>2015</v>
      </c>
      <c r="J585" s="0" t="n">
        <f aca="false">W_PH(J$2,$A585)</f>
        <v>2015</v>
      </c>
      <c r="K585" s="0" t="n">
        <f aca="false">W_PH(K$2,$A585)</f>
        <v>2015</v>
      </c>
      <c r="L585" s="0" t="n">
        <f aca="false">W_PH(L$2,$A585)</f>
        <v>2015</v>
      </c>
      <c r="M585" s="0" t="n">
        <f aca="false">W_PH(M$2,$A585)</f>
        <v>2015</v>
      </c>
      <c r="N585" s="0" t="n">
        <f aca="false">W_PH(N$2,$A585)</f>
        <v>2015</v>
      </c>
      <c r="O585" s="0" t="n">
        <f aca="false">W_PH(O$2,$A585)</f>
        <v>2015</v>
      </c>
      <c r="P585" s="0" t="n">
        <f aca="false">W_PH(P$2,$A585)</f>
        <v>2015</v>
      </c>
      <c r="Q585" s="0" t="n">
        <f aca="false">W_PH(Q$2,$A585)</f>
        <v>2015</v>
      </c>
      <c r="R585" s="0" t="n">
        <f aca="false">W_PH(R$2,$A585)</f>
        <v>2015</v>
      </c>
      <c r="S585" s="0" t="n">
        <f aca="false">W_PH(S$2,$A585)</f>
        <v>2015</v>
      </c>
      <c r="T585" s="0" t="n">
        <f aca="false">W_PH(T$2,$A585)</f>
        <v>2015</v>
      </c>
      <c r="U585" s="0" t="n">
        <f aca="false">W_PH(U$2,$A585)</f>
        <v>2015</v>
      </c>
      <c r="V585" s="0" t="n">
        <f aca="false">W_PH(V$2,$A585)</f>
        <v>2015</v>
      </c>
      <c r="W585" s="0" t="n">
        <f aca="false">W_PH(W$2,$A585)</f>
        <v>2015</v>
      </c>
      <c r="X585" s="0" t="n">
        <f aca="false">W_PH(X$2,$A585)</f>
        <v>2015</v>
      </c>
      <c r="Y585" s="0" t="n">
        <f aca="false">W_PH(Y$2,$A585)</f>
        <v>2015</v>
      </c>
      <c r="Z585" s="0" t="n">
        <f aca="false">W_PH(Z$2,$A585)</f>
        <v>2015</v>
      </c>
      <c r="AA585" s="0" t="n">
        <f aca="false">W_PH(AA$2,$A585)</f>
        <v>2015</v>
      </c>
      <c r="AB585" s="0" t="n">
        <f aca="false">W_PH(AB$2,$A585)</f>
        <v>2015</v>
      </c>
      <c r="AC585" s="0" t="n">
        <f aca="false">W_PH(AC$2,$A585)</f>
        <v>2015</v>
      </c>
      <c r="AD585" s="0" t="n">
        <f aca="false">W_PH(AD$2,$A585)</f>
        <v>2015</v>
      </c>
      <c r="AE585" s="0" t="n">
        <f aca="false">W_PH(AE$2,$A585)</f>
        <v>2015</v>
      </c>
      <c r="AF585" s="0" t="n">
        <f aca="false">W_PH(AF$2,$A585)</f>
        <v>2015</v>
      </c>
      <c r="AG585" s="0" t="n">
        <f aca="false">W_PH(AG$2,$A585)</f>
        <v>2015</v>
      </c>
      <c r="AH585" s="0" t="n">
        <f aca="false">W_PH(AH$2,$A585)</f>
        <v>2015</v>
      </c>
      <c r="AI585" s="0" t="n">
        <f aca="false">W_PH(AI$2,$A585)</f>
        <v>2015</v>
      </c>
      <c r="AJ585" s="0" t="n">
        <f aca="false">W_PH(AJ$2,$A585)</f>
        <v>2015</v>
      </c>
      <c r="AK585" s="0" t="n">
        <f aca="false">W_PH(AK$2,$A585)</f>
        <v>2015</v>
      </c>
      <c r="AL585" s="0" t="n">
        <f aca="false">W_PH(AL$2,$A585)</f>
        <v>2015</v>
      </c>
      <c r="AM585" s="0" t="n">
        <f aca="false">W_PH(AM$2,$A585)</f>
        <v>2015</v>
      </c>
      <c r="AN585" s="0" t="n">
        <f aca="false">W_PH(AN$2,$A585)</f>
        <v>2015</v>
      </c>
      <c r="AO585" s="0" t="n">
        <f aca="false">W_PH(AO$2,$A585)</f>
        <v>2015</v>
      </c>
      <c r="AP585" s="0" t="n">
        <f aca="false">W_PH(AP$2,$A585)</f>
        <v>2015</v>
      </c>
      <c r="AQ585" s="0" t="n">
        <f aca="false">W_PH(AQ$2,$A585)</f>
        <v>2015</v>
      </c>
      <c r="AR585" s="0" t="n">
        <f aca="false">W_PH(AR$2,$A585)</f>
        <v>2015</v>
      </c>
      <c r="AS585" s="0" t="n">
        <f aca="false">W_PH(AS$2,$A585)</f>
        <v>2015</v>
      </c>
    </row>
    <row r="586" customFormat="false" ht="13.8" hidden="false" customHeight="false" outlineLevel="0" collapsed="false">
      <c r="A586" s="0" t="n">
        <v>7460</v>
      </c>
      <c r="B586" s="0" t="n">
        <f aca="false">W_PH(B$2,$A586)</f>
        <v>2015</v>
      </c>
      <c r="C586" s="0" t="n">
        <f aca="false">W_PH(C$2,$A586)</f>
        <v>2015</v>
      </c>
      <c r="D586" s="0" t="n">
        <f aca="false">W_PH(D$2,$A586)</f>
        <v>2015</v>
      </c>
      <c r="E586" s="0" t="n">
        <f aca="false">W_PH(E$2,$A586)</f>
        <v>2015</v>
      </c>
      <c r="F586" s="0" t="n">
        <f aca="false">W_PH(F$2,$A586)</f>
        <v>2015</v>
      </c>
      <c r="G586" s="0" t="n">
        <f aca="false">W_PH(G$2,$A586)</f>
        <v>2015</v>
      </c>
      <c r="H586" s="0" t="n">
        <f aca="false">W_PH(H$2,$A586)</f>
        <v>2015</v>
      </c>
      <c r="I586" s="0" t="n">
        <f aca="false">W_PH(I$2,$A586)</f>
        <v>2015</v>
      </c>
      <c r="J586" s="0" t="n">
        <f aca="false">W_PH(J$2,$A586)</f>
        <v>2015</v>
      </c>
      <c r="K586" s="0" t="n">
        <f aca="false">W_PH(K$2,$A586)</f>
        <v>2015</v>
      </c>
      <c r="L586" s="0" t="n">
        <f aca="false">W_PH(L$2,$A586)</f>
        <v>2015</v>
      </c>
      <c r="M586" s="0" t="n">
        <f aca="false">W_PH(M$2,$A586)</f>
        <v>2015</v>
      </c>
      <c r="N586" s="0" t="n">
        <f aca="false">W_PH(N$2,$A586)</f>
        <v>2015</v>
      </c>
      <c r="O586" s="0" t="n">
        <f aca="false">W_PH(O$2,$A586)</f>
        <v>2015</v>
      </c>
      <c r="P586" s="0" t="n">
        <f aca="false">W_PH(P$2,$A586)</f>
        <v>2015</v>
      </c>
      <c r="Q586" s="0" t="n">
        <f aca="false">W_PH(Q$2,$A586)</f>
        <v>2015</v>
      </c>
      <c r="R586" s="0" t="n">
        <f aca="false">W_PH(R$2,$A586)</f>
        <v>2015</v>
      </c>
      <c r="S586" s="0" t="n">
        <f aca="false">W_PH(S$2,$A586)</f>
        <v>2015</v>
      </c>
      <c r="T586" s="0" t="n">
        <f aca="false">W_PH(T$2,$A586)</f>
        <v>2015</v>
      </c>
      <c r="U586" s="0" t="n">
        <f aca="false">W_PH(U$2,$A586)</f>
        <v>2015</v>
      </c>
      <c r="V586" s="0" t="n">
        <f aca="false">W_PH(V$2,$A586)</f>
        <v>2015</v>
      </c>
      <c r="W586" s="0" t="n">
        <f aca="false">W_PH(W$2,$A586)</f>
        <v>2015</v>
      </c>
      <c r="X586" s="0" t="n">
        <f aca="false">W_PH(X$2,$A586)</f>
        <v>2015</v>
      </c>
      <c r="Y586" s="0" t="n">
        <f aca="false">W_PH(Y$2,$A586)</f>
        <v>2015</v>
      </c>
      <c r="Z586" s="0" t="n">
        <f aca="false">W_PH(Z$2,$A586)</f>
        <v>2015</v>
      </c>
      <c r="AA586" s="0" t="n">
        <f aca="false">W_PH(AA$2,$A586)</f>
        <v>2015</v>
      </c>
      <c r="AB586" s="0" t="n">
        <f aca="false">W_PH(AB$2,$A586)</f>
        <v>2015</v>
      </c>
      <c r="AC586" s="0" t="n">
        <f aca="false">W_PH(AC$2,$A586)</f>
        <v>2015</v>
      </c>
      <c r="AD586" s="0" t="n">
        <f aca="false">W_PH(AD$2,$A586)</f>
        <v>2015</v>
      </c>
      <c r="AE586" s="0" t="n">
        <f aca="false">W_PH(AE$2,$A586)</f>
        <v>2015</v>
      </c>
      <c r="AF586" s="0" t="n">
        <f aca="false">W_PH(AF$2,$A586)</f>
        <v>2015</v>
      </c>
      <c r="AG586" s="0" t="n">
        <f aca="false">W_PH(AG$2,$A586)</f>
        <v>2015</v>
      </c>
      <c r="AH586" s="0" t="n">
        <f aca="false">W_PH(AH$2,$A586)</f>
        <v>2015</v>
      </c>
      <c r="AI586" s="0" t="n">
        <f aca="false">W_PH(AI$2,$A586)</f>
        <v>2015</v>
      </c>
      <c r="AJ586" s="0" t="n">
        <f aca="false">W_PH(AJ$2,$A586)</f>
        <v>2015</v>
      </c>
      <c r="AK586" s="0" t="n">
        <f aca="false">W_PH(AK$2,$A586)</f>
        <v>2015</v>
      </c>
      <c r="AL586" s="0" t="n">
        <f aca="false">W_PH(AL$2,$A586)</f>
        <v>2015</v>
      </c>
      <c r="AM586" s="0" t="n">
        <f aca="false">W_PH(AM$2,$A586)</f>
        <v>2015</v>
      </c>
      <c r="AN586" s="0" t="n">
        <f aca="false">W_PH(AN$2,$A586)</f>
        <v>2015</v>
      </c>
      <c r="AO586" s="0" t="n">
        <f aca="false">W_PH(AO$2,$A586)</f>
        <v>2015</v>
      </c>
      <c r="AP586" s="0" t="n">
        <f aca="false">W_PH(AP$2,$A586)</f>
        <v>2015</v>
      </c>
      <c r="AQ586" s="0" t="n">
        <f aca="false">W_PH(AQ$2,$A586)</f>
        <v>2015</v>
      </c>
      <c r="AR586" s="0" t="n">
        <f aca="false">W_PH(AR$2,$A586)</f>
        <v>2015</v>
      </c>
      <c r="AS586" s="0" t="n">
        <f aca="false">W_PH(AS$2,$A586)</f>
        <v>2015</v>
      </c>
    </row>
    <row r="587" customFormat="false" ht="13.8" hidden="false" customHeight="false" outlineLevel="0" collapsed="false">
      <c r="A587" s="0" t="n">
        <v>7470</v>
      </c>
      <c r="B587" s="0" t="n">
        <f aca="false">W_PH(B$2,$A587)</f>
        <v>2015</v>
      </c>
      <c r="C587" s="0" t="n">
        <f aca="false">W_PH(C$2,$A587)</f>
        <v>2015</v>
      </c>
      <c r="D587" s="0" t="n">
        <f aca="false">W_PH(D$2,$A587)</f>
        <v>2015</v>
      </c>
      <c r="E587" s="0" t="n">
        <f aca="false">W_PH(E$2,$A587)</f>
        <v>2015</v>
      </c>
      <c r="F587" s="0" t="n">
        <f aca="false">W_PH(F$2,$A587)</f>
        <v>2015</v>
      </c>
      <c r="G587" s="0" t="n">
        <f aca="false">W_PH(G$2,$A587)</f>
        <v>2015</v>
      </c>
      <c r="H587" s="0" t="n">
        <f aca="false">W_PH(H$2,$A587)</f>
        <v>2015</v>
      </c>
      <c r="I587" s="0" t="n">
        <f aca="false">W_PH(I$2,$A587)</f>
        <v>2015</v>
      </c>
      <c r="J587" s="0" t="n">
        <f aca="false">W_PH(J$2,$A587)</f>
        <v>2015</v>
      </c>
      <c r="K587" s="0" t="n">
        <f aca="false">W_PH(K$2,$A587)</f>
        <v>2015</v>
      </c>
      <c r="L587" s="0" t="n">
        <f aca="false">W_PH(L$2,$A587)</f>
        <v>2015</v>
      </c>
      <c r="M587" s="0" t="n">
        <f aca="false">W_PH(M$2,$A587)</f>
        <v>2015</v>
      </c>
      <c r="N587" s="0" t="n">
        <f aca="false">W_PH(N$2,$A587)</f>
        <v>2015</v>
      </c>
      <c r="O587" s="0" t="n">
        <f aca="false">W_PH(O$2,$A587)</f>
        <v>2015</v>
      </c>
      <c r="P587" s="0" t="n">
        <f aca="false">W_PH(P$2,$A587)</f>
        <v>2015</v>
      </c>
      <c r="Q587" s="0" t="n">
        <f aca="false">W_PH(Q$2,$A587)</f>
        <v>2015</v>
      </c>
      <c r="R587" s="0" t="n">
        <f aca="false">W_PH(R$2,$A587)</f>
        <v>2015</v>
      </c>
      <c r="S587" s="0" t="n">
        <f aca="false">W_PH(S$2,$A587)</f>
        <v>2015</v>
      </c>
      <c r="T587" s="0" t="n">
        <f aca="false">W_PH(T$2,$A587)</f>
        <v>2015</v>
      </c>
      <c r="U587" s="0" t="n">
        <f aca="false">W_PH(U$2,$A587)</f>
        <v>2015</v>
      </c>
      <c r="V587" s="0" t="n">
        <f aca="false">W_PH(V$2,$A587)</f>
        <v>2015</v>
      </c>
      <c r="W587" s="0" t="n">
        <f aca="false">W_PH(W$2,$A587)</f>
        <v>2015</v>
      </c>
      <c r="X587" s="0" t="n">
        <f aca="false">W_PH(X$2,$A587)</f>
        <v>2015</v>
      </c>
      <c r="Y587" s="0" t="n">
        <f aca="false">W_PH(Y$2,$A587)</f>
        <v>2015</v>
      </c>
      <c r="Z587" s="0" t="n">
        <f aca="false">W_PH(Z$2,$A587)</f>
        <v>2015</v>
      </c>
      <c r="AA587" s="0" t="n">
        <f aca="false">W_PH(AA$2,$A587)</f>
        <v>2015</v>
      </c>
      <c r="AB587" s="0" t="n">
        <f aca="false">W_PH(AB$2,$A587)</f>
        <v>2015</v>
      </c>
      <c r="AC587" s="0" t="n">
        <f aca="false">W_PH(AC$2,$A587)</f>
        <v>2015</v>
      </c>
      <c r="AD587" s="0" t="n">
        <f aca="false">W_PH(AD$2,$A587)</f>
        <v>2015</v>
      </c>
      <c r="AE587" s="0" t="n">
        <f aca="false">W_PH(AE$2,$A587)</f>
        <v>2015</v>
      </c>
      <c r="AF587" s="0" t="n">
        <f aca="false">W_PH(AF$2,$A587)</f>
        <v>2015</v>
      </c>
      <c r="AG587" s="0" t="n">
        <f aca="false">W_PH(AG$2,$A587)</f>
        <v>2015</v>
      </c>
      <c r="AH587" s="0" t="n">
        <f aca="false">W_PH(AH$2,$A587)</f>
        <v>2015</v>
      </c>
      <c r="AI587" s="0" t="n">
        <f aca="false">W_PH(AI$2,$A587)</f>
        <v>2015</v>
      </c>
      <c r="AJ587" s="0" t="n">
        <f aca="false">W_PH(AJ$2,$A587)</f>
        <v>2015</v>
      </c>
      <c r="AK587" s="0" t="n">
        <f aca="false">W_PH(AK$2,$A587)</f>
        <v>2015</v>
      </c>
      <c r="AL587" s="0" t="n">
        <f aca="false">W_PH(AL$2,$A587)</f>
        <v>2015</v>
      </c>
      <c r="AM587" s="0" t="n">
        <f aca="false">W_PH(AM$2,$A587)</f>
        <v>2015</v>
      </c>
      <c r="AN587" s="0" t="n">
        <f aca="false">W_PH(AN$2,$A587)</f>
        <v>2015</v>
      </c>
      <c r="AO587" s="0" t="n">
        <f aca="false">W_PH(AO$2,$A587)</f>
        <v>2015</v>
      </c>
      <c r="AP587" s="0" t="n">
        <f aca="false">W_PH(AP$2,$A587)</f>
        <v>2015</v>
      </c>
      <c r="AQ587" s="0" t="n">
        <f aca="false">W_PH(AQ$2,$A587)</f>
        <v>2015</v>
      </c>
      <c r="AR587" s="0" t="n">
        <f aca="false">W_PH(AR$2,$A587)</f>
        <v>2015</v>
      </c>
      <c r="AS587" s="0" t="n">
        <f aca="false">W_PH(AS$2,$A587)</f>
        <v>2015</v>
      </c>
    </row>
    <row r="588" customFormat="false" ht="13.8" hidden="false" customHeight="false" outlineLevel="0" collapsed="false">
      <c r="A588" s="0" t="n">
        <v>7480</v>
      </c>
      <c r="B588" s="0" t="n">
        <f aca="false">W_PH(B$2,$A588)</f>
        <v>2015</v>
      </c>
      <c r="C588" s="0" t="n">
        <f aca="false">W_PH(C$2,$A588)</f>
        <v>2015</v>
      </c>
      <c r="D588" s="0" t="n">
        <f aca="false">W_PH(D$2,$A588)</f>
        <v>2015</v>
      </c>
      <c r="E588" s="0" t="n">
        <f aca="false">W_PH(E$2,$A588)</f>
        <v>2015</v>
      </c>
      <c r="F588" s="0" t="n">
        <f aca="false">W_PH(F$2,$A588)</f>
        <v>2015</v>
      </c>
      <c r="G588" s="0" t="n">
        <f aca="false">W_PH(G$2,$A588)</f>
        <v>2015</v>
      </c>
      <c r="H588" s="0" t="n">
        <f aca="false">W_PH(H$2,$A588)</f>
        <v>2015</v>
      </c>
      <c r="I588" s="0" t="n">
        <f aca="false">W_PH(I$2,$A588)</f>
        <v>2015</v>
      </c>
      <c r="J588" s="0" t="n">
        <f aca="false">W_PH(J$2,$A588)</f>
        <v>2015</v>
      </c>
      <c r="K588" s="0" t="n">
        <f aca="false">W_PH(K$2,$A588)</f>
        <v>2015</v>
      </c>
      <c r="L588" s="0" t="n">
        <f aca="false">W_PH(L$2,$A588)</f>
        <v>2015</v>
      </c>
      <c r="M588" s="0" t="n">
        <f aca="false">W_PH(M$2,$A588)</f>
        <v>2015</v>
      </c>
      <c r="N588" s="0" t="n">
        <f aca="false">W_PH(N$2,$A588)</f>
        <v>2015</v>
      </c>
      <c r="O588" s="0" t="n">
        <f aca="false">W_PH(O$2,$A588)</f>
        <v>2015</v>
      </c>
      <c r="P588" s="0" t="n">
        <f aca="false">W_PH(P$2,$A588)</f>
        <v>2015</v>
      </c>
      <c r="Q588" s="0" t="n">
        <f aca="false">W_PH(Q$2,$A588)</f>
        <v>2015</v>
      </c>
      <c r="R588" s="0" t="n">
        <f aca="false">W_PH(R$2,$A588)</f>
        <v>2015</v>
      </c>
      <c r="S588" s="0" t="n">
        <f aca="false">W_PH(S$2,$A588)</f>
        <v>2015</v>
      </c>
      <c r="T588" s="0" t="n">
        <f aca="false">W_PH(T$2,$A588)</f>
        <v>2015</v>
      </c>
      <c r="U588" s="0" t="n">
        <f aca="false">W_PH(U$2,$A588)</f>
        <v>2015</v>
      </c>
      <c r="V588" s="0" t="n">
        <f aca="false">W_PH(V$2,$A588)</f>
        <v>2015</v>
      </c>
      <c r="W588" s="0" t="n">
        <f aca="false">W_PH(W$2,$A588)</f>
        <v>2015</v>
      </c>
      <c r="X588" s="0" t="n">
        <f aca="false">W_PH(X$2,$A588)</f>
        <v>2015</v>
      </c>
      <c r="Y588" s="0" t="n">
        <f aca="false">W_PH(Y$2,$A588)</f>
        <v>2015</v>
      </c>
      <c r="Z588" s="0" t="n">
        <f aca="false">W_PH(Z$2,$A588)</f>
        <v>2015</v>
      </c>
      <c r="AA588" s="0" t="n">
        <f aca="false">W_PH(AA$2,$A588)</f>
        <v>2015</v>
      </c>
      <c r="AB588" s="0" t="n">
        <f aca="false">W_PH(AB$2,$A588)</f>
        <v>2015</v>
      </c>
      <c r="AC588" s="0" t="n">
        <f aca="false">W_PH(AC$2,$A588)</f>
        <v>2015</v>
      </c>
      <c r="AD588" s="0" t="n">
        <f aca="false">W_PH(AD$2,$A588)</f>
        <v>2015</v>
      </c>
      <c r="AE588" s="0" t="n">
        <f aca="false">W_PH(AE$2,$A588)</f>
        <v>2015</v>
      </c>
      <c r="AF588" s="0" t="n">
        <f aca="false">W_PH(AF$2,$A588)</f>
        <v>2015</v>
      </c>
      <c r="AG588" s="0" t="n">
        <f aca="false">W_PH(AG$2,$A588)</f>
        <v>2015</v>
      </c>
      <c r="AH588" s="0" t="n">
        <f aca="false">W_PH(AH$2,$A588)</f>
        <v>2015</v>
      </c>
      <c r="AI588" s="0" t="n">
        <f aca="false">W_PH(AI$2,$A588)</f>
        <v>2015</v>
      </c>
      <c r="AJ588" s="0" t="n">
        <f aca="false">W_PH(AJ$2,$A588)</f>
        <v>2015</v>
      </c>
      <c r="AK588" s="0" t="n">
        <f aca="false">W_PH(AK$2,$A588)</f>
        <v>2015</v>
      </c>
      <c r="AL588" s="0" t="n">
        <f aca="false">W_PH(AL$2,$A588)</f>
        <v>2015</v>
      </c>
      <c r="AM588" s="0" t="n">
        <f aca="false">W_PH(AM$2,$A588)</f>
        <v>2015</v>
      </c>
      <c r="AN588" s="0" t="n">
        <f aca="false">W_PH(AN$2,$A588)</f>
        <v>2015</v>
      </c>
      <c r="AO588" s="0" t="n">
        <f aca="false">W_PH(AO$2,$A588)</f>
        <v>2015</v>
      </c>
      <c r="AP588" s="0" t="n">
        <f aca="false">W_PH(AP$2,$A588)</f>
        <v>2015</v>
      </c>
      <c r="AQ588" s="0" t="n">
        <f aca="false">W_PH(AQ$2,$A588)</f>
        <v>2015</v>
      </c>
      <c r="AR588" s="0" t="n">
        <f aca="false">W_PH(AR$2,$A588)</f>
        <v>2015</v>
      </c>
      <c r="AS588" s="0" t="n">
        <f aca="false">W_PH(AS$2,$A588)</f>
        <v>2015</v>
      </c>
    </row>
    <row r="589" customFormat="false" ht="13.8" hidden="false" customHeight="false" outlineLevel="0" collapsed="false">
      <c r="A589" s="0" t="n">
        <v>7490</v>
      </c>
      <c r="B589" s="0" t="n">
        <f aca="false">W_PH(B$2,$A589)</f>
        <v>2015</v>
      </c>
      <c r="C589" s="0" t="n">
        <f aca="false">W_PH(C$2,$A589)</f>
        <v>2015</v>
      </c>
      <c r="D589" s="0" t="n">
        <f aca="false">W_PH(D$2,$A589)</f>
        <v>2015</v>
      </c>
      <c r="E589" s="0" t="n">
        <f aca="false">W_PH(E$2,$A589)</f>
        <v>2015</v>
      </c>
      <c r="F589" s="0" t="n">
        <f aca="false">W_PH(F$2,$A589)</f>
        <v>2015</v>
      </c>
      <c r="G589" s="0" t="n">
        <f aca="false">W_PH(G$2,$A589)</f>
        <v>2015</v>
      </c>
      <c r="H589" s="0" t="n">
        <f aca="false">W_PH(H$2,$A589)</f>
        <v>2015</v>
      </c>
      <c r="I589" s="0" t="n">
        <f aca="false">W_PH(I$2,$A589)</f>
        <v>2015</v>
      </c>
      <c r="J589" s="0" t="n">
        <f aca="false">W_PH(J$2,$A589)</f>
        <v>2015</v>
      </c>
      <c r="K589" s="0" t="n">
        <f aca="false">W_PH(K$2,$A589)</f>
        <v>2015</v>
      </c>
      <c r="L589" s="0" t="n">
        <f aca="false">W_PH(L$2,$A589)</f>
        <v>2015</v>
      </c>
      <c r="M589" s="0" t="n">
        <f aca="false">W_PH(M$2,$A589)</f>
        <v>2015</v>
      </c>
      <c r="N589" s="0" t="n">
        <f aca="false">W_PH(N$2,$A589)</f>
        <v>2015</v>
      </c>
      <c r="O589" s="0" t="n">
        <f aca="false">W_PH(O$2,$A589)</f>
        <v>2015</v>
      </c>
      <c r="P589" s="0" t="n">
        <f aca="false">W_PH(P$2,$A589)</f>
        <v>2015</v>
      </c>
      <c r="Q589" s="0" t="n">
        <f aca="false">W_PH(Q$2,$A589)</f>
        <v>2015</v>
      </c>
      <c r="R589" s="0" t="n">
        <f aca="false">W_PH(R$2,$A589)</f>
        <v>2015</v>
      </c>
      <c r="S589" s="0" t="n">
        <f aca="false">W_PH(S$2,$A589)</f>
        <v>2015</v>
      </c>
      <c r="T589" s="0" t="n">
        <f aca="false">W_PH(T$2,$A589)</f>
        <v>2015</v>
      </c>
      <c r="U589" s="0" t="n">
        <f aca="false">W_PH(U$2,$A589)</f>
        <v>2015</v>
      </c>
      <c r="V589" s="0" t="n">
        <f aca="false">W_PH(V$2,$A589)</f>
        <v>2015</v>
      </c>
      <c r="W589" s="0" t="n">
        <f aca="false">W_PH(W$2,$A589)</f>
        <v>2015</v>
      </c>
      <c r="X589" s="0" t="n">
        <f aca="false">W_PH(X$2,$A589)</f>
        <v>2015</v>
      </c>
      <c r="Y589" s="0" t="n">
        <f aca="false">W_PH(Y$2,$A589)</f>
        <v>2015</v>
      </c>
      <c r="Z589" s="0" t="n">
        <f aca="false">W_PH(Z$2,$A589)</f>
        <v>2015</v>
      </c>
      <c r="AA589" s="0" t="n">
        <f aca="false">W_PH(AA$2,$A589)</f>
        <v>2015</v>
      </c>
      <c r="AB589" s="0" t="n">
        <f aca="false">W_PH(AB$2,$A589)</f>
        <v>2015</v>
      </c>
      <c r="AC589" s="0" t="n">
        <f aca="false">W_PH(AC$2,$A589)</f>
        <v>2015</v>
      </c>
      <c r="AD589" s="0" t="n">
        <f aca="false">W_PH(AD$2,$A589)</f>
        <v>2015</v>
      </c>
      <c r="AE589" s="0" t="n">
        <f aca="false">W_PH(AE$2,$A589)</f>
        <v>2015</v>
      </c>
      <c r="AF589" s="0" t="n">
        <f aca="false">W_PH(AF$2,$A589)</f>
        <v>2015</v>
      </c>
      <c r="AG589" s="0" t="n">
        <f aca="false">W_PH(AG$2,$A589)</f>
        <v>2015</v>
      </c>
      <c r="AH589" s="0" t="n">
        <f aca="false">W_PH(AH$2,$A589)</f>
        <v>2015</v>
      </c>
      <c r="AI589" s="0" t="n">
        <f aca="false">W_PH(AI$2,$A589)</f>
        <v>2015</v>
      </c>
      <c r="AJ589" s="0" t="n">
        <f aca="false">W_PH(AJ$2,$A589)</f>
        <v>2015</v>
      </c>
      <c r="AK589" s="0" t="n">
        <f aca="false">W_PH(AK$2,$A589)</f>
        <v>2015</v>
      </c>
      <c r="AL589" s="0" t="n">
        <f aca="false">W_PH(AL$2,$A589)</f>
        <v>2015</v>
      </c>
      <c r="AM589" s="0" t="n">
        <f aca="false">W_PH(AM$2,$A589)</f>
        <v>2015</v>
      </c>
      <c r="AN589" s="0" t="n">
        <f aca="false">W_PH(AN$2,$A589)</f>
        <v>2015</v>
      </c>
      <c r="AO589" s="0" t="n">
        <f aca="false">W_PH(AO$2,$A589)</f>
        <v>2015</v>
      </c>
      <c r="AP589" s="0" t="n">
        <f aca="false">W_PH(AP$2,$A589)</f>
        <v>2015</v>
      </c>
      <c r="AQ589" s="0" t="n">
        <f aca="false">W_PH(AQ$2,$A589)</f>
        <v>2015</v>
      </c>
      <c r="AR589" s="0" t="n">
        <f aca="false">W_PH(AR$2,$A589)</f>
        <v>2015</v>
      </c>
      <c r="AS589" s="0" t="n">
        <f aca="false">W_PH(AS$2,$A589)</f>
        <v>2015</v>
      </c>
    </row>
    <row r="590" customFormat="false" ht="13.8" hidden="false" customHeight="false" outlineLevel="0" collapsed="false">
      <c r="A590" s="0" t="n">
        <v>7500</v>
      </c>
      <c r="B590" s="0" t="n">
        <f aca="false">W_PH(B$2,$A590)</f>
        <v>2015</v>
      </c>
      <c r="C590" s="0" t="n">
        <f aca="false">W_PH(C$2,$A590)</f>
        <v>2015</v>
      </c>
      <c r="D590" s="0" t="n">
        <f aca="false">W_PH(D$2,$A590)</f>
        <v>2015</v>
      </c>
      <c r="E590" s="0" t="n">
        <f aca="false">W_PH(E$2,$A590)</f>
        <v>2015</v>
      </c>
      <c r="F590" s="0" t="n">
        <f aca="false">W_PH(F$2,$A590)</f>
        <v>2015</v>
      </c>
      <c r="G590" s="0" t="n">
        <f aca="false">W_PH(G$2,$A590)</f>
        <v>2015</v>
      </c>
      <c r="H590" s="0" t="n">
        <f aca="false">W_PH(H$2,$A590)</f>
        <v>2015</v>
      </c>
      <c r="I590" s="0" t="n">
        <f aca="false">W_PH(I$2,$A590)</f>
        <v>2015</v>
      </c>
      <c r="J590" s="0" t="n">
        <f aca="false">W_PH(J$2,$A590)</f>
        <v>2015</v>
      </c>
      <c r="K590" s="0" t="n">
        <f aca="false">W_PH(K$2,$A590)</f>
        <v>2015</v>
      </c>
      <c r="L590" s="0" t="n">
        <f aca="false">W_PH(L$2,$A590)</f>
        <v>2015</v>
      </c>
      <c r="M590" s="0" t="n">
        <f aca="false">W_PH(M$2,$A590)</f>
        <v>2015</v>
      </c>
      <c r="N590" s="0" t="n">
        <f aca="false">W_PH(N$2,$A590)</f>
        <v>2015</v>
      </c>
      <c r="O590" s="0" t="n">
        <f aca="false">W_PH(O$2,$A590)</f>
        <v>2015</v>
      </c>
      <c r="P590" s="0" t="n">
        <f aca="false">W_PH(P$2,$A590)</f>
        <v>2015</v>
      </c>
      <c r="Q590" s="0" t="n">
        <f aca="false">W_PH(Q$2,$A590)</f>
        <v>2015</v>
      </c>
      <c r="R590" s="0" t="n">
        <f aca="false">W_PH(R$2,$A590)</f>
        <v>2015</v>
      </c>
      <c r="S590" s="0" t="n">
        <f aca="false">W_PH(S$2,$A590)</f>
        <v>2015</v>
      </c>
      <c r="T590" s="0" t="n">
        <f aca="false">W_PH(T$2,$A590)</f>
        <v>2015</v>
      </c>
      <c r="U590" s="0" t="n">
        <f aca="false">W_PH(U$2,$A590)</f>
        <v>2015</v>
      </c>
      <c r="V590" s="0" t="n">
        <f aca="false">W_PH(V$2,$A590)</f>
        <v>2015</v>
      </c>
      <c r="W590" s="0" t="n">
        <f aca="false">W_PH(W$2,$A590)</f>
        <v>2015</v>
      </c>
      <c r="X590" s="0" t="n">
        <f aca="false">W_PH(X$2,$A590)</f>
        <v>2015</v>
      </c>
      <c r="Y590" s="0" t="n">
        <f aca="false">W_PH(Y$2,$A590)</f>
        <v>2015</v>
      </c>
      <c r="Z590" s="0" t="n">
        <f aca="false">W_PH(Z$2,$A590)</f>
        <v>2015</v>
      </c>
      <c r="AA590" s="0" t="n">
        <f aca="false">W_PH(AA$2,$A590)</f>
        <v>2015</v>
      </c>
      <c r="AB590" s="0" t="n">
        <f aca="false">W_PH(AB$2,$A590)</f>
        <v>2015</v>
      </c>
      <c r="AC590" s="0" t="n">
        <f aca="false">W_PH(AC$2,$A590)</f>
        <v>2015</v>
      </c>
      <c r="AD590" s="0" t="n">
        <f aca="false">W_PH(AD$2,$A590)</f>
        <v>2015</v>
      </c>
      <c r="AE590" s="0" t="n">
        <f aca="false">W_PH(AE$2,$A590)</f>
        <v>2015</v>
      </c>
      <c r="AF590" s="0" t="n">
        <f aca="false">W_PH(AF$2,$A590)</f>
        <v>2015</v>
      </c>
      <c r="AG590" s="0" t="n">
        <f aca="false">W_PH(AG$2,$A590)</f>
        <v>2015</v>
      </c>
      <c r="AH590" s="0" t="n">
        <f aca="false">W_PH(AH$2,$A590)</f>
        <v>2015</v>
      </c>
      <c r="AI590" s="0" t="n">
        <f aca="false">W_PH(AI$2,$A590)</f>
        <v>2015</v>
      </c>
      <c r="AJ590" s="0" t="n">
        <f aca="false">W_PH(AJ$2,$A590)</f>
        <v>2015</v>
      </c>
      <c r="AK590" s="0" t="n">
        <f aca="false">W_PH(AK$2,$A590)</f>
        <v>2015</v>
      </c>
      <c r="AL590" s="0" t="n">
        <f aca="false">W_PH(AL$2,$A590)</f>
        <v>2015</v>
      </c>
      <c r="AM590" s="0" t="n">
        <f aca="false">W_PH(AM$2,$A590)</f>
        <v>2015</v>
      </c>
      <c r="AN590" s="0" t="n">
        <f aca="false">W_PH(AN$2,$A590)</f>
        <v>2015</v>
      </c>
      <c r="AO590" s="0" t="n">
        <f aca="false">W_PH(AO$2,$A590)</f>
        <v>2015</v>
      </c>
      <c r="AP590" s="0" t="n">
        <f aca="false">W_PH(AP$2,$A590)</f>
        <v>2015</v>
      </c>
      <c r="AQ590" s="0" t="n">
        <f aca="false">W_PH(AQ$2,$A590)</f>
        <v>2015</v>
      </c>
      <c r="AR590" s="0" t="n">
        <f aca="false">W_PH(AR$2,$A590)</f>
        <v>2015</v>
      </c>
      <c r="AS590" s="0" t="n">
        <f aca="false">W_PH(AS$2,$A590)</f>
        <v>2015</v>
      </c>
    </row>
    <row r="591" customFormat="false" ht="13.8" hidden="false" customHeight="false" outlineLevel="0" collapsed="false">
      <c r="A591" s="0" t="n">
        <v>7510</v>
      </c>
      <c r="B591" s="0" t="n">
        <f aca="false">W_PH(B$2,$A591)</f>
        <v>2015</v>
      </c>
      <c r="C591" s="0" t="n">
        <f aca="false">W_PH(C$2,$A591)</f>
        <v>2015</v>
      </c>
      <c r="D591" s="0" t="n">
        <f aca="false">W_PH(D$2,$A591)</f>
        <v>2015</v>
      </c>
      <c r="E591" s="0" t="n">
        <f aca="false">W_PH(E$2,$A591)</f>
        <v>2015</v>
      </c>
      <c r="F591" s="0" t="n">
        <f aca="false">W_PH(F$2,$A591)</f>
        <v>2015</v>
      </c>
      <c r="G591" s="0" t="n">
        <f aca="false">W_PH(G$2,$A591)</f>
        <v>2015</v>
      </c>
      <c r="H591" s="0" t="n">
        <f aca="false">W_PH(H$2,$A591)</f>
        <v>2015</v>
      </c>
      <c r="I591" s="0" t="n">
        <f aca="false">W_PH(I$2,$A591)</f>
        <v>2015</v>
      </c>
      <c r="J591" s="0" t="n">
        <f aca="false">W_PH(J$2,$A591)</f>
        <v>2015</v>
      </c>
      <c r="K591" s="0" t="n">
        <f aca="false">W_PH(K$2,$A591)</f>
        <v>2015</v>
      </c>
      <c r="L591" s="0" t="n">
        <f aca="false">W_PH(L$2,$A591)</f>
        <v>2015</v>
      </c>
      <c r="M591" s="0" t="n">
        <f aca="false">W_PH(M$2,$A591)</f>
        <v>2015</v>
      </c>
      <c r="N591" s="0" t="n">
        <f aca="false">W_PH(N$2,$A591)</f>
        <v>2015</v>
      </c>
      <c r="O591" s="0" t="n">
        <f aca="false">W_PH(O$2,$A591)</f>
        <v>2015</v>
      </c>
      <c r="P591" s="0" t="n">
        <f aca="false">W_PH(P$2,$A591)</f>
        <v>2015</v>
      </c>
      <c r="Q591" s="0" t="n">
        <f aca="false">W_PH(Q$2,$A591)</f>
        <v>2015</v>
      </c>
      <c r="R591" s="0" t="n">
        <f aca="false">W_PH(R$2,$A591)</f>
        <v>2015</v>
      </c>
      <c r="S591" s="0" t="n">
        <f aca="false">W_PH(S$2,$A591)</f>
        <v>2015</v>
      </c>
      <c r="T591" s="0" t="n">
        <f aca="false">W_PH(T$2,$A591)</f>
        <v>2015</v>
      </c>
      <c r="U591" s="0" t="n">
        <f aca="false">W_PH(U$2,$A591)</f>
        <v>2015</v>
      </c>
      <c r="V591" s="0" t="n">
        <f aca="false">W_PH(V$2,$A591)</f>
        <v>2015</v>
      </c>
      <c r="W591" s="0" t="n">
        <f aca="false">W_PH(W$2,$A591)</f>
        <v>2015</v>
      </c>
      <c r="X591" s="0" t="n">
        <f aca="false">W_PH(X$2,$A591)</f>
        <v>2015</v>
      </c>
      <c r="Y591" s="0" t="n">
        <f aca="false">W_PH(Y$2,$A591)</f>
        <v>2015</v>
      </c>
      <c r="Z591" s="0" t="n">
        <f aca="false">W_PH(Z$2,$A591)</f>
        <v>2015</v>
      </c>
      <c r="AA591" s="0" t="n">
        <f aca="false">W_PH(AA$2,$A591)</f>
        <v>2015</v>
      </c>
      <c r="AB591" s="0" t="n">
        <f aca="false">W_PH(AB$2,$A591)</f>
        <v>2015</v>
      </c>
      <c r="AC591" s="0" t="n">
        <f aca="false">W_PH(AC$2,$A591)</f>
        <v>2015</v>
      </c>
      <c r="AD591" s="0" t="n">
        <f aca="false">W_PH(AD$2,$A591)</f>
        <v>2015</v>
      </c>
      <c r="AE591" s="0" t="n">
        <f aca="false">W_PH(AE$2,$A591)</f>
        <v>2015</v>
      </c>
      <c r="AF591" s="0" t="n">
        <f aca="false">W_PH(AF$2,$A591)</f>
        <v>2015</v>
      </c>
      <c r="AG591" s="0" t="n">
        <f aca="false">W_PH(AG$2,$A591)</f>
        <v>2015</v>
      </c>
      <c r="AH591" s="0" t="n">
        <f aca="false">W_PH(AH$2,$A591)</f>
        <v>2015</v>
      </c>
      <c r="AI591" s="0" t="n">
        <f aca="false">W_PH(AI$2,$A591)</f>
        <v>2015</v>
      </c>
      <c r="AJ591" s="0" t="n">
        <f aca="false">W_PH(AJ$2,$A591)</f>
        <v>2015</v>
      </c>
      <c r="AK591" s="0" t="n">
        <f aca="false">W_PH(AK$2,$A591)</f>
        <v>2015</v>
      </c>
      <c r="AL591" s="0" t="n">
        <f aca="false">W_PH(AL$2,$A591)</f>
        <v>2015</v>
      </c>
      <c r="AM591" s="0" t="n">
        <f aca="false">W_PH(AM$2,$A591)</f>
        <v>2015</v>
      </c>
      <c r="AN591" s="0" t="n">
        <f aca="false">W_PH(AN$2,$A591)</f>
        <v>2015</v>
      </c>
      <c r="AO591" s="0" t="n">
        <f aca="false">W_PH(AO$2,$A591)</f>
        <v>2015</v>
      </c>
      <c r="AP591" s="0" t="n">
        <f aca="false">W_PH(AP$2,$A591)</f>
        <v>2015</v>
      </c>
      <c r="AQ591" s="0" t="n">
        <f aca="false">W_PH(AQ$2,$A591)</f>
        <v>2015</v>
      </c>
      <c r="AR591" s="0" t="n">
        <f aca="false">W_PH(AR$2,$A591)</f>
        <v>2015</v>
      </c>
      <c r="AS591" s="0" t="n">
        <f aca="false">W_PH(AS$2,$A591)</f>
        <v>2015</v>
      </c>
    </row>
    <row r="592" customFormat="false" ht="13.8" hidden="false" customHeight="false" outlineLevel="0" collapsed="false">
      <c r="A592" s="0" t="n">
        <v>7520</v>
      </c>
      <c r="B592" s="0" t="n">
        <f aca="false">W_PH(B$2,$A592)</f>
        <v>2015</v>
      </c>
      <c r="C592" s="0" t="n">
        <f aca="false">W_PH(C$2,$A592)</f>
        <v>2015</v>
      </c>
      <c r="D592" s="0" t="n">
        <f aca="false">W_PH(D$2,$A592)</f>
        <v>2015</v>
      </c>
      <c r="E592" s="0" t="n">
        <f aca="false">W_PH(E$2,$A592)</f>
        <v>2015</v>
      </c>
      <c r="F592" s="0" t="n">
        <f aca="false">W_PH(F$2,$A592)</f>
        <v>2015</v>
      </c>
      <c r="G592" s="0" t="n">
        <f aca="false">W_PH(G$2,$A592)</f>
        <v>2015</v>
      </c>
      <c r="H592" s="0" t="n">
        <f aca="false">W_PH(H$2,$A592)</f>
        <v>2015</v>
      </c>
      <c r="I592" s="0" t="n">
        <f aca="false">W_PH(I$2,$A592)</f>
        <v>2015</v>
      </c>
      <c r="J592" s="0" t="n">
        <f aca="false">W_PH(J$2,$A592)</f>
        <v>2015</v>
      </c>
      <c r="K592" s="0" t="n">
        <f aca="false">W_PH(K$2,$A592)</f>
        <v>2015</v>
      </c>
      <c r="L592" s="0" t="n">
        <f aca="false">W_PH(L$2,$A592)</f>
        <v>2015</v>
      </c>
      <c r="M592" s="0" t="n">
        <f aca="false">W_PH(M$2,$A592)</f>
        <v>2015</v>
      </c>
      <c r="N592" s="0" t="n">
        <f aca="false">W_PH(N$2,$A592)</f>
        <v>2015</v>
      </c>
      <c r="O592" s="0" t="n">
        <f aca="false">W_PH(O$2,$A592)</f>
        <v>2015</v>
      </c>
      <c r="P592" s="0" t="n">
        <f aca="false">W_PH(P$2,$A592)</f>
        <v>2015</v>
      </c>
      <c r="Q592" s="0" t="n">
        <f aca="false">W_PH(Q$2,$A592)</f>
        <v>2015</v>
      </c>
      <c r="R592" s="0" t="n">
        <f aca="false">W_PH(R$2,$A592)</f>
        <v>2015</v>
      </c>
      <c r="S592" s="0" t="n">
        <f aca="false">W_PH(S$2,$A592)</f>
        <v>2015</v>
      </c>
      <c r="T592" s="0" t="n">
        <f aca="false">W_PH(T$2,$A592)</f>
        <v>2015</v>
      </c>
      <c r="U592" s="0" t="n">
        <f aca="false">W_PH(U$2,$A592)</f>
        <v>2015</v>
      </c>
      <c r="V592" s="0" t="n">
        <f aca="false">W_PH(V$2,$A592)</f>
        <v>2015</v>
      </c>
      <c r="W592" s="0" t="n">
        <f aca="false">W_PH(W$2,$A592)</f>
        <v>2015</v>
      </c>
      <c r="X592" s="0" t="n">
        <f aca="false">W_PH(X$2,$A592)</f>
        <v>2015</v>
      </c>
      <c r="Y592" s="0" t="n">
        <f aca="false">W_PH(Y$2,$A592)</f>
        <v>2015</v>
      </c>
      <c r="Z592" s="0" t="n">
        <f aca="false">W_PH(Z$2,$A592)</f>
        <v>2015</v>
      </c>
      <c r="AA592" s="0" t="n">
        <f aca="false">W_PH(AA$2,$A592)</f>
        <v>2015</v>
      </c>
      <c r="AB592" s="0" t="n">
        <f aca="false">W_PH(AB$2,$A592)</f>
        <v>2015</v>
      </c>
      <c r="AC592" s="0" t="n">
        <f aca="false">W_PH(AC$2,$A592)</f>
        <v>2015</v>
      </c>
      <c r="AD592" s="0" t="n">
        <f aca="false">W_PH(AD$2,$A592)</f>
        <v>2015</v>
      </c>
      <c r="AE592" s="0" t="n">
        <f aca="false">W_PH(AE$2,$A592)</f>
        <v>2015</v>
      </c>
      <c r="AF592" s="0" t="n">
        <f aca="false">W_PH(AF$2,$A592)</f>
        <v>2015</v>
      </c>
      <c r="AG592" s="0" t="n">
        <f aca="false">W_PH(AG$2,$A592)</f>
        <v>2015</v>
      </c>
      <c r="AH592" s="0" t="n">
        <f aca="false">W_PH(AH$2,$A592)</f>
        <v>2015</v>
      </c>
      <c r="AI592" s="0" t="n">
        <f aca="false">W_PH(AI$2,$A592)</f>
        <v>2015</v>
      </c>
      <c r="AJ592" s="0" t="n">
        <f aca="false">W_PH(AJ$2,$A592)</f>
        <v>2015</v>
      </c>
      <c r="AK592" s="0" t="n">
        <f aca="false">W_PH(AK$2,$A592)</f>
        <v>2015</v>
      </c>
      <c r="AL592" s="0" t="n">
        <f aca="false">W_PH(AL$2,$A592)</f>
        <v>2015</v>
      </c>
      <c r="AM592" s="0" t="n">
        <f aca="false">W_PH(AM$2,$A592)</f>
        <v>2015</v>
      </c>
      <c r="AN592" s="0" t="n">
        <f aca="false">W_PH(AN$2,$A592)</f>
        <v>2015</v>
      </c>
      <c r="AO592" s="0" t="n">
        <f aca="false">W_PH(AO$2,$A592)</f>
        <v>2015</v>
      </c>
      <c r="AP592" s="0" t="n">
        <f aca="false">W_PH(AP$2,$A592)</f>
        <v>2015</v>
      </c>
      <c r="AQ592" s="0" t="n">
        <f aca="false">W_PH(AQ$2,$A592)</f>
        <v>2015</v>
      </c>
      <c r="AR592" s="0" t="n">
        <f aca="false">W_PH(AR$2,$A592)</f>
        <v>2015</v>
      </c>
      <c r="AS592" s="0" t="n">
        <f aca="false">W_PH(AS$2,$A592)</f>
        <v>2015</v>
      </c>
    </row>
    <row r="593" customFormat="false" ht="13.8" hidden="false" customHeight="false" outlineLevel="0" collapsed="false">
      <c r="A593" s="0" t="n">
        <v>7530</v>
      </c>
      <c r="B593" s="0" t="n">
        <f aca="false">W_PH(B$2,$A593)</f>
        <v>2015</v>
      </c>
      <c r="C593" s="0" t="n">
        <f aca="false">W_PH(C$2,$A593)</f>
        <v>2015</v>
      </c>
      <c r="D593" s="0" t="n">
        <f aca="false">W_PH(D$2,$A593)</f>
        <v>2015</v>
      </c>
      <c r="E593" s="0" t="n">
        <f aca="false">W_PH(E$2,$A593)</f>
        <v>2015</v>
      </c>
      <c r="F593" s="0" t="n">
        <f aca="false">W_PH(F$2,$A593)</f>
        <v>2015</v>
      </c>
      <c r="G593" s="0" t="n">
        <f aca="false">W_PH(G$2,$A593)</f>
        <v>2015</v>
      </c>
      <c r="H593" s="0" t="n">
        <f aca="false">W_PH(H$2,$A593)</f>
        <v>2015</v>
      </c>
      <c r="I593" s="0" t="n">
        <f aca="false">W_PH(I$2,$A593)</f>
        <v>2015</v>
      </c>
      <c r="J593" s="0" t="n">
        <f aca="false">W_PH(J$2,$A593)</f>
        <v>2015</v>
      </c>
      <c r="K593" s="0" t="n">
        <f aca="false">W_PH(K$2,$A593)</f>
        <v>2015</v>
      </c>
      <c r="L593" s="0" t="n">
        <f aca="false">W_PH(L$2,$A593)</f>
        <v>2015</v>
      </c>
      <c r="M593" s="0" t="n">
        <f aca="false">W_PH(M$2,$A593)</f>
        <v>2015</v>
      </c>
      <c r="N593" s="0" t="n">
        <f aca="false">W_PH(N$2,$A593)</f>
        <v>2015</v>
      </c>
      <c r="O593" s="0" t="n">
        <f aca="false">W_PH(O$2,$A593)</f>
        <v>2015</v>
      </c>
      <c r="P593" s="0" t="n">
        <f aca="false">W_PH(P$2,$A593)</f>
        <v>2015</v>
      </c>
      <c r="Q593" s="0" t="n">
        <f aca="false">W_PH(Q$2,$A593)</f>
        <v>2015</v>
      </c>
      <c r="R593" s="0" t="n">
        <f aca="false">W_PH(R$2,$A593)</f>
        <v>2015</v>
      </c>
      <c r="S593" s="0" t="n">
        <f aca="false">W_PH(S$2,$A593)</f>
        <v>2015</v>
      </c>
      <c r="T593" s="0" t="n">
        <f aca="false">W_PH(T$2,$A593)</f>
        <v>2015</v>
      </c>
      <c r="U593" s="0" t="n">
        <f aca="false">W_PH(U$2,$A593)</f>
        <v>2015</v>
      </c>
      <c r="V593" s="0" t="n">
        <f aca="false">W_PH(V$2,$A593)</f>
        <v>2015</v>
      </c>
      <c r="W593" s="0" t="n">
        <f aca="false">W_PH(W$2,$A593)</f>
        <v>2015</v>
      </c>
      <c r="X593" s="0" t="n">
        <f aca="false">W_PH(X$2,$A593)</f>
        <v>2015</v>
      </c>
      <c r="Y593" s="0" t="n">
        <f aca="false">W_PH(Y$2,$A593)</f>
        <v>2015</v>
      </c>
      <c r="Z593" s="0" t="n">
        <f aca="false">W_PH(Z$2,$A593)</f>
        <v>2015</v>
      </c>
      <c r="AA593" s="0" t="n">
        <f aca="false">W_PH(AA$2,$A593)</f>
        <v>2015</v>
      </c>
      <c r="AB593" s="0" t="n">
        <f aca="false">W_PH(AB$2,$A593)</f>
        <v>2015</v>
      </c>
      <c r="AC593" s="0" t="n">
        <f aca="false">W_PH(AC$2,$A593)</f>
        <v>2015</v>
      </c>
      <c r="AD593" s="0" t="n">
        <f aca="false">W_PH(AD$2,$A593)</f>
        <v>2015</v>
      </c>
      <c r="AE593" s="0" t="n">
        <f aca="false">W_PH(AE$2,$A593)</f>
        <v>2015</v>
      </c>
      <c r="AF593" s="0" t="n">
        <f aca="false">W_PH(AF$2,$A593)</f>
        <v>2015</v>
      </c>
      <c r="AG593" s="0" t="n">
        <f aca="false">W_PH(AG$2,$A593)</f>
        <v>2015</v>
      </c>
      <c r="AH593" s="0" t="n">
        <f aca="false">W_PH(AH$2,$A593)</f>
        <v>2015</v>
      </c>
      <c r="AI593" s="0" t="n">
        <f aca="false">W_PH(AI$2,$A593)</f>
        <v>2015</v>
      </c>
      <c r="AJ593" s="0" t="n">
        <f aca="false">W_PH(AJ$2,$A593)</f>
        <v>2015</v>
      </c>
      <c r="AK593" s="0" t="n">
        <f aca="false">W_PH(AK$2,$A593)</f>
        <v>2015</v>
      </c>
      <c r="AL593" s="0" t="n">
        <f aca="false">W_PH(AL$2,$A593)</f>
        <v>2015</v>
      </c>
      <c r="AM593" s="0" t="n">
        <f aca="false">W_PH(AM$2,$A593)</f>
        <v>2015</v>
      </c>
      <c r="AN593" s="0" t="n">
        <f aca="false">W_PH(AN$2,$A593)</f>
        <v>2015</v>
      </c>
      <c r="AO593" s="0" t="n">
        <f aca="false">W_PH(AO$2,$A593)</f>
        <v>2015</v>
      </c>
      <c r="AP593" s="0" t="n">
        <f aca="false">W_PH(AP$2,$A593)</f>
        <v>2015</v>
      </c>
      <c r="AQ593" s="0" t="n">
        <f aca="false">W_PH(AQ$2,$A593)</f>
        <v>2015</v>
      </c>
      <c r="AR593" s="0" t="n">
        <f aca="false">W_PH(AR$2,$A593)</f>
        <v>2015</v>
      </c>
      <c r="AS593" s="0" t="n">
        <f aca="false">W_PH(AS$2,$A593)</f>
        <v>2015</v>
      </c>
    </row>
    <row r="594" customFormat="false" ht="13.8" hidden="false" customHeight="false" outlineLevel="0" collapsed="false">
      <c r="A594" s="0" t="n">
        <v>7540</v>
      </c>
      <c r="B594" s="0" t="n">
        <f aca="false">W_PH(B$2,$A594)</f>
        <v>2015</v>
      </c>
      <c r="C594" s="0" t="n">
        <f aca="false">W_PH(C$2,$A594)</f>
        <v>2015</v>
      </c>
      <c r="D594" s="0" t="n">
        <f aca="false">W_PH(D$2,$A594)</f>
        <v>2015</v>
      </c>
      <c r="E594" s="0" t="n">
        <f aca="false">W_PH(E$2,$A594)</f>
        <v>2015</v>
      </c>
      <c r="F594" s="0" t="n">
        <f aca="false">W_PH(F$2,$A594)</f>
        <v>2015</v>
      </c>
      <c r="G594" s="0" t="n">
        <f aca="false">W_PH(G$2,$A594)</f>
        <v>2015</v>
      </c>
      <c r="H594" s="0" t="n">
        <f aca="false">W_PH(H$2,$A594)</f>
        <v>2015</v>
      </c>
      <c r="I594" s="0" t="n">
        <f aca="false">W_PH(I$2,$A594)</f>
        <v>2015</v>
      </c>
      <c r="J594" s="0" t="n">
        <f aca="false">W_PH(J$2,$A594)</f>
        <v>2015</v>
      </c>
      <c r="K594" s="0" t="n">
        <f aca="false">W_PH(K$2,$A594)</f>
        <v>2015</v>
      </c>
      <c r="L594" s="0" t="n">
        <f aca="false">W_PH(L$2,$A594)</f>
        <v>2015</v>
      </c>
      <c r="M594" s="0" t="n">
        <f aca="false">W_PH(M$2,$A594)</f>
        <v>2015</v>
      </c>
      <c r="N594" s="0" t="n">
        <f aca="false">W_PH(N$2,$A594)</f>
        <v>2015</v>
      </c>
      <c r="O594" s="0" t="n">
        <f aca="false">W_PH(O$2,$A594)</f>
        <v>2015</v>
      </c>
      <c r="P594" s="0" t="n">
        <f aca="false">W_PH(P$2,$A594)</f>
        <v>2015</v>
      </c>
      <c r="Q594" s="0" t="n">
        <f aca="false">W_PH(Q$2,$A594)</f>
        <v>2015</v>
      </c>
      <c r="R594" s="0" t="n">
        <f aca="false">W_PH(R$2,$A594)</f>
        <v>2015</v>
      </c>
      <c r="S594" s="0" t="n">
        <f aca="false">W_PH(S$2,$A594)</f>
        <v>2015</v>
      </c>
      <c r="T594" s="0" t="n">
        <f aca="false">W_PH(T$2,$A594)</f>
        <v>2015</v>
      </c>
      <c r="U594" s="0" t="n">
        <f aca="false">W_PH(U$2,$A594)</f>
        <v>2015</v>
      </c>
      <c r="V594" s="0" t="n">
        <f aca="false">W_PH(V$2,$A594)</f>
        <v>2015</v>
      </c>
      <c r="W594" s="0" t="n">
        <f aca="false">W_PH(W$2,$A594)</f>
        <v>2015</v>
      </c>
      <c r="X594" s="0" t="n">
        <f aca="false">W_PH(X$2,$A594)</f>
        <v>2015</v>
      </c>
      <c r="Y594" s="0" t="n">
        <f aca="false">W_PH(Y$2,$A594)</f>
        <v>2015</v>
      </c>
      <c r="Z594" s="0" t="n">
        <f aca="false">W_PH(Z$2,$A594)</f>
        <v>2015</v>
      </c>
      <c r="AA594" s="0" t="n">
        <f aca="false">W_PH(AA$2,$A594)</f>
        <v>2015</v>
      </c>
      <c r="AB594" s="0" t="n">
        <f aca="false">W_PH(AB$2,$A594)</f>
        <v>2015</v>
      </c>
      <c r="AC594" s="0" t="n">
        <f aca="false">W_PH(AC$2,$A594)</f>
        <v>2015</v>
      </c>
      <c r="AD594" s="0" t="n">
        <f aca="false">W_PH(AD$2,$A594)</f>
        <v>2015</v>
      </c>
      <c r="AE594" s="0" t="n">
        <f aca="false">W_PH(AE$2,$A594)</f>
        <v>2015</v>
      </c>
      <c r="AF594" s="0" t="n">
        <f aca="false">W_PH(AF$2,$A594)</f>
        <v>2015</v>
      </c>
      <c r="AG594" s="0" t="n">
        <f aca="false">W_PH(AG$2,$A594)</f>
        <v>2015</v>
      </c>
      <c r="AH594" s="0" t="n">
        <f aca="false">W_PH(AH$2,$A594)</f>
        <v>2015</v>
      </c>
      <c r="AI594" s="0" t="n">
        <f aca="false">W_PH(AI$2,$A594)</f>
        <v>2015</v>
      </c>
      <c r="AJ594" s="0" t="n">
        <f aca="false">W_PH(AJ$2,$A594)</f>
        <v>2015</v>
      </c>
      <c r="AK594" s="0" t="n">
        <f aca="false">W_PH(AK$2,$A594)</f>
        <v>2015</v>
      </c>
      <c r="AL594" s="0" t="n">
        <f aca="false">W_PH(AL$2,$A594)</f>
        <v>2015</v>
      </c>
      <c r="AM594" s="0" t="n">
        <f aca="false">W_PH(AM$2,$A594)</f>
        <v>2015</v>
      </c>
      <c r="AN594" s="0" t="n">
        <f aca="false">W_PH(AN$2,$A594)</f>
        <v>2015</v>
      </c>
      <c r="AO594" s="0" t="n">
        <f aca="false">W_PH(AO$2,$A594)</f>
        <v>2015</v>
      </c>
      <c r="AP594" s="0" t="n">
        <f aca="false">W_PH(AP$2,$A594)</f>
        <v>2015</v>
      </c>
      <c r="AQ594" s="0" t="n">
        <f aca="false">W_PH(AQ$2,$A594)</f>
        <v>2015</v>
      </c>
      <c r="AR594" s="0" t="n">
        <f aca="false">W_PH(AR$2,$A594)</f>
        <v>2015</v>
      </c>
      <c r="AS594" s="0" t="n">
        <f aca="false">W_PH(AS$2,$A594)</f>
        <v>2015</v>
      </c>
    </row>
    <row r="595" customFormat="false" ht="13.8" hidden="false" customHeight="false" outlineLevel="0" collapsed="false">
      <c r="A595" s="0" t="n">
        <v>7550</v>
      </c>
      <c r="B595" s="0" t="n">
        <f aca="false">W_PH(B$2,$A595)</f>
        <v>2015</v>
      </c>
      <c r="C595" s="0" t="n">
        <f aca="false">W_PH(C$2,$A595)</f>
        <v>2015</v>
      </c>
      <c r="D595" s="0" t="n">
        <f aca="false">W_PH(D$2,$A595)</f>
        <v>2015</v>
      </c>
      <c r="E595" s="0" t="n">
        <f aca="false">W_PH(E$2,$A595)</f>
        <v>2015</v>
      </c>
      <c r="F595" s="0" t="n">
        <f aca="false">W_PH(F$2,$A595)</f>
        <v>2015</v>
      </c>
      <c r="G595" s="0" t="n">
        <f aca="false">W_PH(G$2,$A595)</f>
        <v>2015</v>
      </c>
      <c r="H595" s="0" t="n">
        <f aca="false">W_PH(H$2,$A595)</f>
        <v>2015</v>
      </c>
      <c r="I595" s="0" t="n">
        <f aca="false">W_PH(I$2,$A595)</f>
        <v>2015</v>
      </c>
      <c r="J595" s="0" t="n">
        <f aca="false">W_PH(J$2,$A595)</f>
        <v>2015</v>
      </c>
      <c r="K595" s="0" t="n">
        <f aca="false">W_PH(K$2,$A595)</f>
        <v>2015</v>
      </c>
      <c r="L595" s="0" t="n">
        <f aca="false">W_PH(L$2,$A595)</f>
        <v>2015</v>
      </c>
      <c r="M595" s="0" t="n">
        <f aca="false">W_PH(M$2,$A595)</f>
        <v>2015</v>
      </c>
      <c r="N595" s="0" t="n">
        <f aca="false">W_PH(N$2,$A595)</f>
        <v>2015</v>
      </c>
      <c r="O595" s="0" t="n">
        <f aca="false">W_PH(O$2,$A595)</f>
        <v>2015</v>
      </c>
      <c r="P595" s="0" t="n">
        <f aca="false">W_PH(P$2,$A595)</f>
        <v>2015</v>
      </c>
      <c r="Q595" s="0" t="n">
        <f aca="false">W_PH(Q$2,$A595)</f>
        <v>2015</v>
      </c>
      <c r="R595" s="0" t="n">
        <f aca="false">W_PH(R$2,$A595)</f>
        <v>2015</v>
      </c>
      <c r="S595" s="0" t="n">
        <f aca="false">W_PH(S$2,$A595)</f>
        <v>2015</v>
      </c>
      <c r="T595" s="0" t="n">
        <f aca="false">W_PH(T$2,$A595)</f>
        <v>2015</v>
      </c>
      <c r="U595" s="0" t="n">
        <f aca="false">W_PH(U$2,$A595)</f>
        <v>2015</v>
      </c>
      <c r="V595" s="0" t="n">
        <f aca="false">W_PH(V$2,$A595)</f>
        <v>2015</v>
      </c>
      <c r="W595" s="0" t="n">
        <f aca="false">W_PH(W$2,$A595)</f>
        <v>2015</v>
      </c>
      <c r="X595" s="0" t="n">
        <f aca="false">W_PH(X$2,$A595)</f>
        <v>2015</v>
      </c>
      <c r="Y595" s="0" t="n">
        <f aca="false">W_PH(Y$2,$A595)</f>
        <v>2015</v>
      </c>
      <c r="Z595" s="0" t="n">
        <f aca="false">W_PH(Z$2,$A595)</f>
        <v>2015</v>
      </c>
      <c r="AA595" s="0" t="n">
        <f aca="false">W_PH(AA$2,$A595)</f>
        <v>2015</v>
      </c>
      <c r="AB595" s="0" t="n">
        <f aca="false">W_PH(AB$2,$A595)</f>
        <v>2015</v>
      </c>
      <c r="AC595" s="0" t="n">
        <f aca="false">W_PH(AC$2,$A595)</f>
        <v>2015</v>
      </c>
      <c r="AD595" s="0" t="n">
        <f aca="false">W_PH(AD$2,$A595)</f>
        <v>2015</v>
      </c>
      <c r="AE595" s="0" t="n">
        <f aca="false">W_PH(AE$2,$A595)</f>
        <v>2015</v>
      </c>
      <c r="AF595" s="0" t="n">
        <f aca="false">W_PH(AF$2,$A595)</f>
        <v>2015</v>
      </c>
      <c r="AG595" s="0" t="n">
        <f aca="false">W_PH(AG$2,$A595)</f>
        <v>2015</v>
      </c>
      <c r="AH595" s="0" t="n">
        <f aca="false">W_PH(AH$2,$A595)</f>
        <v>2015</v>
      </c>
      <c r="AI595" s="0" t="n">
        <f aca="false">W_PH(AI$2,$A595)</f>
        <v>2015</v>
      </c>
      <c r="AJ595" s="0" t="n">
        <f aca="false">W_PH(AJ$2,$A595)</f>
        <v>2015</v>
      </c>
      <c r="AK595" s="0" t="n">
        <f aca="false">W_PH(AK$2,$A595)</f>
        <v>2015</v>
      </c>
      <c r="AL595" s="0" t="n">
        <f aca="false">W_PH(AL$2,$A595)</f>
        <v>2015</v>
      </c>
      <c r="AM595" s="0" t="n">
        <f aca="false">W_PH(AM$2,$A595)</f>
        <v>2015</v>
      </c>
      <c r="AN595" s="0" t="n">
        <f aca="false">W_PH(AN$2,$A595)</f>
        <v>2015</v>
      </c>
      <c r="AO595" s="0" t="n">
        <f aca="false">W_PH(AO$2,$A595)</f>
        <v>2015</v>
      </c>
      <c r="AP595" s="0" t="n">
        <f aca="false">W_PH(AP$2,$A595)</f>
        <v>2015</v>
      </c>
      <c r="AQ595" s="0" t="n">
        <f aca="false">W_PH(AQ$2,$A595)</f>
        <v>2015</v>
      </c>
      <c r="AR595" s="0" t="n">
        <f aca="false">W_PH(AR$2,$A595)</f>
        <v>2015</v>
      </c>
      <c r="AS595" s="0" t="n">
        <f aca="false">W_PH(AS$2,$A595)</f>
        <v>2015</v>
      </c>
    </row>
    <row r="596" customFormat="false" ht="13.8" hidden="false" customHeight="false" outlineLevel="0" collapsed="false">
      <c r="A596" s="0" t="n">
        <v>7560</v>
      </c>
      <c r="B596" s="0" t="n">
        <f aca="false">W_PH(B$2,$A596)</f>
        <v>2015</v>
      </c>
      <c r="C596" s="0" t="n">
        <f aca="false">W_PH(C$2,$A596)</f>
        <v>2015</v>
      </c>
      <c r="D596" s="0" t="n">
        <f aca="false">W_PH(D$2,$A596)</f>
        <v>2015</v>
      </c>
      <c r="E596" s="0" t="n">
        <f aca="false">W_PH(E$2,$A596)</f>
        <v>2015</v>
      </c>
      <c r="F596" s="0" t="n">
        <f aca="false">W_PH(F$2,$A596)</f>
        <v>2015</v>
      </c>
      <c r="G596" s="0" t="n">
        <f aca="false">W_PH(G$2,$A596)</f>
        <v>2015</v>
      </c>
      <c r="H596" s="0" t="n">
        <f aca="false">W_PH(H$2,$A596)</f>
        <v>2015</v>
      </c>
      <c r="I596" s="0" t="n">
        <f aca="false">W_PH(I$2,$A596)</f>
        <v>2015</v>
      </c>
      <c r="J596" s="0" t="n">
        <f aca="false">W_PH(J$2,$A596)</f>
        <v>2015</v>
      </c>
      <c r="K596" s="0" t="n">
        <f aca="false">W_PH(K$2,$A596)</f>
        <v>2015</v>
      </c>
      <c r="L596" s="0" t="n">
        <f aca="false">W_PH(L$2,$A596)</f>
        <v>2015</v>
      </c>
      <c r="M596" s="0" t="n">
        <f aca="false">W_PH(M$2,$A596)</f>
        <v>2015</v>
      </c>
      <c r="N596" s="0" t="n">
        <f aca="false">W_PH(N$2,$A596)</f>
        <v>2015</v>
      </c>
      <c r="O596" s="0" t="n">
        <f aca="false">W_PH(O$2,$A596)</f>
        <v>2015</v>
      </c>
      <c r="P596" s="0" t="n">
        <f aca="false">W_PH(P$2,$A596)</f>
        <v>2015</v>
      </c>
      <c r="Q596" s="0" t="n">
        <f aca="false">W_PH(Q$2,$A596)</f>
        <v>2015</v>
      </c>
      <c r="R596" s="0" t="n">
        <f aca="false">W_PH(R$2,$A596)</f>
        <v>2015</v>
      </c>
      <c r="S596" s="0" t="n">
        <f aca="false">W_PH(S$2,$A596)</f>
        <v>2015</v>
      </c>
      <c r="T596" s="0" t="n">
        <f aca="false">W_PH(T$2,$A596)</f>
        <v>2015</v>
      </c>
      <c r="U596" s="0" t="n">
        <f aca="false">W_PH(U$2,$A596)</f>
        <v>2015</v>
      </c>
      <c r="V596" s="0" t="n">
        <f aca="false">W_PH(V$2,$A596)</f>
        <v>2015</v>
      </c>
      <c r="W596" s="0" t="n">
        <f aca="false">W_PH(W$2,$A596)</f>
        <v>2015</v>
      </c>
      <c r="X596" s="0" t="n">
        <f aca="false">W_PH(X$2,$A596)</f>
        <v>2015</v>
      </c>
      <c r="Y596" s="0" t="n">
        <f aca="false">W_PH(Y$2,$A596)</f>
        <v>2015</v>
      </c>
      <c r="Z596" s="0" t="n">
        <f aca="false">W_PH(Z$2,$A596)</f>
        <v>2015</v>
      </c>
      <c r="AA596" s="0" t="n">
        <f aca="false">W_PH(AA$2,$A596)</f>
        <v>2015</v>
      </c>
      <c r="AB596" s="0" t="n">
        <f aca="false">W_PH(AB$2,$A596)</f>
        <v>2015</v>
      </c>
      <c r="AC596" s="0" t="n">
        <f aca="false">W_PH(AC$2,$A596)</f>
        <v>2015</v>
      </c>
      <c r="AD596" s="0" t="n">
        <f aca="false">W_PH(AD$2,$A596)</f>
        <v>2015</v>
      </c>
      <c r="AE596" s="0" t="n">
        <f aca="false">W_PH(AE$2,$A596)</f>
        <v>2015</v>
      </c>
      <c r="AF596" s="0" t="n">
        <f aca="false">W_PH(AF$2,$A596)</f>
        <v>2015</v>
      </c>
      <c r="AG596" s="0" t="n">
        <f aca="false">W_PH(AG$2,$A596)</f>
        <v>2015</v>
      </c>
      <c r="AH596" s="0" t="n">
        <f aca="false">W_PH(AH$2,$A596)</f>
        <v>2015</v>
      </c>
      <c r="AI596" s="0" t="n">
        <f aca="false">W_PH(AI$2,$A596)</f>
        <v>2015</v>
      </c>
      <c r="AJ596" s="0" t="n">
        <f aca="false">W_PH(AJ$2,$A596)</f>
        <v>2015</v>
      </c>
      <c r="AK596" s="0" t="n">
        <f aca="false">W_PH(AK$2,$A596)</f>
        <v>2015</v>
      </c>
      <c r="AL596" s="0" t="n">
        <f aca="false">W_PH(AL$2,$A596)</f>
        <v>2015</v>
      </c>
      <c r="AM596" s="0" t="n">
        <f aca="false">W_PH(AM$2,$A596)</f>
        <v>2015</v>
      </c>
      <c r="AN596" s="0" t="n">
        <f aca="false">W_PH(AN$2,$A596)</f>
        <v>2015</v>
      </c>
      <c r="AO596" s="0" t="n">
        <f aca="false">W_PH(AO$2,$A596)</f>
        <v>2015</v>
      </c>
      <c r="AP596" s="0" t="n">
        <f aca="false">W_PH(AP$2,$A596)</f>
        <v>2015</v>
      </c>
      <c r="AQ596" s="0" t="n">
        <f aca="false">W_PH(AQ$2,$A596)</f>
        <v>2015</v>
      </c>
      <c r="AR596" s="0" t="n">
        <f aca="false">W_PH(AR$2,$A596)</f>
        <v>2015</v>
      </c>
      <c r="AS596" s="0" t="n">
        <f aca="false">W_PH(AS$2,$A596)</f>
        <v>2015</v>
      </c>
    </row>
    <row r="597" customFormat="false" ht="13.8" hidden="false" customHeight="false" outlineLevel="0" collapsed="false">
      <c r="A597" s="0" t="n">
        <v>7570</v>
      </c>
      <c r="B597" s="0" t="n">
        <f aca="false">W_PH(B$2,$A597)</f>
        <v>2015</v>
      </c>
      <c r="C597" s="0" t="n">
        <f aca="false">W_PH(C$2,$A597)</f>
        <v>2015</v>
      </c>
      <c r="D597" s="0" t="n">
        <f aca="false">W_PH(D$2,$A597)</f>
        <v>2015</v>
      </c>
      <c r="E597" s="0" t="n">
        <f aca="false">W_PH(E$2,$A597)</f>
        <v>2015</v>
      </c>
      <c r="F597" s="0" t="n">
        <f aca="false">W_PH(F$2,$A597)</f>
        <v>2015</v>
      </c>
      <c r="G597" s="0" t="n">
        <f aca="false">W_PH(G$2,$A597)</f>
        <v>2015</v>
      </c>
      <c r="H597" s="0" t="n">
        <f aca="false">W_PH(H$2,$A597)</f>
        <v>2015</v>
      </c>
      <c r="I597" s="0" t="n">
        <f aca="false">W_PH(I$2,$A597)</f>
        <v>2015</v>
      </c>
      <c r="J597" s="0" t="n">
        <f aca="false">W_PH(J$2,$A597)</f>
        <v>2015</v>
      </c>
      <c r="K597" s="0" t="n">
        <f aca="false">W_PH(K$2,$A597)</f>
        <v>2015</v>
      </c>
      <c r="L597" s="0" t="n">
        <f aca="false">W_PH(L$2,$A597)</f>
        <v>2015</v>
      </c>
      <c r="M597" s="0" t="n">
        <f aca="false">W_PH(M$2,$A597)</f>
        <v>2015</v>
      </c>
      <c r="N597" s="0" t="n">
        <f aca="false">W_PH(N$2,$A597)</f>
        <v>2015</v>
      </c>
      <c r="O597" s="0" t="n">
        <f aca="false">W_PH(O$2,$A597)</f>
        <v>2015</v>
      </c>
      <c r="P597" s="0" t="n">
        <f aca="false">W_PH(P$2,$A597)</f>
        <v>2015</v>
      </c>
      <c r="Q597" s="0" t="n">
        <f aca="false">W_PH(Q$2,$A597)</f>
        <v>2015</v>
      </c>
      <c r="R597" s="0" t="n">
        <f aca="false">W_PH(R$2,$A597)</f>
        <v>2015</v>
      </c>
      <c r="S597" s="0" t="n">
        <f aca="false">W_PH(S$2,$A597)</f>
        <v>2015</v>
      </c>
      <c r="T597" s="0" t="n">
        <f aca="false">W_PH(T$2,$A597)</f>
        <v>2015</v>
      </c>
      <c r="U597" s="0" t="n">
        <f aca="false">W_PH(U$2,$A597)</f>
        <v>2015</v>
      </c>
      <c r="V597" s="0" t="n">
        <f aca="false">W_PH(V$2,$A597)</f>
        <v>2015</v>
      </c>
      <c r="W597" s="0" t="n">
        <f aca="false">W_PH(W$2,$A597)</f>
        <v>2015</v>
      </c>
      <c r="X597" s="0" t="n">
        <f aca="false">W_PH(X$2,$A597)</f>
        <v>2015</v>
      </c>
      <c r="Y597" s="0" t="n">
        <f aca="false">W_PH(Y$2,$A597)</f>
        <v>2015</v>
      </c>
      <c r="Z597" s="0" t="n">
        <f aca="false">W_PH(Z$2,$A597)</f>
        <v>2015</v>
      </c>
      <c r="AA597" s="0" t="n">
        <f aca="false">W_PH(AA$2,$A597)</f>
        <v>2015</v>
      </c>
      <c r="AB597" s="0" t="n">
        <f aca="false">W_PH(AB$2,$A597)</f>
        <v>2015</v>
      </c>
      <c r="AC597" s="0" t="n">
        <f aca="false">W_PH(AC$2,$A597)</f>
        <v>2015</v>
      </c>
      <c r="AD597" s="0" t="n">
        <f aca="false">W_PH(AD$2,$A597)</f>
        <v>2015</v>
      </c>
      <c r="AE597" s="0" t="n">
        <f aca="false">W_PH(AE$2,$A597)</f>
        <v>2015</v>
      </c>
      <c r="AF597" s="0" t="n">
        <f aca="false">W_PH(AF$2,$A597)</f>
        <v>2015</v>
      </c>
      <c r="AG597" s="0" t="n">
        <f aca="false">W_PH(AG$2,$A597)</f>
        <v>2015</v>
      </c>
      <c r="AH597" s="0" t="n">
        <f aca="false">W_PH(AH$2,$A597)</f>
        <v>2015</v>
      </c>
      <c r="AI597" s="0" t="n">
        <f aca="false">W_PH(AI$2,$A597)</f>
        <v>2015</v>
      </c>
      <c r="AJ597" s="0" t="n">
        <f aca="false">W_PH(AJ$2,$A597)</f>
        <v>2015</v>
      </c>
      <c r="AK597" s="0" t="n">
        <f aca="false">W_PH(AK$2,$A597)</f>
        <v>2015</v>
      </c>
      <c r="AL597" s="0" t="n">
        <f aca="false">W_PH(AL$2,$A597)</f>
        <v>2015</v>
      </c>
      <c r="AM597" s="0" t="n">
        <f aca="false">W_PH(AM$2,$A597)</f>
        <v>2015</v>
      </c>
      <c r="AN597" s="0" t="n">
        <f aca="false">W_PH(AN$2,$A597)</f>
        <v>2015</v>
      </c>
      <c r="AO597" s="0" t="n">
        <f aca="false">W_PH(AO$2,$A597)</f>
        <v>2015</v>
      </c>
      <c r="AP597" s="0" t="n">
        <f aca="false">W_PH(AP$2,$A597)</f>
        <v>2015</v>
      </c>
      <c r="AQ597" s="0" t="n">
        <f aca="false">W_PH(AQ$2,$A597)</f>
        <v>2015</v>
      </c>
      <c r="AR597" s="0" t="n">
        <f aca="false">W_PH(AR$2,$A597)</f>
        <v>2015</v>
      </c>
      <c r="AS597" s="0" t="n">
        <f aca="false">W_PH(AS$2,$A597)</f>
        <v>2015</v>
      </c>
    </row>
    <row r="598" customFormat="false" ht="13.8" hidden="false" customHeight="false" outlineLevel="0" collapsed="false">
      <c r="A598" s="0" t="n">
        <v>7580</v>
      </c>
      <c r="B598" s="0" t="n">
        <f aca="false">W_PH(B$2,$A598)</f>
        <v>2015</v>
      </c>
      <c r="C598" s="0" t="n">
        <f aca="false">W_PH(C$2,$A598)</f>
        <v>2015</v>
      </c>
      <c r="D598" s="0" t="n">
        <f aca="false">W_PH(D$2,$A598)</f>
        <v>2015</v>
      </c>
      <c r="E598" s="0" t="n">
        <f aca="false">W_PH(E$2,$A598)</f>
        <v>2015</v>
      </c>
      <c r="F598" s="0" t="n">
        <f aca="false">W_PH(F$2,$A598)</f>
        <v>2015</v>
      </c>
      <c r="G598" s="0" t="n">
        <f aca="false">W_PH(G$2,$A598)</f>
        <v>2015</v>
      </c>
      <c r="H598" s="0" t="n">
        <f aca="false">W_PH(H$2,$A598)</f>
        <v>2015</v>
      </c>
      <c r="I598" s="0" t="n">
        <f aca="false">W_PH(I$2,$A598)</f>
        <v>2015</v>
      </c>
      <c r="J598" s="0" t="n">
        <f aca="false">W_PH(J$2,$A598)</f>
        <v>2015</v>
      </c>
      <c r="K598" s="0" t="n">
        <f aca="false">W_PH(K$2,$A598)</f>
        <v>2015</v>
      </c>
      <c r="L598" s="0" t="n">
        <f aca="false">W_PH(L$2,$A598)</f>
        <v>2015</v>
      </c>
      <c r="M598" s="0" t="n">
        <f aca="false">W_PH(M$2,$A598)</f>
        <v>2015</v>
      </c>
      <c r="N598" s="0" t="n">
        <f aca="false">W_PH(N$2,$A598)</f>
        <v>2015</v>
      </c>
      <c r="O598" s="0" t="n">
        <f aca="false">W_PH(O$2,$A598)</f>
        <v>2015</v>
      </c>
      <c r="P598" s="0" t="n">
        <f aca="false">W_PH(P$2,$A598)</f>
        <v>2015</v>
      </c>
      <c r="Q598" s="0" t="n">
        <f aca="false">W_PH(Q$2,$A598)</f>
        <v>2015</v>
      </c>
      <c r="R598" s="0" t="n">
        <f aca="false">W_PH(R$2,$A598)</f>
        <v>2015</v>
      </c>
      <c r="S598" s="0" t="n">
        <f aca="false">W_PH(S$2,$A598)</f>
        <v>2015</v>
      </c>
      <c r="T598" s="0" t="n">
        <f aca="false">W_PH(T$2,$A598)</f>
        <v>2015</v>
      </c>
      <c r="U598" s="0" t="n">
        <f aca="false">W_PH(U$2,$A598)</f>
        <v>2015</v>
      </c>
      <c r="V598" s="0" t="n">
        <f aca="false">W_PH(V$2,$A598)</f>
        <v>2015</v>
      </c>
      <c r="W598" s="0" t="n">
        <f aca="false">W_PH(W$2,$A598)</f>
        <v>2015</v>
      </c>
      <c r="X598" s="0" t="n">
        <f aca="false">W_PH(X$2,$A598)</f>
        <v>2015</v>
      </c>
      <c r="Y598" s="0" t="n">
        <f aca="false">W_PH(Y$2,$A598)</f>
        <v>2015</v>
      </c>
      <c r="Z598" s="0" t="n">
        <f aca="false">W_PH(Z$2,$A598)</f>
        <v>2015</v>
      </c>
      <c r="AA598" s="0" t="n">
        <f aca="false">W_PH(AA$2,$A598)</f>
        <v>2015</v>
      </c>
      <c r="AB598" s="0" t="n">
        <f aca="false">W_PH(AB$2,$A598)</f>
        <v>2015</v>
      </c>
      <c r="AC598" s="0" t="n">
        <f aca="false">W_PH(AC$2,$A598)</f>
        <v>2015</v>
      </c>
      <c r="AD598" s="0" t="n">
        <f aca="false">W_PH(AD$2,$A598)</f>
        <v>2015</v>
      </c>
      <c r="AE598" s="0" t="n">
        <f aca="false">W_PH(AE$2,$A598)</f>
        <v>2015</v>
      </c>
      <c r="AF598" s="0" t="n">
        <f aca="false">W_PH(AF$2,$A598)</f>
        <v>2015</v>
      </c>
      <c r="AG598" s="0" t="n">
        <f aca="false">W_PH(AG$2,$A598)</f>
        <v>2015</v>
      </c>
      <c r="AH598" s="0" t="n">
        <f aca="false">W_PH(AH$2,$A598)</f>
        <v>2015</v>
      </c>
      <c r="AI598" s="0" t="n">
        <f aca="false">W_PH(AI$2,$A598)</f>
        <v>2015</v>
      </c>
      <c r="AJ598" s="0" t="n">
        <f aca="false">W_PH(AJ$2,$A598)</f>
        <v>2015</v>
      </c>
      <c r="AK598" s="0" t="n">
        <f aca="false">W_PH(AK$2,$A598)</f>
        <v>2015</v>
      </c>
      <c r="AL598" s="0" t="n">
        <f aca="false">W_PH(AL$2,$A598)</f>
        <v>2015</v>
      </c>
      <c r="AM598" s="0" t="n">
        <f aca="false">W_PH(AM$2,$A598)</f>
        <v>2015</v>
      </c>
      <c r="AN598" s="0" t="n">
        <f aca="false">W_PH(AN$2,$A598)</f>
        <v>2015</v>
      </c>
      <c r="AO598" s="0" t="n">
        <f aca="false">W_PH(AO$2,$A598)</f>
        <v>2015</v>
      </c>
      <c r="AP598" s="0" t="n">
        <f aca="false">W_PH(AP$2,$A598)</f>
        <v>2015</v>
      </c>
      <c r="AQ598" s="0" t="n">
        <f aca="false">W_PH(AQ$2,$A598)</f>
        <v>2015</v>
      </c>
      <c r="AR598" s="0" t="n">
        <f aca="false">W_PH(AR$2,$A598)</f>
        <v>2015</v>
      </c>
      <c r="AS598" s="0" t="n">
        <f aca="false">W_PH(AS$2,$A598)</f>
        <v>2015</v>
      </c>
    </row>
    <row r="599" customFormat="false" ht="13.8" hidden="false" customHeight="false" outlineLevel="0" collapsed="false">
      <c r="A599" s="0" t="n">
        <v>7590</v>
      </c>
      <c r="B599" s="0" t="n">
        <f aca="false">W_PH(B$2,$A599)</f>
        <v>2015</v>
      </c>
      <c r="C599" s="0" t="n">
        <f aca="false">W_PH(C$2,$A599)</f>
        <v>2015</v>
      </c>
      <c r="D599" s="0" t="n">
        <f aca="false">W_PH(D$2,$A599)</f>
        <v>2015</v>
      </c>
      <c r="E599" s="0" t="n">
        <f aca="false">W_PH(E$2,$A599)</f>
        <v>2015</v>
      </c>
      <c r="F599" s="0" t="n">
        <f aca="false">W_PH(F$2,$A599)</f>
        <v>2015</v>
      </c>
      <c r="G599" s="0" t="n">
        <f aca="false">W_PH(G$2,$A599)</f>
        <v>2015</v>
      </c>
      <c r="H599" s="0" t="n">
        <f aca="false">W_PH(H$2,$A599)</f>
        <v>2015</v>
      </c>
      <c r="I599" s="0" t="n">
        <f aca="false">W_PH(I$2,$A599)</f>
        <v>2015</v>
      </c>
      <c r="J599" s="0" t="n">
        <f aca="false">W_PH(J$2,$A599)</f>
        <v>2015</v>
      </c>
      <c r="K599" s="0" t="n">
        <f aca="false">W_PH(K$2,$A599)</f>
        <v>2015</v>
      </c>
      <c r="L599" s="0" t="n">
        <f aca="false">W_PH(L$2,$A599)</f>
        <v>2015</v>
      </c>
      <c r="M599" s="0" t="n">
        <f aca="false">W_PH(M$2,$A599)</f>
        <v>2015</v>
      </c>
      <c r="N599" s="0" t="n">
        <f aca="false">W_PH(N$2,$A599)</f>
        <v>2015</v>
      </c>
      <c r="O599" s="0" t="n">
        <f aca="false">W_PH(O$2,$A599)</f>
        <v>2015</v>
      </c>
      <c r="P599" s="0" t="n">
        <f aca="false">W_PH(P$2,$A599)</f>
        <v>2015</v>
      </c>
      <c r="Q599" s="0" t="n">
        <f aca="false">W_PH(Q$2,$A599)</f>
        <v>2015</v>
      </c>
      <c r="R599" s="0" t="n">
        <f aca="false">W_PH(R$2,$A599)</f>
        <v>2015</v>
      </c>
      <c r="S599" s="0" t="n">
        <f aca="false">W_PH(S$2,$A599)</f>
        <v>2015</v>
      </c>
      <c r="T599" s="0" t="n">
        <f aca="false">W_PH(T$2,$A599)</f>
        <v>2015</v>
      </c>
      <c r="U599" s="0" t="n">
        <f aca="false">W_PH(U$2,$A599)</f>
        <v>2015</v>
      </c>
      <c r="V599" s="0" t="n">
        <f aca="false">W_PH(V$2,$A599)</f>
        <v>2015</v>
      </c>
      <c r="W599" s="0" t="n">
        <f aca="false">W_PH(W$2,$A599)</f>
        <v>2015</v>
      </c>
      <c r="X599" s="0" t="n">
        <f aca="false">W_PH(X$2,$A599)</f>
        <v>2015</v>
      </c>
      <c r="Y599" s="0" t="n">
        <f aca="false">W_PH(Y$2,$A599)</f>
        <v>2015</v>
      </c>
      <c r="Z599" s="0" t="n">
        <f aca="false">W_PH(Z$2,$A599)</f>
        <v>2015</v>
      </c>
      <c r="AA599" s="0" t="n">
        <f aca="false">W_PH(AA$2,$A599)</f>
        <v>2015</v>
      </c>
      <c r="AB599" s="0" t="n">
        <f aca="false">W_PH(AB$2,$A599)</f>
        <v>2015</v>
      </c>
      <c r="AC599" s="0" t="n">
        <f aca="false">W_PH(AC$2,$A599)</f>
        <v>2015</v>
      </c>
      <c r="AD599" s="0" t="n">
        <f aca="false">W_PH(AD$2,$A599)</f>
        <v>2015</v>
      </c>
      <c r="AE599" s="0" t="n">
        <f aca="false">W_PH(AE$2,$A599)</f>
        <v>2015</v>
      </c>
      <c r="AF599" s="0" t="n">
        <f aca="false">W_PH(AF$2,$A599)</f>
        <v>2015</v>
      </c>
      <c r="AG599" s="0" t="n">
        <f aca="false">W_PH(AG$2,$A599)</f>
        <v>2015</v>
      </c>
      <c r="AH599" s="0" t="n">
        <f aca="false">W_PH(AH$2,$A599)</f>
        <v>2015</v>
      </c>
      <c r="AI599" s="0" t="n">
        <f aca="false">W_PH(AI$2,$A599)</f>
        <v>2015</v>
      </c>
      <c r="AJ599" s="0" t="n">
        <f aca="false">W_PH(AJ$2,$A599)</f>
        <v>2015</v>
      </c>
      <c r="AK599" s="0" t="n">
        <f aca="false">W_PH(AK$2,$A599)</f>
        <v>2015</v>
      </c>
      <c r="AL599" s="0" t="n">
        <f aca="false">W_PH(AL$2,$A599)</f>
        <v>2015</v>
      </c>
      <c r="AM599" s="0" t="n">
        <f aca="false">W_PH(AM$2,$A599)</f>
        <v>2015</v>
      </c>
      <c r="AN599" s="0" t="n">
        <f aca="false">W_PH(AN$2,$A599)</f>
        <v>2015</v>
      </c>
      <c r="AO599" s="0" t="n">
        <f aca="false">W_PH(AO$2,$A599)</f>
        <v>2015</v>
      </c>
      <c r="AP599" s="0" t="n">
        <f aca="false">W_PH(AP$2,$A599)</f>
        <v>2015</v>
      </c>
      <c r="AQ599" s="0" t="n">
        <f aca="false">W_PH(AQ$2,$A599)</f>
        <v>2015</v>
      </c>
      <c r="AR599" s="0" t="n">
        <f aca="false">W_PH(AR$2,$A599)</f>
        <v>2015</v>
      </c>
      <c r="AS599" s="0" t="n">
        <f aca="false">W_PH(AS$2,$A599)</f>
        <v>2015</v>
      </c>
    </row>
    <row r="600" customFormat="false" ht="13.8" hidden="false" customHeight="false" outlineLevel="0" collapsed="false">
      <c r="A600" s="0" t="n">
        <v>7600</v>
      </c>
      <c r="B600" s="0" t="n">
        <f aca="false">W_PH(B$2,$A600)</f>
        <v>2015</v>
      </c>
      <c r="C600" s="0" t="n">
        <f aca="false">W_PH(C$2,$A600)</f>
        <v>2015</v>
      </c>
      <c r="D600" s="0" t="n">
        <f aca="false">W_PH(D$2,$A600)</f>
        <v>2015</v>
      </c>
      <c r="E600" s="0" t="n">
        <f aca="false">W_PH(E$2,$A600)</f>
        <v>2015</v>
      </c>
      <c r="F600" s="0" t="n">
        <f aca="false">W_PH(F$2,$A600)</f>
        <v>2015</v>
      </c>
      <c r="G600" s="0" t="n">
        <f aca="false">W_PH(G$2,$A600)</f>
        <v>2015</v>
      </c>
      <c r="H600" s="0" t="n">
        <f aca="false">W_PH(H$2,$A600)</f>
        <v>2015</v>
      </c>
      <c r="I600" s="0" t="n">
        <f aca="false">W_PH(I$2,$A600)</f>
        <v>2015</v>
      </c>
      <c r="J600" s="0" t="n">
        <f aca="false">W_PH(J$2,$A600)</f>
        <v>2015</v>
      </c>
      <c r="K600" s="0" t="n">
        <f aca="false">W_PH(K$2,$A600)</f>
        <v>2015</v>
      </c>
      <c r="L600" s="0" t="n">
        <f aca="false">W_PH(L$2,$A600)</f>
        <v>2015</v>
      </c>
      <c r="M600" s="0" t="n">
        <f aca="false">W_PH(M$2,$A600)</f>
        <v>2015</v>
      </c>
      <c r="N600" s="0" t="n">
        <f aca="false">W_PH(N$2,$A600)</f>
        <v>2015</v>
      </c>
      <c r="O600" s="0" t="n">
        <f aca="false">W_PH(O$2,$A600)</f>
        <v>2015</v>
      </c>
      <c r="P600" s="0" t="n">
        <f aca="false">W_PH(P$2,$A600)</f>
        <v>2015</v>
      </c>
      <c r="Q600" s="0" t="n">
        <f aca="false">W_PH(Q$2,$A600)</f>
        <v>2015</v>
      </c>
      <c r="R600" s="0" t="n">
        <f aca="false">W_PH(R$2,$A600)</f>
        <v>2015</v>
      </c>
      <c r="S600" s="0" t="n">
        <f aca="false">W_PH(S$2,$A600)</f>
        <v>2015</v>
      </c>
      <c r="T600" s="0" t="n">
        <f aca="false">W_PH(T$2,$A600)</f>
        <v>2015</v>
      </c>
      <c r="U600" s="0" t="n">
        <f aca="false">W_PH(U$2,$A600)</f>
        <v>2015</v>
      </c>
      <c r="V600" s="0" t="n">
        <f aca="false">W_PH(V$2,$A600)</f>
        <v>2015</v>
      </c>
      <c r="W600" s="0" t="n">
        <f aca="false">W_PH(W$2,$A600)</f>
        <v>2015</v>
      </c>
      <c r="X600" s="0" t="n">
        <f aca="false">W_PH(X$2,$A600)</f>
        <v>2015</v>
      </c>
      <c r="Y600" s="0" t="n">
        <f aca="false">W_PH(Y$2,$A600)</f>
        <v>2015</v>
      </c>
      <c r="Z600" s="0" t="n">
        <f aca="false">W_PH(Z$2,$A600)</f>
        <v>2015</v>
      </c>
      <c r="AA600" s="0" t="n">
        <f aca="false">W_PH(AA$2,$A600)</f>
        <v>2015</v>
      </c>
      <c r="AB600" s="0" t="n">
        <f aca="false">W_PH(AB$2,$A600)</f>
        <v>2015</v>
      </c>
      <c r="AC600" s="0" t="n">
        <f aca="false">W_PH(AC$2,$A600)</f>
        <v>2015</v>
      </c>
      <c r="AD600" s="0" t="n">
        <f aca="false">W_PH(AD$2,$A600)</f>
        <v>2015</v>
      </c>
      <c r="AE600" s="0" t="n">
        <f aca="false">W_PH(AE$2,$A600)</f>
        <v>2015</v>
      </c>
      <c r="AF600" s="0" t="n">
        <f aca="false">W_PH(AF$2,$A600)</f>
        <v>2015</v>
      </c>
      <c r="AG600" s="0" t="n">
        <f aca="false">W_PH(AG$2,$A600)</f>
        <v>2015</v>
      </c>
      <c r="AH600" s="0" t="n">
        <f aca="false">W_PH(AH$2,$A600)</f>
        <v>2015</v>
      </c>
      <c r="AI600" s="0" t="n">
        <f aca="false">W_PH(AI$2,$A600)</f>
        <v>2015</v>
      </c>
      <c r="AJ600" s="0" t="n">
        <f aca="false">W_PH(AJ$2,$A600)</f>
        <v>2015</v>
      </c>
      <c r="AK600" s="0" t="n">
        <f aca="false">W_PH(AK$2,$A600)</f>
        <v>2015</v>
      </c>
      <c r="AL600" s="0" t="n">
        <f aca="false">W_PH(AL$2,$A600)</f>
        <v>2015</v>
      </c>
      <c r="AM600" s="0" t="n">
        <f aca="false">W_PH(AM$2,$A600)</f>
        <v>2015</v>
      </c>
      <c r="AN600" s="0" t="n">
        <f aca="false">W_PH(AN$2,$A600)</f>
        <v>2015</v>
      </c>
      <c r="AO600" s="0" t="n">
        <f aca="false">W_PH(AO$2,$A600)</f>
        <v>2015</v>
      </c>
      <c r="AP600" s="0" t="n">
        <f aca="false">W_PH(AP$2,$A600)</f>
        <v>2015</v>
      </c>
      <c r="AQ600" s="0" t="n">
        <f aca="false">W_PH(AQ$2,$A600)</f>
        <v>2015</v>
      </c>
      <c r="AR600" s="0" t="n">
        <f aca="false">W_PH(AR$2,$A600)</f>
        <v>2015</v>
      </c>
      <c r="AS600" s="0" t="n">
        <f aca="false">W_PH(AS$2,$A600)</f>
        <v>2015</v>
      </c>
    </row>
    <row r="601" customFormat="false" ht="13.8" hidden="false" customHeight="false" outlineLevel="0" collapsed="false">
      <c r="A601" s="0" t="n">
        <v>7610</v>
      </c>
      <c r="B601" s="0" t="n">
        <f aca="false">W_PH(B$2,$A601)</f>
        <v>2015</v>
      </c>
      <c r="C601" s="0" t="n">
        <f aca="false">W_PH(C$2,$A601)</f>
        <v>2015</v>
      </c>
      <c r="D601" s="0" t="n">
        <f aca="false">W_PH(D$2,$A601)</f>
        <v>2015</v>
      </c>
      <c r="E601" s="0" t="n">
        <f aca="false">W_PH(E$2,$A601)</f>
        <v>2015</v>
      </c>
      <c r="F601" s="0" t="n">
        <f aca="false">W_PH(F$2,$A601)</f>
        <v>2015</v>
      </c>
      <c r="G601" s="0" t="n">
        <f aca="false">W_PH(G$2,$A601)</f>
        <v>2015</v>
      </c>
      <c r="H601" s="0" t="n">
        <f aca="false">W_PH(H$2,$A601)</f>
        <v>2015</v>
      </c>
      <c r="I601" s="0" t="n">
        <f aca="false">W_PH(I$2,$A601)</f>
        <v>2015</v>
      </c>
      <c r="J601" s="0" t="n">
        <f aca="false">W_PH(J$2,$A601)</f>
        <v>2015</v>
      </c>
      <c r="K601" s="0" t="n">
        <f aca="false">W_PH(K$2,$A601)</f>
        <v>2015</v>
      </c>
      <c r="L601" s="0" t="n">
        <f aca="false">W_PH(L$2,$A601)</f>
        <v>2015</v>
      </c>
      <c r="M601" s="0" t="n">
        <f aca="false">W_PH(M$2,$A601)</f>
        <v>2015</v>
      </c>
      <c r="N601" s="0" t="n">
        <f aca="false">W_PH(N$2,$A601)</f>
        <v>2015</v>
      </c>
      <c r="O601" s="0" t="n">
        <f aca="false">W_PH(O$2,$A601)</f>
        <v>2015</v>
      </c>
      <c r="P601" s="0" t="n">
        <f aca="false">W_PH(P$2,$A601)</f>
        <v>2015</v>
      </c>
      <c r="Q601" s="0" t="n">
        <f aca="false">W_PH(Q$2,$A601)</f>
        <v>2015</v>
      </c>
      <c r="R601" s="0" t="n">
        <f aca="false">W_PH(R$2,$A601)</f>
        <v>2015</v>
      </c>
      <c r="S601" s="0" t="n">
        <f aca="false">W_PH(S$2,$A601)</f>
        <v>2015</v>
      </c>
      <c r="T601" s="0" t="n">
        <f aca="false">W_PH(T$2,$A601)</f>
        <v>2015</v>
      </c>
      <c r="U601" s="0" t="n">
        <f aca="false">W_PH(U$2,$A601)</f>
        <v>2015</v>
      </c>
      <c r="V601" s="0" t="n">
        <f aca="false">W_PH(V$2,$A601)</f>
        <v>2015</v>
      </c>
      <c r="W601" s="0" t="n">
        <f aca="false">W_PH(W$2,$A601)</f>
        <v>2015</v>
      </c>
      <c r="X601" s="0" t="n">
        <f aca="false">W_PH(X$2,$A601)</f>
        <v>2015</v>
      </c>
      <c r="Y601" s="0" t="n">
        <f aca="false">W_PH(Y$2,$A601)</f>
        <v>2015</v>
      </c>
      <c r="Z601" s="0" t="n">
        <f aca="false">W_PH(Z$2,$A601)</f>
        <v>2015</v>
      </c>
      <c r="AA601" s="0" t="n">
        <f aca="false">W_PH(AA$2,$A601)</f>
        <v>2015</v>
      </c>
      <c r="AB601" s="0" t="n">
        <f aca="false">W_PH(AB$2,$A601)</f>
        <v>2015</v>
      </c>
      <c r="AC601" s="0" t="n">
        <f aca="false">W_PH(AC$2,$A601)</f>
        <v>2015</v>
      </c>
      <c r="AD601" s="0" t="n">
        <f aca="false">W_PH(AD$2,$A601)</f>
        <v>2015</v>
      </c>
      <c r="AE601" s="0" t="n">
        <f aca="false">W_PH(AE$2,$A601)</f>
        <v>2015</v>
      </c>
      <c r="AF601" s="0" t="n">
        <f aca="false">W_PH(AF$2,$A601)</f>
        <v>2015</v>
      </c>
      <c r="AG601" s="0" t="n">
        <f aca="false">W_PH(AG$2,$A601)</f>
        <v>2015</v>
      </c>
      <c r="AH601" s="0" t="n">
        <f aca="false">W_PH(AH$2,$A601)</f>
        <v>2015</v>
      </c>
      <c r="AI601" s="0" t="n">
        <f aca="false">W_PH(AI$2,$A601)</f>
        <v>2015</v>
      </c>
      <c r="AJ601" s="0" t="n">
        <f aca="false">W_PH(AJ$2,$A601)</f>
        <v>2015</v>
      </c>
      <c r="AK601" s="0" t="n">
        <f aca="false">W_PH(AK$2,$A601)</f>
        <v>2015</v>
      </c>
      <c r="AL601" s="0" t="n">
        <f aca="false">W_PH(AL$2,$A601)</f>
        <v>2015</v>
      </c>
      <c r="AM601" s="0" t="n">
        <f aca="false">W_PH(AM$2,$A601)</f>
        <v>2015</v>
      </c>
      <c r="AN601" s="0" t="n">
        <f aca="false">W_PH(AN$2,$A601)</f>
        <v>2015</v>
      </c>
      <c r="AO601" s="0" t="n">
        <f aca="false">W_PH(AO$2,$A601)</f>
        <v>2015</v>
      </c>
      <c r="AP601" s="0" t="n">
        <f aca="false">W_PH(AP$2,$A601)</f>
        <v>2015</v>
      </c>
      <c r="AQ601" s="0" t="n">
        <f aca="false">W_PH(AQ$2,$A601)</f>
        <v>2015</v>
      </c>
      <c r="AR601" s="0" t="n">
        <f aca="false">W_PH(AR$2,$A601)</f>
        <v>2015</v>
      </c>
      <c r="AS601" s="0" t="n">
        <f aca="false">W_PH(AS$2,$A601)</f>
        <v>2015</v>
      </c>
    </row>
    <row r="602" customFormat="false" ht="13.8" hidden="false" customHeight="false" outlineLevel="0" collapsed="false">
      <c r="A602" s="0" t="n">
        <v>7620</v>
      </c>
      <c r="B602" s="0" t="n">
        <f aca="false">W_PH(B$2,$A602)</f>
        <v>2015</v>
      </c>
      <c r="C602" s="0" t="n">
        <f aca="false">W_PH(C$2,$A602)</f>
        <v>2015</v>
      </c>
      <c r="D602" s="0" t="n">
        <f aca="false">W_PH(D$2,$A602)</f>
        <v>2015</v>
      </c>
      <c r="E602" s="0" t="n">
        <f aca="false">W_PH(E$2,$A602)</f>
        <v>2015</v>
      </c>
      <c r="F602" s="0" t="n">
        <f aca="false">W_PH(F$2,$A602)</f>
        <v>2015</v>
      </c>
      <c r="G602" s="0" t="n">
        <f aca="false">W_PH(G$2,$A602)</f>
        <v>2015</v>
      </c>
      <c r="H602" s="0" t="n">
        <f aca="false">W_PH(H$2,$A602)</f>
        <v>2015</v>
      </c>
      <c r="I602" s="0" t="n">
        <f aca="false">W_PH(I$2,$A602)</f>
        <v>2015</v>
      </c>
      <c r="J602" s="0" t="n">
        <f aca="false">W_PH(J$2,$A602)</f>
        <v>2015</v>
      </c>
      <c r="K602" s="0" t="n">
        <f aca="false">W_PH(K$2,$A602)</f>
        <v>2015</v>
      </c>
      <c r="L602" s="0" t="n">
        <f aca="false">W_PH(L$2,$A602)</f>
        <v>2015</v>
      </c>
      <c r="M602" s="0" t="n">
        <f aca="false">W_PH(M$2,$A602)</f>
        <v>2015</v>
      </c>
      <c r="N602" s="0" t="n">
        <f aca="false">W_PH(N$2,$A602)</f>
        <v>2015</v>
      </c>
      <c r="O602" s="0" t="n">
        <f aca="false">W_PH(O$2,$A602)</f>
        <v>2015</v>
      </c>
      <c r="P602" s="0" t="n">
        <f aca="false">W_PH(P$2,$A602)</f>
        <v>2015</v>
      </c>
      <c r="Q602" s="0" t="n">
        <f aca="false">W_PH(Q$2,$A602)</f>
        <v>2015</v>
      </c>
      <c r="R602" s="0" t="n">
        <f aca="false">W_PH(R$2,$A602)</f>
        <v>2015</v>
      </c>
      <c r="S602" s="0" t="n">
        <f aca="false">W_PH(S$2,$A602)</f>
        <v>2015</v>
      </c>
      <c r="T602" s="0" t="n">
        <f aca="false">W_PH(T$2,$A602)</f>
        <v>2015</v>
      </c>
      <c r="U602" s="0" t="n">
        <f aca="false">W_PH(U$2,$A602)</f>
        <v>2015</v>
      </c>
      <c r="V602" s="0" t="n">
        <f aca="false">W_PH(V$2,$A602)</f>
        <v>2015</v>
      </c>
      <c r="W602" s="0" t="n">
        <f aca="false">W_PH(W$2,$A602)</f>
        <v>2015</v>
      </c>
      <c r="X602" s="0" t="n">
        <f aca="false">W_PH(X$2,$A602)</f>
        <v>2015</v>
      </c>
      <c r="Y602" s="0" t="n">
        <f aca="false">W_PH(Y$2,$A602)</f>
        <v>2015</v>
      </c>
      <c r="Z602" s="0" t="n">
        <f aca="false">W_PH(Z$2,$A602)</f>
        <v>2015</v>
      </c>
      <c r="AA602" s="0" t="n">
        <f aca="false">W_PH(AA$2,$A602)</f>
        <v>2015</v>
      </c>
      <c r="AB602" s="0" t="n">
        <f aca="false">W_PH(AB$2,$A602)</f>
        <v>2015</v>
      </c>
      <c r="AC602" s="0" t="n">
        <f aca="false">W_PH(AC$2,$A602)</f>
        <v>2015</v>
      </c>
      <c r="AD602" s="0" t="n">
        <f aca="false">W_PH(AD$2,$A602)</f>
        <v>2015</v>
      </c>
      <c r="AE602" s="0" t="n">
        <f aca="false">W_PH(AE$2,$A602)</f>
        <v>2015</v>
      </c>
      <c r="AF602" s="0" t="n">
        <f aca="false">W_PH(AF$2,$A602)</f>
        <v>2015</v>
      </c>
      <c r="AG602" s="0" t="n">
        <f aca="false">W_PH(AG$2,$A602)</f>
        <v>2015</v>
      </c>
      <c r="AH602" s="0" t="n">
        <f aca="false">W_PH(AH$2,$A602)</f>
        <v>2015</v>
      </c>
      <c r="AI602" s="0" t="n">
        <f aca="false">W_PH(AI$2,$A602)</f>
        <v>2015</v>
      </c>
      <c r="AJ602" s="0" t="n">
        <f aca="false">W_PH(AJ$2,$A602)</f>
        <v>2015</v>
      </c>
      <c r="AK602" s="0" t="n">
        <f aca="false">W_PH(AK$2,$A602)</f>
        <v>2015</v>
      </c>
      <c r="AL602" s="0" t="n">
        <f aca="false">W_PH(AL$2,$A602)</f>
        <v>2015</v>
      </c>
      <c r="AM602" s="0" t="n">
        <f aca="false">W_PH(AM$2,$A602)</f>
        <v>2015</v>
      </c>
      <c r="AN602" s="0" t="n">
        <f aca="false">W_PH(AN$2,$A602)</f>
        <v>2015</v>
      </c>
      <c r="AO602" s="0" t="n">
        <f aca="false">W_PH(AO$2,$A602)</f>
        <v>2015</v>
      </c>
      <c r="AP602" s="0" t="n">
        <f aca="false">W_PH(AP$2,$A602)</f>
        <v>2015</v>
      </c>
      <c r="AQ602" s="0" t="n">
        <f aca="false">W_PH(AQ$2,$A602)</f>
        <v>2015</v>
      </c>
      <c r="AR602" s="0" t="n">
        <f aca="false">W_PH(AR$2,$A602)</f>
        <v>2015</v>
      </c>
      <c r="AS602" s="0" t="n">
        <f aca="false">W_PH(AS$2,$A602)</f>
        <v>2015</v>
      </c>
    </row>
    <row r="603" customFormat="false" ht="13.8" hidden="false" customHeight="false" outlineLevel="0" collapsed="false">
      <c r="A603" s="0" t="n">
        <v>7630</v>
      </c>
      <c r="B603" s="0" t="n">
        <f aca="false">W_PH(B$2,$A603)</f>
        <v>2015</v>
      </c>
      <c r="C603" s="0" t="n">
        <f aca="false">W_PH(C$2,$A603)</f>
        <v>2015</v>
      </c>
      <c r="D603" s="0" t="n">
        <f aca="false">W_PH(D$2,$A603)</f>
        <v>2015</v>
      </c>
      <c r="E603" s="0" t="n">
        <f aca="false">W_PH(E$2,$A603)</f>
        <v>2015</v>
      </c>
      <c r="F603" s="0" t="n">
        <f aca="false">W_PH(F$2,$A603)</f>
        <v>2015</v>
      </c>
      <c r="G603" s="0" t="n">
        <f aca="false">W_PH(G$2,$A603)</f>
        <v>2015</v>
      </c>
      <c r="H603" s="0" t="n">
        <f aca="false">W_PH(H$2,$A603)</f>
        <v>2015</v>
      </c>
      <c r="I603" s="0" t="n">
        <f aca="false">W_PH(I$2,$A603)</f>
        <v>2015</v>
      </c>
      <c r="J603" s="0" t="n">
        <f aca="false">W_PH(J$2,$A603)</f>
        <v>2015</v>
      </c>
      <c r="K603" s="0" t="n">
        <f aca="false">W_PH(K$2,$A603)</f>
        <v>2015</v>
      </c>
      <c r="L603" s="0" t="n">
        <f aca="false">W_PH(L$2,$A603)</f>
        <v>2015</v>
      </c>
      <c r="M603" s="0" t="n">
        <f aca="false">W_PH(M$2,$A603)</f>
        <v>2015</v>
      </c>
      <c r="N603" s="0" t="n">
        <f aca="false">W_PH(N$2,$A603)</f>
        <v>2015</v>
      </c>
      <c r="O603" s="0" t="n">
        <f aca="false">W_PH(O$2,$A603)</f>
        <v>2015</v>
      </c>
      <c r="P603" s="0" t="n">
        <f aca="false">W_PH(P$2,$A603)</f>
        <v>2015</v>
      </c>
      <c r="Q603" s="0" t="n">
        <f aca="false">W_PH(Q$2,$A603)</f>
        <v>2015</v>
      </c>
      <c r="R603" s="0" t="n">
        <f aca="false">W_PH(R$2,$A603)</f>
        <v>2015</v>
      </c>
      <c r="S603" s="0" t="n">
        <f aca="false">W_PH(S$2,$A603)</f>
        <v>2015</v>
      </c>
      <c r="T603" s="0" t="n">
        <f aca="false">W_PH(T$2,$A603)</f>
        <v>2015</v>
      </c>
      <c r="U603" s="0" t="n">
        <f aca="false">W_PH(U$2,$A603)</f>
        <v>2015</v>
      </c>
      <c r="V603" s="0" t="n">
        <f aca="false">W_PH(V$2,$A603)</f>
        <v>2015</v>
      </c>
      <c r="W603" s="0" t="n">
        <f aca="false">W_PH(W$2,$A603)</f>
        <v>2015</v>
      </c>
      <c r="X603" s="0" t="n">
        <f aca="false">W_PH(X$2,$A603)</f>
        <v>2015</v>
      </c>
      <c r="Y603" s="0" t="n">
        <f aca="false">W_PH(Y$2,$A603)</f>
        <v>2015</v>
      </c>
      <c r="Z603" s="0" t="n">
        <f aca="false">W_PH(Z$2,$A603)</f>
        <v>2015</v>
      </c>
      <c r="AA603" s="0" t="n">
        <f aca="false">W_PH(AA$2,$A603)</f>
        <v>2015</v>
      </c>
      <c r="AB603" s="0" t="n">
        <f aca="false">W_PH(AB$2,$A603)</f>
        <v>2015</v>
      </c>
      <c r="AC603" s="0" t="n">
        <f aca="false">W_PH(AC$2,$A603)</f>
        <v>2015</v>
      </c>
      <c r="AD603" s="0" t="n">
        <f aca="false">W_PH(AD$2,$A603)</f>
        <v>2015</v>
      </c>
      <c r="AE603" s="0" t="n">
        <f aca="false">W_PH(AE$2,$A603)</f>
        <v>2015</v>
      </c>
      <c r="AF603" s="0" t="n">
        <f aca="false">W_PH(AF$2,$A603)</f>
        <v>2015</v>
      </c>
      <c r="AG603" s="0" t="n">
        <f aca="false">W_PH(AG$2,$A603)</f>
        <v>2015</v>
      </c>
      <c r="AH603" s="0" t="n">
        <f aca="false">W_PH(AH$2,$A603)</f>
        <v>2015</v>
      </c>
      <c r="AI603" s="0" t="n">
        <f aca="false">W_PH(AI$2,$A603)</f>
        <v>2015</v>
      </c>
      <c r="AJ603" s="0" t="n">
        <f aca="false">W_PH(AJ$2,$A603)</f>
        <v>2015</v>
      </c>
      <c r="AK603" s="0" t="n">
        <f aca="false">W_PH(AK$2,$A603)</f>
        <v>2015</v>
      </c>
      <c r="AL603" s="0" t="n">
        <f aca="false">W_PH(AL$2,$A603)</f>
        <v>2015</v>
      </c>
      <c r="AM603" s="0" t="n">
        <f aca="false">W_PH(AM$2,$A603)</f>
        <v>2015</v>
      </c>
      <c r="AN603" s="0" t="n">
        <f aca="false">W_PH(AN$2,$A603)</f>
        <v>2015</v>
      </c>
      <c r="AO603" s="0" t="n">
        <f aca="false">W_PH(AO$2,$A603)</f>
        <v>2015</v>
      </c>
      <c r="AP603" s="0" t="n">
        <f aca="false">W_PH(AP$2,$A603)</f>
        <v>2015</v>
      </c>
      <c r="AQ603" s="0" t="n">
        <f aca="false">W_PH(AQ$2,$A603)</f>
        <v>2015</v>
      </c>
      <c r="AR603" s="0" t="n">
        <f aca="false">W_PH(AR$2,$A603)</f>
        <v>2015</v>
      </c>
      <c r="AS603" s="0" t="n">
        <f aca="false">W_PH(AS$2,$A603)</f>
        <v>2015</v>
      </c>
    </row>
    <row r="604" customFormat="false" ht="13.8" hidden="false" customHeight="false" outlineLevel="0" collapsed="false">
      <c r="A604" s="0" t="n">
        <v>7640</v>
      </c>
      <c r="B604" s="0" t="n">
        <f aca="false">W_PH(B$2,$A604)</f>
        <v>2015</v>
      </c>
      <c r="C604" s="0" t="n">
        <f aca="false">W_PH(C$2,$A604)</f>
        <v>2015</v>
      </c>
      <c r="D604" s="0" t="n">
        <f aca="false">W_PH(D$2,$A604)</f>
        <v>2015</v>
      </c>
      <c r="E604" s="0" t="n">
        <f aca="false">W_PH(E$2,$A604)</f>
        <v>2015</v>
      </c>
      <c r="F604" s="0" t="n">
        <f aca="false">W_PH(F$2,$A604)</f>
        <v>2015</v>
      </c>
      <c r="G604" s="0" t="n">
        <f aca="false">W_PH(G$2,$A604)</f>
        <v>2015</v>
      </c>
      <c r="H604" s="0" t="n">
        <f aca="false">W_PH(H$2,$A604)</f>
        <v>2015</v>
      </c>
      <c r="I604" s="0" t="n">
        <f aca="false">W_PH(I$2,$A604)</f>
        <v>2015</v>
      </c>
      <c r="J604" s="0" t="n">
        <f aca="false">W_PH(J$2,$A604)</f>
        <v>2015</v>
      </c>
      <c r="K604" s="0" t="n">
        <f aca="false">W_PH(K$2,$A604)</f>
        <v>2015</v>
      </c>
      <c r="L604" s="0" t="n">
        <f aca="false">W_PH(L$2,$A604)</f>
        <v>2015</v>
      </c>
      <c r="M604" s="0" t="n">
        <f aca="false">W_PH(M$2,$A604)</f>
        <v>2015</v>
      </c>
      <c r="N604" s="0" t="n">
        <f aca="false">W_PH(N$2,$A604)</f>
        <v>2015</v>
      </c>
      <c r="O604" s="0" t="n">
        <f aca="false">W_PH(O$2,$A604)</f>
        <v>2015</v>
      </c>
      <c r="P604" s="0" t="n">
        <f aca="false">W_PH(P$2,$A604)</f>
        <v>2015</v>
      </c>
      <c r="Q604" s="0" t="n">
        <f aca="false">W_PH(Q$2,$A604)</f>
        <v>2015</v>
      </c>
      <c r="R604" s="0" t="n">
        <f aca="false">W_PH(R$2,$A604)</f>
        <v>2015</v>
      </c>
      <c r="S604" s="0" t="n">
        <f aca="false">W_PH(S$2,$A604)</f>
        <v>2015</v>
      </c>
      <c r="T604" s="0" t="n">
        <f aca="false">W_PH(T$2,$A604)</f>
        <v>2015</v>
      </c>
      <c r="U604" s="0" t="n">
        <f aca="false">W_PH(U$2,$A604)</f>
        <v>2015</v>
      </c>
      <c r="V604" s="0" t="n">
        <f aca="false">W_PH(V$2,$A604)</f>
        <v>2015</v>
      </c>
      <c r="W604" s="0" t="n">
        <f aca="false">W_PH(W$2,$A604)</f>
        <v>2015</v>
      </c>
      <c r="X604" s="0" t="n">
        <f aca="false">W_PH(X$2,$A604)</f>
        <v>2015</v>
      </c>
      <c r="Y604" s="0" t="n">
        <f aca="false">W_PH(Y$2,$A604)</f>
        <v>2015</v>
      </c>
      <c r="Z604" s="0" t="n">
        <f aca="false">W_PH(Z$2,$A604)</f>
        <v>2015</v>
      </c>
      <c r="AA604" s="0" t="n">
        <f aca="false">W_PH(AA$2,$A604)</f>
        <v>2015</v>
      </c>
      <c r="AB604" s="0" t="n">
        <f aca="false">W_PH(AB$2,$A604)</f>
        <v>2015</v>
      </c>
      <c r="AC604" s="0" t="n">
        <f aca="false">W_PH(AC$2,$A604)</f>
        <v>2015</v>
      </c>
      <c r="AD604" s="0" t="n">
        <f aca="false">W_PH(AD$2,$A604)</f>
        <v>2015</v>
      </c>
      <c r="AE604" s="0" t="n">
        <f aca="false">W_PH(AE$2,$A604)</f>
        <v>2015</v>
      </c>
      <c r="AF604" s="0" t="n">
        <f aca="false">W_PH(AF$2,$A604)</f>
        <v>2015</v>
      </c>
      <c r="AG604" s="0" t="n">
        <f aca="false">W_PH(AG$2,$A604)</f>
        <v>2015</v>
      </c>
      <c r="AH604" s="0" t="n">
        <f aca="false">W_PH(AH$2,$A604)</f>
        <v>2015</v>
      </c>
      <c r="AI604" s="0" t="n">
        <f aca="false">W_PH(AI$2,$A604)</f>
        <v>2015</v>
      </c>
      <c r="AJ604" s="0" t="n">
        <f aca="false">W_PH(AJ$2,$A604)</f>
        <v>2015</v>
      </c>
      <c r="AK604" s="0" t="n">
        <f aca="false">W_PH(AK$2,$A604)</f>
        <v>2015</v>
      </c>
      <c r="AL604" s="0" t="n">
        <f aca="false">W_PH(AL$2,$A604)</f>
        <v>2015</v>
      </c>
      <c r="AM604" s="0" t="n">
        <f aca="false">W_PH(AM$2,$A604)</f>
        <v>2015</v>
      </c>
      <c r="AN604" s="0" t="n">
        <f aca="false">W_PH(AN$2,$A604)</f>
        <v>2015</v>
      </c>
      <c r="AO604" s="0" t="n">
        <f aca="false">W_PH(AO$2,$A604)</f>
        <v>2015</v>
      </c>
      <c r="AP604" s="0" t="n">
        <f aca="false">W_PH(AP$2,$A604)</f>
        <v>2015</v>
      </c>
      <c r="AQ604" s="0" t="n">
        <f aca="false">W_PH(AQ$2,$A604)</f>
        <v>2015</v>
      </c>
      <c r="AR604" s="0" t="n">
        <f aca="false">W_PH(AR$2,$A604)</f>
        <v>2015</v>
      </c>
      <c r="AS604" s="0" t="n">
        <f aca="false">W_PH(AS$2,$A604)</f>
        <v>2015</v>
      </c>
    </row>
    <row r="605" customFormat="false" ht="13.8" hidden="false" customHeight="false" outlineLevel="0" collapsed="false">
      <c r="A605" s="0" t="n">
        <v>7650</v>
      </c>
      <c r="B605" s="0" t="n">
        <f aca="false">W_PH(B$2,$A605)</f>
        <v>2015</v>
      </c>
      <c r="C605" s="0" t="n">
        <f aca="false">W_PH(C$2,$A605)</f>
        <v>2015</v>
      </c>
      <c r="D605" s="0" t="n">
        <f aca="false">W_PH(D$2,$A605)</f>
        <v>2015</v>
      </c>
      <c r="E605" s="0" t="n">
        <f aca="false">W_PH(E$2,$A605)</f>
        <v>2015</v>
      </c>
      <c r="F605" s="0" t="n">
        <f aca="false">W_PH(F$2,$A605)</f>
        <v>2015</v>
      </c>
      <c r="G605" s="0" t="n">
        <f aca="false">W_PH(G$2,$A605)</f>
        <v>2015</v>
      </c>
      <c r="H605" s="0" t="n">
        <f aca="false">W_PH(H$2,$A605)</f>
        <v>2015</v>
      </c>
      <c r="I605" s="0" t="n">
        <f aca="false">W_PH(I$2,$A605)</f>
        <v>2015</v>
      </c>
      <c r="J605" s="0" t="n">
        <f aca="false">W_PH(J$2,$A605)</f>
        <v>2015</v>
      </c>
      <c r="K605" s="0" t="n">
        <f aca="false">W_PH(K$2,$A605)</f>
        <v>2015</v>
      </c>
      <c r="L605" s="0" t="n">
        <f aca="false">W_PH(L$2,$A605)</f>
        <v>2015</v>
      </c>
      <c r="M605" s="0" t="n">
        <f aca="false">W_PH(M$2,$A605)</f>
        <v>2015</v>
      </c>
      <c r="N605" s="0" t="n">
        <f aca="false">W_PH(N$2,$A605)</f>
        <v>2015</v>
      </c>
      <c r="O605" s="0" t="n">
        <f aca="false">W_PH(O$2,$A605)</f>
        <v>2015</v>
      </c>
      <c r="P605" s="0" t="n">
        <f aca="false">W_PH(P$2,$A605)</f>
        <v>2015</v>
      </c>
      <c r="Q605" s="0" t="n">
        <f aca="false">W_PH(Q$2,$A605)</f>
        <v>2015</v>
      </c>
      <c r="R605" s="0" t="n">
        <f aca="false">W_PH(R$2,$A605)</f>
        <v>2015</v>
      </c>
      <c r="S605" s="0" t="n">
        <f aca="false">W_PH(S$2,$A605)</f>
        <v>2015</v>
      </c>
      <c r="T605" s="0" t="n">
        <f aca="false">W_PH(T$2,$A605)</f>
        <v>2015</v>
      </c>
      <c r="U605" s="0" t="n">
        <f aca="false">W_PH(U$2,$A605)</f>
        <v>2015</v>
      </c>
      <c r="V605" s="0" t="n">
        <f aca="false">W_PH(V$2,$A605)</f>
        <v>2015</v>
      </c>
      <c r="W605" s="0" t="n">
        <f aca="false">W_PH(W$2,$A605)</f>
        <v>2015</v>
      </c>
      <c r="X605" s="0" t="n">
        <f aca="false">W_PH(X$2,$A605)</f>
        <v>2015</v>
      </c>
      <c r="Y605" s="0" t="n">
        <f aca="false">W_PH(Y$2,$A605)</f>
        <v>2015</v>
      </c>
      <c r="Z605" s="0" t="n">
        <f aca="false">W_PH(Z$2,$A605)</f>
        <v>2015</v>
      </c>
      <c r="AA605" s="0" t="n">
        <f aca="false">W_PH(AA$2,$A605)</f>
        <v>2015</v>
      </c>
      <c r="AB605" s="0" t="n">
        <f aca="false">W_PH(AB$2,$A605)</f>
        <v>2015</v>
      </c>
      <c r="AC605" s="0" t="n">
        <f aca="false">W_PH(AC$2,$A605)</f>
        <v>2015</v>
      </c>
      <c r="AD605" s="0" t="n">
        <f aca="false">W_PH(AD$2,$A605)</f>
        <v>2015</v>
      </c>
      <c r="AE605" s="0" t="n">
        <f aca="false">W_PH(AE$2,$A605)</f>
        <v>2015</v>
      </c>
      <c r="AF605" s="0" t="n">
        <f aca="false">W_PH(AF$2,$A605)</f>
        <v>2015</v>
      </c>
      <c r="AG605" s="0" t="n">
        <f aca="false">W_PH(AG$2,$A605)</f>
        <v>2015</v>
      </c>
      <c r="AH605" s="0" t="n">
        <f aca="false">W_PH(AH$2,$A605)</f>
        <v>2015</v>
      </c>
      <c r="AI605" s="0" t="n">
        <f aca="false">W_PH(AI$2,$A605)</f>
        <v>2015</v>
      </c>
      <c r="AJ605" s="0" t="n">
        <f aca="false">W_PH(AJ$2,$A605)</f>
        <v>2015</v>
      </c>
      <c r="AK605" s="0" t="n">
        <f aca="false">W_PH(AK$2,$A605)</f>
        <v>2015</v>
      </c>
      <c r="AL605" s="0" t="n">
        <f aca="false">W_PH(AL$2,$A605)</f>
        <v>2015</v>
      </c>
      <c r="AM605" s="0" t="n">
        <f aca="false">W_PH(AM$2,$A605)</f>
        <v>2015</v>
      </c>
      <c r="AN605" s="0" t="n">
        <f aca="false">W_PH(AN$2,$A605)</f>
        <v>2015</v>
      </c>
      <c r="AO605" s="0" t="n">
        <f aca="false">W_PH(AO$2,$A605)</f>
        <v>2015</v>
      </c>
      <c r="AP605" s="0" t="n">
        <f aca="false">W_PH(AP$2,$A605)</f>
        <v>2015</v>
      </c>
      <c r="AQ605" s="0" t="n">
        <f aca="false">W_PH(AQ$2,$A605)</f>
        <v>2015</v>
      </c>
      <c r="AR605" s="0" t="n">
        <f aca="false">W_PH(AR$2,$A605)</f>
        <v>2015</v>
      </c>
      <c r="AS605" s="0" t="n">
        <f aca="false">W_PH(AS$2,$A605)</f>
        <v>2015</v>
      </c>
    </row>
    <row r="606" customFormat="false" ht="13.8" hidden="false" customHeight="false" outlineLevel="0" collapsed="false">
      <c r="A606" s="0" t="n">
        <v>7660</v>
      </c>
      <c r="B606" s="0" t="n">
        <f aca="false">W_PH(B$2,$A606)</f>
        <v>2015</v>
      </c>
      <c r="C606" s="0" t="n">
        <f aca="false">W_PH(C$2,$A606)</f>
        <v>2015</v>
      </c>
      <c r="D606" s="0" t="n">
        <f aca="false">W_PH(D$2,$A606)</f>
        <v>2015</v>
      </c>
      <c r="E606" s="0" t="n">
        <f aca="false">W_PH(E$2,$A606)</f>
        <v>2015</v>
      </c>
      <c r="F606" s="0" t="n">
        <f aca="false">W_PH(F$2,$A606)</f>
        <v>2015</v>
      </c>
      <c r="G606" s="0" t="n">
        <f aca="false">W_PH(G$2,$A606)</f>
        <v>2015</v>
      </c>
      <c r="H606" s="0" t="n">
        <f aca="false">W_PH(H$2,$A606)</f>
        <v>2015</v>
      </c>
      <c r="I606" s="0" t="n">
        <f aca="false">W_PH(I$2,$A606)</f>
        <v>2015</v>
      </c>
      <c r="J606" s="0" t="n">
        <f aca="false">W_PH(J$2,$A606)</f>
        <v>2015</v>
      </c>
      <c r="K606" s="0" t="n">
        <f aca="false">W_PH(K$2,$A606)</f>
        <v>2015</v>
      </c>
      <c r="L606" s="0" t="n">
        <f aca="false">W_PH(L$2,$A606)</f>
        <v>2015</v>
      </c>
      <c r="M606" s="0" t="n">
        <f aca="false">W_PH(M$2,$A606)</f>
        <v>2015</v>
      </c>
      <c r="N606" s="0" t="n">
        <f aca="false">W_PH(N$2,$A606)</f>
        <v>2015</v>
      </c>
      <c r="O606" s="0" t="n">
        <f aca="false">W_PH(O$2,$A606)</f>
        <v>2015</v>
      </c>
      <c r="P606" s="0" t="n">
        <f aca="false">W_PH(P$2,$A606)</f>
        <v>2015</v>
      </c>
      <c r="Q606" s="0" t="n">
        <f aca="false">W_PH(Q$2,$A606)</f>
        <v>2015</v>
      </c>
      <c r="R606" s="0" t="n">
        <f aca="false">W_PH(R$2,$A606)</f>
        <v>2015</v>
      </c>
      <c r="S606" s="0" t="n">
        <f aca="false">W_PH(S$2,$A606)</f>
        <v>2015</v>
      </c>
      <c r="T606" s="0" t="n">
        <f aca="false">W_PH(T$2,$A606)</f>
        <v>2015</v>
      </c>
      <c r="U606" s="0" t="n">
        <f aca="false">W_PH(U$2,$A606)</f>
        <v>2015</v>
      </c>
      <c r="V606" s="0" t="n">
        <f aca="false">W_PH(V$2,$A606)</f>
        <v>2015</v>
      </c>
      <c r="W606" s="0" t="n">
        <f aca="false">W_PH(W$2,$A606)</f>
        <v>2015</v>
      </c>
      <c r="X606" s="0" t="n">
        <f aca="false">W_PH(X$2,$A606)</f>
        <v>2015</v>
      </c>
      <c r="Y606" s="0" t="n">
        <f aca="false">W_PH(Y$2,$A606)</f>
        <v>2015</v>
      </c>
      <c r="Z606" s="0" t="n">
        <f aca="false">W_PH(Z$2,$A606)</f>
        <v>2015</v>
      </c>
      <c r="AA606" s="0" t="n">
        <f aca="false">W_PH(AA$2,$A606)</f>
        <v>2015</v>
      </c>
      <c r="AB606" s="0" t="n">
        <f aca="false">W_PH(AB$2,$A606)</f>
        <v>2015</v>
      </c>
      <c r="AC606" s="0" t="n">
        <f aca="false">W_PH(AC$2,$A606)</f>
        <v>2015</v>
      </c>
      <c r="AD606" s="0" t="n">
        <f aca="false">W_PH(AD$2,$A606)</f>
        <v>2015</v>
      </c>
      <c r="AE606" s="0" t="n">
        <f aca="false">W_PH(AE$2,$A606)</f>
        <v>2015</v>
      </c>
      <c r="AF606" s="0" t="n">
        <f aca="false">W_PH(AF$2,$A606)</f>
        <v>2015</v>
      </c>
      <c r="AG606" s="0" t="n">
        <f aca="false">W_PH(AG$2,$A606)</f>
        <v>2015</v>
      </c>
      <c r="AH606" s="0" t="n">
        <f aca="false">W_PH(AH$2,$A606)</f>
        <v>2015</v>
      </c>
      <c r="AI606" s="0" t="n">
        <f aca="false">W_PH(AI$2,$A606)</f>
        <v>2015</v>
      </c>
      <c r="AJ606" s="0" t="n">
        <f aca="false">W_PH(AJ$2,$A606)</f>
        <v>2015</v>
      </c>
      <c r="AK606" s="0" t="n">
        <f aca="false">W_PH(AK$2,$A606)</f>
        <v>2015</v>
      </c>
      <c r="AL606" s="0" t="n">
        <f aca="false">W_PH(AL$2,$A606)</f>
        <v>2015</v>
      </c>
      <c r="AM606" s="0" t="n">
        <f aca="false">W_PH(AM$2,$A606)</f>
        <v>2015</v>
      </c>
      <c r="AN606" s="0" t="n">
        <f aca="false">W_PH(AN$2,$A606)</f>
        <v>2015</v>
      </c>
      <c r="AO606" s="0" t="n">
        <f aca="false">W_PH(AO$2,$A606)</f>
        <v>2015</v>
      </c>
      <c r="AP606" s="0" t="n">
        <f aca="false">W_PH(AP$2,$A606)</f>
        <v>2015</v>
      </c>
      <c r="AQ606" s="0" t="n">
        <f aca="false">W_PH(AQ$2,$A606)</f>
        <v>2015</v>
      </c>
      <c r="AR606" s="0" t="n">
        <f aca="false">W_PH(AR$2,$A606)</f>
        <v>2015</v>
      </c>
      <c r="AS606" s="0" t="n">
        <f aca="false">W_PH(AS$2,$A606)</f>
        <v>2015</v>
      </c>
    </row>
    <row r="607" customFormat="false" ht="13.8" hidden="false" customHeight="false" outlineLevel="0" collapsed="false">
      <c r="A607" s="0" t="n">
        <v>7670</v>
      </c>
      <c r="B607" s="0" t="n">
        <f aca="false">W_PH(B$2,$A607)</f>
        <v>2015</v>
      </c>
      <c r="C607" s="0" t="n">
        <f aca="false">W_PH(C$2,$A607)</f>
        <v>2015</v>
      </c>
      <c r="D607" s="0" t="n">
        <f aca="false">W_PH(D$2,$A607)</f>
        <v>2015</v>
      </c>
      <c r="E607" s="0" t="n">
        <f aca="false">W_PH(E$2,$A607)</f>
        <v>2015</v>
      </c>
      <c r="F607" s="0" t="n">
        <f aca="false">W_PH(F$2,$A607)</f>
        <v>2015</v>
      </c>
      <c r="G607" s="0" t="n">
        <f aca="false">W_PH(G$2,$A607)</f>
        <v>2015</v>
      </c>
      <c r="H607" s="0" t="n">
        <f aca="false">W_PH(H$2,$A607)</f>
        <v>2015</v>
      </c>
      <c r="I607" s="0" t="n">
        <f aca="false">W_PH(I$2,$A607)</f>
        <v>2015</v>
      </c>
      <c r="J607" s="0" t="n">
        <f aca="false">W_PH(J$2,$A607)</f>
        <v>2015</v>
      </c>
      <c r="K607" s="0" t="n">
        <f aca="false">W_PH(K$2,$A607)</f>
        <v>2015</v>
      </c>
      <c r="L607" s="0" t="n">
        <f aca="false">W_PH(L$2,$A607)</f>
        <v>2015</v>
      </c>
      <c r="M607" s="0" t="n">
        <f aca="false">W_PH(M$2,$A607)</f>
        <v>2015</v>
      </c>
      <c r="N607" s="0" t="n">
        <f aca="false">W_PH(N$2,$A607)</f>
        <v>2015</v>
      </c>
      <c r="O607" s="0" t="n">
        <f aca="false">W_PH(O$2,$A607)</f>
        <v>2015</v>
      </c>
      <c r="P607" s="0" t="n">
        <f aca="false">W_PH(P$2,$A607)</f>
        <v>2015</v>
      </c>
      <c r="Q607" s="0" t="n">
        <f aca="false">W_PH(Q$2,$A607)</f>
        <v>2015</v>
      </c>
      <c r="R607" s="0" t="n">
        <f aca="false">W_PH(R$2,$A607)</f>
        <v>2015</v>
      </c>
      <c r="S607" s="0" t="n">
        <f aca="false">W_PH(S$2,$A607)</f>
        <v>2015</v>
      </c>
      <c r="T607" s="0" t="n">
        <f aca="false">W_PH(T$2,$A607)</f>
        <v>2015</v>
      </c>
      <c r="U607" s="0" t="n">
        <f aca="false">W_PH(U$2,$A607)</f>
        <v>2015</v>
      </c>
      <c r="V607" s="0" t="n">
        <f aca="false">W_PH(V$2,$A607)</f>
        <v>2015</v>
      </c>
      <c r="W607" s="0" t="n">
        <f aca="false">W_PH(W$2,$A607)</f>
        <v>2015</v>
      </c>
      <c r="X607" s="0" t="n">
        <f aca="false">W_PH(X$2,$A607)</f>
        <v>2015</v>
      </c>
      <c r="Y607" s="0" t="n">
        <f aca="false">W_PH(Y$2,$A607)</f>
        <v>2015</v>
      </c>
      <c r="Z607" s="0" t="n">
        <f aca="false">W_PH(Z$2,$A607)</f>
        <v>2015</v>
      </c>
      <c r="AA607" s="0" t="n">
        <f aca="false">W_PH(AA$2,$A607)</f>
        <v>2015</v>
      </c>
      <c r="AB607" s="0" t="n">
        <f aca="false">W_PH(AB$2,$A607)</f>
        <v>2015</v>
      </c>
      <c r="AC607" s="0" t="n">
        <f aca="false">W_PH(AC$2,$A607)</f>
        <v>2015</v>
      </c>
      <c r="AD607" s="0" t="n">
        <f aca="false">W_PH(AD$2,$A607)</f>
        <v>2015</v>
      </c>
      <c r="AE607" s="0" t="n">
        <f aca="false">W_PH(AE$2,$A607)</f>
        <v>2015</v>
      </c>
      <c r="AF607" s="0" t="n">
        <f aca="false">W_PH(AF$2,$A607)</f>
        <v>2015</v>
      </c>
      <c r="AG607" s="0" t="n">
        <f aca="false">W_PH(AG$2,$A607)</f>
        <v>2015</v>
      </c>
      <c r="AH607" s="0" t="n">
        <f aca="false">W_PH(AH$2,$A607)</f>
        <v>2015</v>
      </c>
      <c r="AI607" s="0" t="n">
        <f aca="false">W_PH(AI$2,$A607)</f>
        <v>2015</v>
      </c>
      <c r="AJ607" s="0" t="n">
        <f aca="false">W_PH(AJ$2,$A607)</f>
        <v>2015</v>
      </c>
      <c r="AK607" s="0" t="n">
        <f aca="false">W_PH(AK$2,$A607)</f>
        <v>2015</v>
      </c>
      <c r="AL607" s="0" t="n">
        <f aca="false">W_PH(AL$2,$A607)</f>
        <v>2015</v>
      </c>
      <c r="AM607" s="0" t="n">
        <f aca="false">W_PH(AM$2,$A607)</f>
        <v>2015</v>
      </c>
      <c r="AN607" s="0" t="n">
        <f aca="false">W_PH(AN$2,$A607)</f>
        <v>2015</v>
      </c>
      <c r="AO607" s="0" t="n">
        <f aca="false">W_PH(AO$2,$A607)</f>
        <v>2015</v>
      </c>
      <c r="AP607" s="0" t="n">
        <f aca="false">W_PH(AP$2,$A607)</f>
        <v>2015</v>
      </c>
      <c r="AQ607" s="0" t="n">
        <f aca="false">W_PH(AQ$2,$A607)</f>
        <v>2015</v>
      </c>
      <c r="AR607" s="0" t="n">
        <f aca="false">W_PH(AR$2,$A607)</f>
        <v>2015</v>
      </c>
      <c r="AS607" s="0" t="n">
        <f aca="false">W_PH(AS$2,$A607)</f>
        <v>2015</v>
      </c>
    </row>
    <row r="608" customFormat="false" ht="13.8" hidden="false" customHeight="false" outlineLevel="0" collapsed="false">
      <c r="A608" s="0" t="n">
        <v>7680</v>
      </c>
      <c r="B608" s="0" t="n">
        <f aca="false">W_PH(B$2,$A608)</f>
        <v>2015</v>
      </c>
      <c r="C608" s="0" t="n">
        <f aca="false">W_PH(C$2,$A608)</f>
        <v>2015</v>
      </c>
      <c r="D608" s="0" t="n">
        <f aca="false">W_PH(D$2,$A608)</f>
        <v>2015</v>
      </c>
      <c r="E608" s="0" t="n">
        <f aca="false">W_PH(E$2,$A608)</f>
        <v>2015</v>
      </c>
      <c r="F608" s="0" t="n">
        <f aca="false">W_PH(F$2,$A608)</f>
        <v>2015</v>
      </c>
      <c r="G608" s="0" t="n">
        <f aca="false">W_PH(G$2,$A608)</f>
        <v>2015</v>
      </c>
      <c r="H608" s="0" t="n">
        <f aca="false">W_PH(H$2,$A608)</f>
        <v>2015</v>
      </c>
      <c r="I608" s="0" t="n">
        <f aca="false">W_PH(I$2,$A608)</f>
        <v>2015</v>
      </c>
      <c r="J608" s="0" t="n">
        <f aca="false">W_PH(J$2,$A608)</f>
        <v>2015</v>
      </c>
      <c r="K608" s="0" t="n">
        <f aca="false">W_PH(K$2,$A608)</f>
        <v>2015</v>
      </c>
      <c r="L608" s="0" t="n">
        <f aca="false">W_PH(L$2,$A608)</f>
        <v>2015</v>
      </c>
      <c r="M608" s="0" t="n">
        <f aca="false">W_PH(M$2,$A608)</f>
        <v>2015</v>
      </c>
      <c r="N608" s="0" t="n">
        <f aca="false">W_PH(N$2,$A608)</f>
        <v>2015</v>
      </c>
      <c r="O608" s="0" t="n">
        <f aca="false">W_PH(O$2,$A608)</f>
        <v>2015</v>
      </c>
      <c r="P608" s="0" t="n">
        <f aca="false">W_PH(P$2,$A608)</f>
        <v>2015</v>
      </c>
      <c r="Q608" s="0" t="n">
        <f aca="false">W_PH(Q$2,$A608)</f>
        <v>2015</v>
      </c>
      <c r="R608" s="0" t="n">
        <f aca="false">W_PH(R$2,$A608)</f>
        <v>2015</v>
      </c>
      <c r="S608" s="0" t="n">
        <f aca="false">W_PH(S$2,$A608)</f>
        <v>2015</v>
      </c>
      <c r="T608" s="0" t="n">
        <f aca="false">W_PH(T$2,$A608)</f>
        <v>2015</v>
      </c>
      <c r="U608" s="0" t="n">
        <f aca="false">W_PH(U$2,$A608)</f>
        <v>2015</v>
      </c>
      <c r="V608" s="0" t="n">
        <f aca="false">W_PH(V$2,$A608)</f>
        <v>2015</v>
      </c>
      <c r="W608" s="0" t="n">
        <f aca="false">W_PH(W$2,$A608)</f>
        <v>2015</v>
      </c>
      <c r="X608" s="0" t="n">
        <f aca="false">W_PH(X$2,$A608)</f>
        <v>2015</v>
      </c>
      <c r="Y608" s="0" t="n">
        <f aca="false">W_PH(Y$2,$A608)</f>
        <v>2015</v>
      </c>
      <c r="Z608" s="0" t="n">
        <f aca="false">W_PH(Z$2,$A608)</f>
        <v>2015</v>
      </c>
      <c r="AA608" s="0" t="n">
        <f aca="false">W_PH(AA$2,$A608)</f>
        <v>2015</v>
      </c>
      <c r="AB608" s="0" t="n">
        <f aca="false">W_PH(AB$2,$A608)</f>
        <v>2015</v>
      </c>
      <c r="AC608" s="0" t="n">
        <f aca="false">W_PH(AC$2,$A608)</f>
        <v>2015</v>
      </c>
      <c r="AD608" s="0" t="n">
        <f aca="false">W_PH(AD$2,$A608)</f>
        <v>2015</v>
      </c>
      <c r="AE608" s="0" t="n">
        <f aca="false">W_PH(AE$2,$A608)</f>
        <v>2015</v>
      </c>
      <c r="AF608" s="0" t="n">
        <f aca="false">W_PH(AF$2,$A608)</f>
        <v>2015</v>
      </c>
      <c r="AG608" s="0" t="n">
        <f aca="false">W_PH(AG$2,$A608)</f>
        <v>2015</v>
      </c>
      <c r="AH608" s="0" t="n">
        <f aca="false">W_PH(AH$2,$A608)</f>
        <v>2015</v>
      </c>
      <c r="AI608" s="0" t="n">
        <f aca="false">W_PH(AI$2,$A608)</f>
        <v>2015</v>
      </c>
      <c r="AJ608" s="0" t="n">
        <f aca="false">W_PH(AJ$2,$A608)</f>
        <v>2015</v>
      </c>
      <c r="AK608" s="0" t="n">
        <f aca="false">W_PH(AK$2,$A608)</f>
        <v>2015</v>
      </c>
      <c r="AL608" s="0" t="n">
        <f aca="false">W_PH(AL$2,$A608)</f>
        <v>2015</v>
      </c>
      <c r="AM608" s="0" t="n">
        <f aca="false">W_PH(AM$2,$A608)</f>
        <v>2015</v>
      </c>
      <c r="AN608" s="0" t="n">
        <f aca="false">W_PH(AN$2,$A608)</f>
        <v>2015</v>
      </c>
      <c r="AO608" s="0" t="n">
        <f aca="false">W_PH(AO$2,$A608)</f>
        <v>2015</v>
      </c>
      <c r="AP608" s="0" t="n">
        <f aca="false">W_PH(AP$2,$A608)</f>
        <v>2015</v>
      </c>
      <c r="AQ608" s="0" t="n">
        <f aca="false">W_PH(AQ$2,$A608)</f>
        <v>2015</v>
      </c>
      <c r="AR608" s="0" t="n">
        <f aca="false">W_PH(AR$2,$A608)</f>
        <v>2015</v>
      </c>
      <c r="AS608" s="0" t="n">
        <f aca="false">W_PH(AS$2,$A608)</f>
        <v>2015</v>
      </c>
    </row>
    <row r="609" customFormat="false" ht="13.8" hidden="false" customHeight="false" outlineLevel="0" collapsed="false">
      <c r="A609" s="0" t="n">
        <v>7690</v>
      </c>
      <c r="B609" s="0" t="n">
        <f aca="false">W_PH(B$2,$A609)</f>
        <v>2015</v>
      </c>
      <c r="C609" s="0" t="n">
        <f aca="false">W_PH(C$2,$A609)</f>
        <v>2015</v>
      </c>
      <c r="D609" s="0" t="n">
        <f aca="false">W_PH(D$2,$A609)</f>
        <v>2015</v>
      </c>
      <c r="E609" s="0" t="n">
        <f aca="false">W_PH(E$2,$A609)</f>
        <v>2015</v>
      </c>
      <c r="F609" s="0" t="n">
        <f aca="false">W_PH(F$2,$A609)</f>
        <v>2015</v>
      </c>
      <c r="G609" s="0" t="n">
        <f aca="false">W_PH(G$2,$A609)</f>
        <v>2015</v>
      </c>
      <c r="H609" s="0" t="n">
        <f aca="false">W_PH(H$2,$A609)</f>
        <v>2015</v>
      </c>
      <c r="I609" s="0" t="n">
        <f aca="false">W_PH(I$2,$A609)</f>
        <v>2015</v>
      </c>
      <c r="J609" s="0" t="n">
        <f aca="false">W_PH(J$2,$A609)</f>
        <v>2015</v>
      </c>
      <c r="K609" s="0" t="n">
        <f aca="false">W_PH(K$2,$A609)</f>
        <v>2015</v>
      </c>
      <c r="L609" s="0" t="n">
        <f aca="false">W_PH(L$2,$A609)</f>
        <v>2015</v>
      </c>
      <c r="M609" s="0" t="n">
        <f aca="false">W_PH(M$2,$A609)</f>
        <v>2015</v>
      </c>
      <c r="N609" s="0" t="n">
        <f aca="false">W_PH(N$2,$A609)</f>
        <v>2015</v>
      </c>
      <c r="O609" s="0" t="n">
        <f aca="false">W_PH(O$2,$A609)</f>
        <v>2015</v>
      </c>
      <c r="P609" s="0" t="n">
        <f aca="false">W_PH(P$2,$A609)</f>
        <v>2015</v>
      </c>
      <c r="Q609" s="0" t="n">
        <f aca="false">W_PH(Q$2,$A609)</f>
        <v>2015</v>
      </c>
      <c r="R609" s="0" t="n">
        <f aca="false">W_PH(R$2,$A609)</f>
        <v>2015</v>
      </c>
      <c r="S609" s="0" t="n">
        <f aca="false">W_PH(S$2,$A609)</f>
        <v>2015</v>
      </c>
      <c r="T609" s="0" t="n">
        <f aca="false">W_PH(T$2,$A609)</f>
        <v>2015</v>
      </c>
      <c r="U609" s="0" t="n">
        <f aca="false">W_PH(U$2,$A609)</f>
        <v>2015</v>
      </c>
      <c r="V609" s="0" t="n">
        <f aca="false">W_PH(V$2,$A609)</f>
        <v>2015</v>
      </c>
      <c r="W609" s="0" t="n">
        <f aca="false">W_PH(W$2,$A609)</f>
        <v>2015</v>
      </c>
      <c r="X609" s="0" t="n">
        <f aca="false">W_PH(X$2,$A609)</f>
        <v>2015</v>
      </c>
      <c r="Y609" s="0" t="n">
        <f aca="false">W_PH(Y$2,$A609)</f>
        <v>2015</v>
      </c>
      <c r="Z609" s="0" t="n">
        <f aca="false">W_PH(Z$2,$A609)</f>
        <v>2015</v>
      </c>
      <c r="AA609" s="0" t="n">
        <f aca="false">W_PH(AA$2,$A609)</f>
        <v>2015</v>
      </c>
      <c r="AB609" s="0" t="n">
        <f aca="false">W_PH(AB$2,$A609)</f>
        <v>2015</v>
      </c>
      <c r="AC609" s="0" t="n">
        <f aca="false">W_PH(AC$2,$A609)</f>
        <v>2015</v>
      </c>
      <c r="AD609" s="0" t="n">
        <f aca="false">W_PH(AD$2,$A609)</f>
        <v>2015</v>
      </c>
      <c r="AE609" s="0" t="n">
        <f aca="false">W_PH(AE$2,$A609)</f>
        <v>2015</v>
      </c>
      <c r="AF609" s="0" t="n">
        <f aca="false">W_PH(AF$2,$A609)</f>
        <v>2015</v>
      </c>
      <c r="AG609" s="0" t="n">
        <f aca="false">W_PH(AG$2,$A609)</f>
        <v>2015</v>
      </c>
      <c r="AH609" s="0" t="n">
        <f aca="false">W_PH(AH$2,$A609)</f>
        <v>2015</v>
      </c>
      <c r="AI609" s="0" t="n">
        <f aca="false">W_PH(AI$2,$A609)</f>
        <v>2015</v>
      </c>
      <c r="AJ609" s="0" t="n">
        <f aca="false">W_PH(AJ$2,$A609)</f>
        <v>2015</v>
      </c>
      <c r="AK609" s="0" t="n">
        <f aca="false">W_PH(AK$2,$A609)</f>
        <v>2015</v>
      </c>
      <c r="AL609" s="0" t="n">
        <f aca="false">W_PH(AL$2,$A609)</f>
        <v>2015</v>
      </c>
      <c r="AM609" s="0" t="n">
        <f aca="false">W_PH(AM$2,$A609)</f>
        <v>2015</v>
      </c>
      <c r="AN609" s="0" t="n">
        <f aca="false">W_PH(AN$2,$A609)</f>
        <v>2015</v>
      </c>
      <c r="AO609" s="0" t="n">
        <f aca="false">W_PH(AO$2,$A609)</f>
        <v>2015</v>
      </c>
      <c r="AP609" s="0" t="n">
        <f aca="false">W_PH(AP$2,$A609)</f>
        <v>2015</v>
      </c>
      <c r="AQ609" s="0" t="n">
        <f aca="false">W_PH(AQ$2,$A609)</f>
        <v>2015</v>
      </c>
      <c r="AR609" s="0" t="n">
        <f aca="false">W_PH(AR$2,$A609)</f>
        <v>2015</v>
      </c>
      <c r="AS609" s="0" t="n">
        <f aca="false">W_PH(AS$2,$A609)</f>
        <v>2015</v>
      </c>
    </row>
    <row r="610" customFormat="false" ht="13.8" hidden="false" customHeight="false" outlineLevel="0" collapsed="false">
      <c r="A610" s="0" t="n">
        <v>7700</v>
      </c>
      <c r="B610" s="0" t="n">
        <f aca="false">W_PH(B$2,$A610)</f>
        <v>2015</v>
      </c>
      <c r="C610" s="0" t="n">
        <f aca="false">W_PH(C$2,$A610)</f>
        <v>2015</v>
      </c>
      <c r="D610" s="0" t="n">
        <f aca="false">W_PH(D$2,$A610)</f>
        <v>2015</v>
      </c>
      <c r="E610" s="0" t="n">
        <f aca="false">W_PH(E$2,$A610)</f>
        <v>2015</v>
      </c>
      <c r="F610" s="0" t="n">
        <f aca="false">W_PH(F$2,$A610)</f>
        <v>2015</v>
      </c>
      <c r="G610" s="0" t="n">
        <f aca="false">W_PH(G$2,$A610)</f>
        <v>2015</v>
      </c>
      <c r="H610" s="0" t="n">
        <f aca="false">W_PH(H$2,$A610)</f>
        <v>2015</v>
      </c>
      <c r="I610" s="0" t="n">
        <f aca="false">W_PH(I$2,$A610)</f>
        <v>2015</v>
      </c>
      <c r="J610" s="0" t="n">
        <f aca="false">W_PH(J$2,$A610)</f>
        <v>2015</v>
      </c>
      <c r="K610" s="0" t="n">
        <f aca="false">W_PH(K$2,$A610)</f>
        <v>2015</v>
      </c>
      <c r="L610" s="0" t="n">
        <f aca="false">W_PH(L$2,$A610)</f>
        <v>2015</v>
      </c>
      <c r="M610" s="0" t="n">
        <f aca="false">W_PH(M$2,$A610)</f>
        <v>2015</v>
      </c>
      <c r="N610" s="0" t="n">
        <f aca="false">W_PH(N$2,$A610)</f>
        <v>2015</v>
      </c>
      <c r="O610" s="0" t="n">
        <f aca="false">W_PH(O$2,$A610)</f>
        <v>2015</v>
      </c>
      <c r="P610" s="0" t="n">
        <f aca="false">W_PH(P$2,$A610)</f>
        <v>2015</v>
      </c>
      <c r="Q610" s="0" t="n">
        <f aca="false">W_PH(Q$2,$A610)</f>
        <v>2015</v>
      </c>
      <c r="R610" s="0" t="n">
        <f aca="false">W_PH(R$2,$A610)</f>
        <v>2015</v>
      </c>
      <c r="S610" s="0" t="n">
        <f aca="false">W_PH(S$2,$A610)</f>
        <v>2015</v>
      </c>
      <c r="T610" s="0" t="n">
        <f aca="false">W_PH(T$2,$A610)</f>
        <v>2015</v>
      </c>
      <c r="U610" s="0" t="n">
        <f aca="false">W_PH(U$2,$A610)</f>
        <v>2015</v>
      </c>
      <c r="V610" s="0" t="n">
        <f aca="false">W_PH(V$2,$A610)</f>
        <v>2015</v>
      </c>
      <c r="W610" s="0" t="n">
        <f aca="false">W_PH(W$2,$A610)</f>
        <v>2015</v>
      </c>
      <c r="X610" s="0" t="n">
        <f aca="false">W_PH(X$2,$A610)</f>
        <v>2015</v>
      </c>
      <c r="Y610" s="0" t="n">
        <f aca="false">W_PH(Y$2,$A610)</f>
        <v>2015</v>
      </c>
      <c r="Z610" s="0" t="n">
        <f aca="false">W_PH(Z$2,$A610)</f>
        <v>2015</v>
      </c>
      <c r="AA610" s="0" t="n">
        <f aca="false">W_PH(AA$2,$A610)</f>
        <v>2015</v>
      </c>
      <c r="AB610" s="0" t="n">
        <f aca="false">W_PH(AB$2,$A610)</f>
        <v>2015</v>
      </c>
      <c r="AC610" s="0" t="n">
        <f aca="false">W_PH(AC$2,$A610)</f>
        <v>2015</v>
      </c>
      <c r="AD610" s="0" t="n">
        <f aca="false">W_PH(AD$2,$A610)</f>
        <v>2015</v>
      </c>
      <c r="AE610" s="0" t="n">
        <f aca="false">W_PH(AE$2,$A610)</f>
        <v>2015</v>
      </c>
      <c r="AF610" s="0" t="n">
        <f aca="false">W_PH(AF$2,$A610)</f>
        <v>2015</v>
      </c>
      <c r="AG610" s="0" t="n">
        <f aca="false">W_PH(AG$2,$A610)</f>
        <v>2015</v>
      </c>
      <c r="AH610" s="0" t="n">
        <f aca="false">W_PH(AH$2,$A610)</f>
        <v>2015</v>
      </c>
      <c r="AI610" s="0" t="n">
        <f aca="false">W_PH(AI$2,$A610)</f>
        <v>2015</v>
      </c>
      <c r="AJ610" s="0" t="n">
        <f aca="false">W_PH(AJ$2,$A610)</f>
        <v>2015</v>
      </c>
      <c r="AK610" s="0" t="n">
        <f aca="false">W_PH(AK$2,$A610)</f>
        <v>2015</v>
      </c>
      <c r="AL610" s="0" t="n">
        <f aca="false">W_PH(AL$2,$A610)</f>
        <v>2015</v>
      </c>
      <c r="AM610" s="0" t="n">
        <f aca="false">W_PH(AM$2,$A610)</f>
        <v>2015</v>
      </c>
      <c r="AN610" s="0" t="n">
        <f aca="false">W_PH(AN$2,$A610)</f>
        <v>2015</v>
      </c>
      <c r="AO610" s="0" t="n">
        <f aca="false">W_PH(AO$2,$A610)</f>
        <v>2015</v>
      </c>
      <c r="AP610" s="0" t="n">
        <f aca="false">W_PH(AP$2,$A610)</f>
        <v>2015</v>
      </c>
      <c r="AQ610" s="0" t="n">
        <f aca="false">W_PH(AQ$2,$A610)</f>
        <v>2015</v>
      </c>
      <c r="AR610" s="0" t="n">
        <f aca="false">W_PH(AR$2,$A610)</f>
        <v>2015</v>
      </c>
      <c r="AS610" s="0" t="n">
        <f aca="false">W_PH(AS$2,$A610)</f>
        <v>2015</v>
      </c>
    </row>
    <row r="611" customFormat="false" ht="13.8" hidden="false" customHeight="false" outlineLevel="0" collapsed="false">
      <c r="A611" s="0" t="n">
        <v>7710</v>
      </c>
      <c r="B611" s="0" t="n">
        <f aca="false">W_PH(B$2,$A611)</f>
        <v>2015</v>
      </c>
      <c r="C611" s="0" t="n">
        <f aca="false">W_PH(C$2,$A611)</f>
        <v>2015</v>
      </c>
      <c r="D611" s="0" t="n">
        <f aca="false">W_PH(D$2,$A611)</f>
        <v>2015</v>
      </c>
      <c r="E611" s="0" t="n">
        <f aca="false">W_PH(E$2,$A611)</f>
        <v>2015</v>
      </c>
      <c r="F611" s="0" t="n">
        <f aca="false">W_PH(F$2,$A611)</f>
        <v>2015</v>
      </c>
      <c r="G611" s="0" t="n">
        <f aca="false">W_PH(G$2,$A611)</f>
        <v>2015</v>
      </c>
      <c r="H611" s="0" t="n">
        <f aca="false">W_PH(H$2,$A611)</f>
        <v>2015</v>
      </c>
      <c r="I611" s="0" t="n">
        <f aca="false">W_PH(I$2,$A611)</f>
        <v>2015</v>
      </c>
      <c r="J611" s="0" t="n">
        <f aca="false">W_PH(J$2,$A611)</f>
        <v>2015</v>
      </c>
      <c r="K611" s="0" t="n">
        <f aca="false">W_PH(K$2,$A611)</f>
        <v>2015</v>
      </c>
      <c r="L611" s="0" t="n">
        <f aca="false">W_PH(L$2,$A611)</f>
        <v>2015</v>
      </c>
      <c r="M611" s="0" t="n">
        <f aca="false">W_PH(M$2,$A611)</f>
        <v>2015</v>
      </c>
      <c r="N611" s="0" t="n">
        <f aca="false">W_PH(N$2,$A611)</f>
        <v>2015</v>
      </c>
      <c r="O611" s="0" t="n">
        <f aca="false">W_PH(O$2,$A611)</f>
        <v>2015</v>
      </c>
      <c r="P611" s="0" t="n">
        <f aca="false">W_PH(P$2,$A611)</f>
        <v>2015</v>
      </c>
      <c r="Q611" s="0" t="n">
        <f aca="false">W_PH(Q$2,$A611)</f>
        <v>2015</v>
      </c>
      <c r="R611" s="0" t="n">
        <f aca="false">W_PH(R$2,$A611)</f>
        <v>2015</v>
      </c>
      <c r="S611" s="0" t="n">
        <f aca="false">W_PH(S$2,$A611)</f>
        <v>2015</v>
      </c>
      <c r="T611" s="0" t="n">
        <f aca="false">W_PH(T$2,$A611)</f>
        <v>2015</v>
      </c>
      <c r="U611" s="0" t="n">
        <f aca="false">W_PH(U$2,$A611)</f>
        <v>2015</v>
      </c>
      <c r="V611" s="0" t="n">
        <f aca="false">W_PH(V$2,$A611)</f>
        <v>2015</v>
      </c>
      <c r="W611" s="0" t="n">
        <f aca="false">W_PH(W$2,$A611)</f>
        <v>2015</v>
      </c>
      <c r="X611" s="0" t="n">
        <f aca="false">W_PH(X$2,$A611)</f>
        <v>2015</v>
      </c>
      <c r="Y611" s="0" t="n">
        <f aca="false">W_PH(Y$2,$A611)</f>
        <v>2015</v>
      </c>
      <c r="Z611" s="0" t="n">
        <f aca="false">W_PH(Z$2,$A611)</f>
        <v>2015</v>
      </c>
      <c r="AA611" s="0" t="n">
        <f aca="false">W_PH(AA$2,$A611)</f>
        <v>2015</v>
      </c>
      <c r="AB611" s="0" t="n">
        <f aca="false">W_PH(AB$2,$A611)</f>
        <v>2015</v>
      </c>
      <c r="AC611" s="0" t="n">
        <f aca="false">W_PH(AC$2,$A611)</f>
        <v>2015</v>
      </c>
      <c r="AD611" s="0" t="n">
        <f aca="false">W_PH(AD$2,$A611)</f>
        <v>2015</v>
      </c>
      <c r="AE611" s="0" t="n">
        <f aca="false">W_PH(AE$2,$A611)</f>
        <v>2015</v>
      </c>
      <c r="AF611" s="0" t="n">
        <f aca="false">W_PH(AF$2,$A611)</f>
        <v>2015</v>
      </c>
      <c r="AG611" s="0" t="n">
        <f aca="false">W_PH(AG$2,$A611)</f>
        <v>2015</v>
      </c>
      <c r="AH611" s="0" t="n">
        <f aca="false">W_PH(AH$2,$A611)</f>
        <v>2015</v>
      </c>
      <c r="AI611" s="0" t="n">
        <f aca="false">W_PH(AI$2,$A611)</f>
        <v>2015</v>
      </c>
      <c r="AJ611" s="0" t="n">
        <f aca="false">W_PH(AJ$2,$A611)</f>
        <v>2015</v>
      </c>
      <c r="AK611" s="0" t="n">
        <f aca="false">W_PH(AK$2,$A611)</f>
        <v>2015</v>
      </c>
      <c r="AL611" s="0" t="n">
        <f aca="false">W_PH(AL$2,$A611)</f>
        <v>2015</v>
      </c>
      <c r="AM611" s="0" t="n">
        <f aca="false">W_PH(AM$2,$A611)</f>
        <v>2015</v>
      </c>
      <c r="AN611" s="0" t="n">
        <f aca="false">W_PH(AN$2,$A611)</f>
        <v>2015</v>
      </c>
      <c r="AO611" s="0" t="n">
        <f aca="false">W_PH(AO$2,$A611)</f>
        <v>2015</v>
      </c>
      <c r="AP611" s="0" t="n">
        <f aca="false">W_PH(AP$2,$A611)</f>
        <v>2015</v>
      </c>
      <c r="AQ611" s="0" t="n">
        <f aca="false">W_PH(AQ$2,$A611)</f>
        <v>2015</v>
      </c>
      <c r="AR611" s="0" t="n">
        <f aca="false">W_PH(AR$2,$A611)</f>
        <v>2015</v>
      </c>
      <c r="AS611" s="0" t="n">
        <f aca="false">W_PH(AS$2,$A611)</f>
        <v>2015</v>
      </c>
    </row>
    <row r="612" customFormat="false" ht="13.8" hidden="false" customHeight="false" outlineLevel="0" collapsed="false">
      <c r="A612" s="0" t="n">
        <v>7720</v>
      </c>
      <c r="B612" s="0" t="n">
        <f aca="false">W_PH(B$2,$A612)</f>
        <v>2015</v>
      </c>
      <c r="C612" s="0" t="n">
        <f aca="false">W_PH(C$2,$A612)</f>
        <v>2015</v>
      </c>
      <c r="D612" s="0" t="n">
        <f aca="false">W_PH(D$2,$A612)</f>
        <v>2015</v>
      </c>
      <c r="E612" s="0" t="n">
        <f aca="false">W_PH(E$2,$A612)</f>
        <v>2015</v>
      </c>
      <c r="F612" s="0" t="n">
        <f aca="false">W_PH(F$2,$A612)</f>
        <v>2015</v>
      </c>
      <c r="G612" s="0" t="n">
        <f aca="false">W_PH(G$2,$A612)</f>
        <v>2015</v>
      </c>
      <c r="H612" s="0" t="n">
        <f aca="false">W_PH(H$2,$A612)</f>
        <v>2015</v>
      </c>
      <c r="I612" s="0" t="n">
        <f aca="false">W_PH(I$2,$A612)</f>
        <v>2015</v>
      </c>
      <c r="J612" s="0" t="n">
        <f aca="false">W_PH(J$2,$A612)</f>
        <v>2015</v>
      </c>
      <c r="K612" s="0" t="n">
        <f aca="false">W_PH(K$2,$A612)</f>
        <v>2015</v>
      </c>
      <c r="L612" s="0" t="n">
        <f aca="false">W_PH(L$2,$A612)</f>
        <v>2015</v>
      </c>
      <c r="M612" s="0" t="n">
        <f aca="false">W_PH(M$2,$A612)</f>
        <v>2015</v>
      </c>
      <c r="N612" s="0" t="n">
        <f aca="false">W_PH(N$2,$A612)</f>
        <v>2015</v>
      </c>
      <c r="O612" s="0" t="n">
        <f aca="false">W_PH(O$2,$A612)</f>
        <v>2015</v>
      </c>
      <c r="P612" s="0" t="n">
        <f aca="false">W_PH(P$2,$A612)</f>
        <v>2015</v>
      </c>
      <c r="Q612" s="0" t="n">
        <f aca="false">W_PH(Q$2,$A612)</f>
        <v>2015</v>
      </c>
      <c r="R612" s="0" t="n">
        <f aca="false">W_PH(R$2,$A612)</f>
        <v>2015</v>
      </c>
      <c r="S612" s="0" t="n">
        <f aca="false">W_PH(S$2,$A612)</f>
        <v>2015</v>
      </c>
      <c r="T612" s="0" t="n">
        <f aca="false">W_PH(T$2,$A612)</f>
        <v>2015</v>
      </c>
      <c r="U612" s="0" t="n">
        <f aca="false">W_PH(U$2,$A612)</f>
        <v>2015</v>
      </c>
      <c r="V612" s="0" t="n">
        <f aca="false">W_PH(V$2,$A612)</f>
        <v>2015</v>
      </c>
      <c r="W612" s="0" t="n">
        <f aca="false">W_PH(W$2,$A612)</f>
        <v>2015</v>
      </c>
      <c r="X612" s="0" t="n">
        <f aca="false">W_PH(X$2,$A612)</f>
        <v>2015</v>
      </c>
      <c r="Y612" s="0" t="n">
        <f aca="false">W_PH(Y$2,$A612)</f>
        <v>2015</v>
      </c>
      <c r="Z612" s="0" t="n">
        <f aca="false">W_PH(Z$2,$A612)</f>
        <v>2015</v>
      </c>
      <c r="AA612" s="0" t="n">
        <f aca="false">W_PH(AA$2,$A612)</f>
        <v>2015</v>
      </c>
      <c r="AB612" s="0" t="n">
        <f aca="false">W_PH(AB$2,$A612)</f>
        <v>2015</v>
      </c>
      <c r="AC612" s="0" t="n">
        <f aca="false">W_PH(AC$2,$A612)</f>
        <v>2015</v>
      </c>
      <c r="AD612" s="0" t="n">
        <f aca="false">W_PH(AD$2,$A612)</f>
        <v>2015</v>
      </c>
      <c r="AE612" s="0" t="n">
        <f aca="false">W_PH(AE$2,$A612)</f>
        <v>2015</v>
      </c>
      <c r="AF612" s="0" t="n">
        <f aca="false">W_PH(AF$2,$A612)</f>
        <v>2015</v>
      </c>
      <c r="AG612" s="0" t="n">
        <f aca="false">W_PH(AG$2,$A612)</f>
        <v>2015</v>
      </c>
      <c r="AH612" s="0" t="n">
        <f aca="false">W_PH(AH$2,$A612)</f>
        <v>2015</v>
      </c>
      <c r="AI612" s="0" t="n">
        <f aca="false">W_PH(AI$2,$A612)</f>
        <v>2015</v>
      </c>
      <c r="AJ612" s="0" t="n">
        <f aca="false">W_PH(AJ$2,$A612)</f>
        <v>2015</v>
      </c>
      <c r="AK612" s="0" t="n">
        <f aca="false">W_PH(AK$2,$A612)</f>
        <v>2015</v>
      </c>
      <c r="AL612" s="0" t="n">
        <f aca="false">W_PH(AL$2,$A612)</f>
        <v>2015</v>
      </c>
      <c r="AM612" s="0" t="n">
        <f aca="false">W_PH(AM$2,$A612)</f>
        <v>2015</v>
      </c>
      <c r="AN612" s="0" t="n">
        <f aca="false">W_PH(AN$2,$A612)</f>
        <v>2015</v>
      </c>
      <c r="AO612" s="0" t="n">
        <f aca="false">W_PH(AO$2,$A612)</f>
        <v>2015</v>
      </c>
      <c r="AP612" s="0" t="n">
        <f aca="false">W_PH(AP$2,$A612)</f>
        <v>2015</v>
      </c>
      <c r="AQ612" s="0" t="n">
        <f aca="false">W_PH(AQ$2,$A612)</f>
        <v>2015</v>
      </c>
      <c r="AR612" s="0" t="n">
        <f aca="false">W_PH(AR$2,$A612)</f>
        <v>2015</v>
      </c>
      <c r="AS612" s="0" t="n">
        <f aca="false">W_PH(AS$2,$A612)</f>
        <v>2015</v>
      </c>
    </row>
    <row r="613" customFormat="false" ht="13.8" hidden="false" customHeight="false" outlineLevel="0" collapsed="false">
      <c r="A613" s="0" t="n">
        <v>7730</v>
      </c>
      <c r="B613" s="0" t="n">
        <f aca="false">W_PH(B$2,$A613)</f>
        <v>2015</v>
      </c>
      <c r="C613" s="0" t="n">
        <f aca="false">W_PH(C$2,$A613)</f>
        <v>2015</v>
      </c>
      <c r="D613" s="0" t="n">
        <f aca="false">W_PH(D$2,$A613)</f>
        <v>2015</v>
      </c>
      <c r="E613" s="0" t="n">
        <f aca="false">W_PH(E$2,$A613)</f>
        <v>2015</v>
      </c>
      <c r="F613" s="0" t="n">
        <f aca="false">W_PH(F$2,$A613)</f>
        <v>2015</v>
      </c>
      <c r="G613" s="0" t="n">
        <f aca="false">W_PH(G$2,$A613)</f>
        <v>2015</v>
      </c>
      <c r="H613" s="0" t="n">
        <f aca="false">W_PH(H$2,$A613)</f>
        <v>2015</v>
      </c>
      <c r="I613" s="0" t="n">
        <f aca="false">W_PH(I$2,$A613)</f>
        <v>2015</v>
      </c>
      <c r="J613" s="0" t="n">
        <f aca="false">W_PH(J$2,$A613)</f>
        <v>2015</v>
      </c>
      <c r="K613" s="0" t="n">
        <f aca="false">W_PH(K$2,$A613)</f>
        <v>2015</v>
      </c>
      <c r="L613" s="0" t="n">
        <f aca="false">W_PH(L$2,$A613)</f>
        <v>2015</v>
      </c>
      <c r="M613" s="0" t="n">
        <f aca="false">W_PH(M$2,$A613)</f>
        <v>2015</v>
      </c>
      <c r="N613" s="0" t="n">
        <f aca="false">W_PH(N$2,$A613)</f>
        <v>2015</v>
      </c>
      <c r="O613" s="0" t="n">
        <f aca="false">W_PH(O$2,$A613)</f>
        <v>2015</v>
      </c>
      <c r="P613" s="0" t="n">
        <f aca="false">W_PH(P$2,$A613)</f>
        <v>2015</v>
      </c>
      <c r="Q613" s="0" t="n">
        <f aca="false">W_PH(Q$2,$A613)</f>
        <v>2015</v>
      </c>
      <c r="R613" s="0" t="n">
        <f aca="false">W_PH(R$2,$A613)</f>
        <v>2015</v>
      </c>
      <c r="S613" s="0" t="n">
        <f aca="false">W_PH(S$2,$A613)</f>
        <v>2015</v>
      </c>
      <c r="T613" s="0" t="n">
        <f aca="false">W_PH(T$2,$A613)</f>
        <v>2015</v>
      </c>
      <c r="U613" s="0" t="n">
        <f aca="false">W_PH(U$2,$A613)</f>
        <v>2015</v>
      </c>
      <c r="V613" s="0" t="n">
        <f aca="false">W_PH(V$2,$A613)</f>
        <v>2015</v>
      </c>
      <c r="W613" s="0" t="n">
        <f aca="false">W_PH(W$2,$A613)</f>
        <v>2015</v>
      </c>
      <c r="X613" s="0" t="n">
        <f aca="false">W_PH(X$2,$A613)</f>
        <v>2015</v>
      </c>
      <c r="Y613" s="0" t="n">
        <f aca="false">W_PH(Y$2,$A613)</f>
        <v>2015</v>
      </c>
      <c r="Z613" s="0" t="n">
        <f aca="false">W_PH(Z$2,$A613)</f>
        <v>2015</v>
      </c>
      <c r="AA613" s="0" t="n">
        <f aca="false">W_PH(AA$2,$A613)</f>
        <v>2015</v>
      </c>
      <c r="AB613" s="0" t="n">
        <f aca="false">W_PH(AB$2,$A613)</f>
        <v>2015</v>
      </c>
      <c r="AC613" s="0" t="n">
        <f aca="false">W_PH(AC$2,$A613)</f>
        <v>2015</v>
      </c>
      <c r="AD613" s="0" t="n">
        <f aca="false">W_PH(AD$2,$A613)</f>
        <v>2015</v>
      </c>
      <c r="AE613" s="0" t="n">
        <f aca="false">W_PH(AE$2,$A613)</f>
        <v>2015</v>
      </c>
      <c r="AF613" s="0" t="n">
        <f aca="false">W_PH(AF$2,$A613)</f>
        <v>2015</v>
      </c>
      <c r="AG613" s="0" t="n">
        <f aca="false">W_PH(AG$2,$A613)</f>
        <v>2015</v>
      </c>
      <c r="AH613" s="0" t="n">
        <f aca="false">W_PH(AH$2,$A613)</f>
        <v>2015</v>
      </c>
      <c r="AI613" s="0" t="n">
        <f aca="false">W_PH(AI$2,$A613)</f>
        <v>2015</v>
      </c>
      <c r="AJ613" s="0" t="n">
        <f aca="false">W_PH(AJ$2,$A613)</f>
        <v>2015</v>
      </c>
      <c r="AK613" s="0" t="n">
        <f aca="false">W_PH(AK$2,$A613)</f>
        <v>2015</v>
      </c>
      <c r="AL613" s="0" t="n">
        <f aca="false">W_PH(AL$2,$A613)</f>
        <v>2015</v>
      </c>
      <c r="AM613" s="0" t="n">
        <f aca="false">W_PH(AM$2,$A613)</f>
        <v>2015</v>
      </c>
      <c r="AN613" s="0" t="n">
        <f aca="false">W_PH(AN$2,$A613)</f>
        <v>2015</v>
      </c>
      <c r="AO613" s="0" t="n">
        <f aca="false">W_PH(AO$2,$A613)</f>
        <v>2015</v>
      </c>
      <c r="AP613" s="0" t="n">
        <f aca="false">W_PH(AP$2,$A613)</f>
        <v>2015</v>
      </c>
      <c r="AQ613" s="0" t="n">
        <f aca="false">W_PH(AQ$2,$A613)</f>
        <v>2015</v>
      </c>
      <c r="AR613" s="0" t="n">
        <f aca="false">W_PH(AR$2,$A613)</f>
        <v>2015</v>
      </c>
      <c r="AS613" s="0" t="n">
        <f aca="false">W_PH(AS$2,$A613)</f>
        <v>2015</v>
      </c>
    </row>
    <row r="614" customFormat="false" ht="13.8" hidden="false" customHeight="false" outlineLevel="0" collapsed="false">
      <c r="A614" s="0" t="n">
        <v>7740</v>
      </c>
      <c r="B614" s="0" t="n">
        <f aca="false">W_PH(B$2,$A614)</f>
        <v>2015</v>
      </c>
      <c r="C614" s="0" t="n">
        <f aca="false">W_PH(C$2,$A614)</f>
        <v>2015</v>
      </c>
      <c r="D614" s="0" t="n">
        <f aca="false">W_PH(D$2,$A614)</f>
        <v>2015</v>
      </c>
      <c r="E614" s="0" t="n">
        <f aca="false">W_PH(E$2,$A614)</f>
        <v>2015</v>
      </c>
      <c r="F614" s="0" t="n">
        <f aca="false">W_PH(F$2,$A614)</f>
        <v>2015</v>
      </c>
      <c r="G614" s="0" t="n">
        <f aca="false">W_PH(G$2,$A614)</f>
        <v>2015</v>
      </c>
      <c r="H614" s="0" t="n">
        <f aca="false">W_PH(H$2,$A614)</f>
        <v>2015</v>
      </c>
      <c r="I614" s="0" t="n">
        <f aca="false">W_PH(I$2,$A614)</f>
        <v>2015</v>
      </c>
      <c r="J614" s="0" t="n">
        <f aca="false">W_PH(J$2,$A614)</f>
        <v>2015</v>
      </c>
      <c r="K614" s="0" t="n">
        <f aca="false">W_PH(K$2,$A614)</f>
        <v>2015</v>
      </c>
      <c r="L614" s="0" t="n">
        <f aca="false">W_PH(L$2,$A614)</f>
        <v>2015</v>
      </c>
      <c r="M614" s="0" t="n">
        <f aca="false">W_PH(M$2,$A614)</f>
        <v>2015</v>
      </c>
      <c r="N614" s="0" t="n">
        <f aca="false">W_PH(N$2,$A614)</f>
        <v>2015</v>
      </c>
      <c r="O614" s="0" t="n">
        <f aca="false">W_PH(O$2,$A614)</f>
        <v>2015</v>
      </c>
      <c r="P614" s="0" t="n">
        <f aca="false">W_PH(P$2,$A614)</f>
        <v>2015</v>
      </c>
      <c r="Q614" s="0" t="n">
        <f aca="false">W_PH(Q$2,$A614)</f>
        <v>2015</v>
      </c>
      <c r="R614" s="0" t="n">
        <f aca="false">W_PH(R$2,$A614)</f>
        <v>2015</v>
      </c>
      <c r="S614" s="0" t="n">
        <f aca="false">W_PH(S$2,$A614)</f>
        <v>2015</v>
      </c>
      <c r="T614" s="0" t="n">
        <f aca="false">W_PH(T$2,$A614)</f>
        <v>2015</v>
      </c>
      <c r="U614" s="0" t="n">
        <f aca="false">W_PH(U$2,$A614)</f>
        <v>2015</v>
      </c>
      <c r="V614" s="0" t="n">
        <f aca="false">W_PH(V$2,$A614)</f>
        <v>2015</v>
      </c>
      <c r="W614" s="0" t="n">
        <f aca="false">W_PH(W$2,$A614)</f>
        <v>2015</v>
      </c>
      <c r="X614" s="0" t="n">
        <f aca="false">W_PH(X$2,$A614)</f>
        <v>2015</v>
      </c>
      <c r="Y614" s="0" t="n">
        <f aca="false">W_PH(Y$2,$A614)</f>
        <v>2015</v>
      </c>
      <c r="Z614" s="0" t="n">
        <f aca="false">W_PH(Z$2,$A614)</f>
        <v>2015</v>
      </c>
      <c r="AA614" s="0" t="n">
        <f aca="false">W_PH(AA$2,$A614)</f>
        <v>2015</v>
      </c>
      <c r="AB614" s="0" t="n">
        <f aca="false">W_PH(AB$2,$A614)</f>
        <v>2015</v>
      </c>
      <c r="AC614" s="0" t="n">
        <f aca="false">W_PH(AC$2,$A614)</f>
        <v>2015</v>
      </c>
      <c r="AD614" s="0" t="n">
        <f aca="false">W_PH(AD$2,$A614)</f>
        <v>2015</v>
      </c>
      <c r="AE614" s="0" t="n">
        <f aca="false">W_PH(AE$2,$A614)</f>
        <v>2015</v>
      </c>
      <c r="AF614" s="0" t="n">
        <f aca="false">W_PH(AF$2,$A614)</f>
        <v>2015</v>
      </c>
      <c r="AG614" s="0" t="n">
        <f aca="false">W_PH(AG$2,$A614)</f>
        <v>2015</v>
      </c>
      <c r="AH614" s="0" t="n">
        <f aca="false">W_PH(AH$2,$A614)</f>
        <v>2015</v>
      </c>
      <c r="AI614" s="0" t="n">
        <f aca="false">W_PH(AI$2,$A614)</f>
        <v>2015</v>
      </c>
      <c r="AJ614" s="0" t="n">
        <f aca="false">W_PH(AJ$2,$A614)</f>
        <v>2015</v>
      </c>
      <c r="AK614" s="0" t="n">
        <f aca="false">W_PH(AK$2,$A614)</f>
        <v>2015</v>
      </c>
      <c r="AL614" s="0" t="n">
        <f aca="false">W_PH(AL$2,$A614)</f>
        <v>2015</v>
      </c>
      <c r="AM614" s="0" t="n">
        <f aca="false">W_PH(AM$2,$A614)</f>
        <v>2015</v>
      </c>
      <c r="AN614" s="0" t="n">
        <f aca="false">W_PH(AN$2,$A614)</f>
        <v>2015</v>
      </c>
      <c r="AO614" s="0" t="n">
        <f aca="false">W_PH(AO$2,$A614)</f>
        <v>2015</v>
      </c>
      <c r="AP614" s="0" t="n">
        <f aca="false">W_PH(AP$2,$A614)</f>
        <v>2015</v>
      </c>
      <c r="AQ614" s="0" t="n">
        <f aca="false">W_PH(AQ$2,$A614)</f>
        <v>2015</v>
      </c>
      <c r="AR614" s="0" t="n">
        <f aca="false">W_PH(AR$2,$A614)</f>
        <v>2015</v>
      </c>
      <c r="AS614" s="0" t="n">
        <f aca="false">W_PH(AS$2,$A614)</f>
        <v>2015</v>
      </c>
    </row>
    <row r="615" customFormat="false" ht="13.8" hidden="false" customHeight="false" outlineLevel="0" collapsed="false">
      <c r="A615" s="0" t="n">
        <v>7750</v>
      </c>
      <c r="B615" s="0" t="n">
        <f aca="false">W_PH(B$2,$A615)</f>
        <v>2015</v>
      </c>
      <c r="C615" s="0" t="n">
        <f aca="false">W_PH(C$2,$A615)</f>
        <v>2015</v>
      </c>
      <c r="D615" s="0" t="n">
        <f aca="false">W_PH(D$2,$A615)</f>
        <v>2015</v>
      </c>
      <c r="E615" s="0" t="n">
        <f aca="false">W_PH(E$2,$A615)</f>
        <v>2015</v>
      </c>
      <c r="F615" s="0" t="n">
        <f aca="false">W_PH(F$2,$A615)</f>
        <v>2015</v>
      </c>
      <c r="G615" s="0" t="n">
        <f aca="false">W_PH(G$2,$A615)</f>
        <v>2015</v>
      </c>
      <c r="H615" s="0" t="n">
        <f aca="false">W_PH(H$2,$A615)</f>
        <v>2015</v>
      </c>
      <c r="I615" s="0" t="n">
        <f aca="false">W_PH(I$2,$A615)</f>
        <v>2015</v>
      </c>
      <c r="J615" s="0" t="n">
        <f aca="false">W_PH(J$2,$A615)</f>
        <v>2015</v>
      </c>
      <c r="K615" s="0" t="n">
        <f aca="false">W_PH(K$2,$A615)</f>
        <v>2015</v>
      </c>
      <c r="L615" s="0" t="n">
        <f aca="false">W_PH(L$2,$A615)</f>
        <v>2015</v>
      </c>
      <c r="M615" s="0" t="n">
        <f aca="false">W_PH(M$2,$A615)</f>
        <v>2015</v>
      </c>
      <c r="N615" s="0" t="n">
        <f aca="false">W_PH(N$2,$A615)</f>
        <v>2015</v>
      </c>
      <c r="O615" s="0" t="n">
        <f aca="false">W_PH(O$2,$A615)</f>
        <v>2015</v>
      </c>
      <c r="P615" s="0" t="n">
        <f aca="false">W_PH(P$2,$A615)</f>
        <v>2015</v>
      </c>
      <c r="Q615" s="0" t="n">
        <f aca="false">W_PH(Q$2,$A615)</f>
        <v>2015</v>
      </c>
      <c r="R615" s="0" t="n">
        <f aca="false">W_PH(R$2,$A615)</f>
        <v>2015</v>
      </c>
      <c r="S615" s="0" t="n">
        <f aca="false">W_PH(S$2,$A615)</f>
        <v>2015</v>
      </c>
      <c r="T615" s="0" t="n">
        <f aca="false">W_PH(T$2,$A615)</f>
        <v>2015</v>
      </c>
      <c r="U615" s="0" t="n">
        <f aca="false">W_PH(U$2,$A615)</f>
        <v>2015</v>
      </c>
      <c r="V615" s="0" t="n">
        <f aca="false">W_PH(V$2,$A615)</f>
        <v>2015</v>
      </c>
      <c r="W615" s="0" t="n">
        <f aca="false">W_PH(W$2,$A615)</f>
        <v>2015</v>
      </c>
      <c r="X615" s="0" t="n">
        <f aca="false">W_PH(X$2,$A615)</f>
        <v>2015</v>
      </c>
      <c r="Y615" s="0" t="n">
        <f aca="false">W_PH(Y$2,$A615)</f>
        <v>2015</v>
      </c>
      <c r="Z615" s="0" t="n">
        <f aca="false">W_PH(Z$2,$A615)</f>
        <v>2015</v>
      </c>
      <c r="AA615" s="0" t="n">
        <f aca="false">W_PH(AA$2,$A615)</f>
        <v>2015</v>
      </c>
      <c r="AB615" s="0" t="n">
        <f aca="false">W_PH(AB$2,$A615)</f>
        <v>2015</v>
      </c>
      <c r="AC615" s="0" t="n">
        <f aca="false">W_PH(AC$2,$A615)</f>
        <v>2015</v>
      </c>
      <c r="AD615" s="0" t="n">
        <f aca="false">W_PH(AD$2,$A615)</f>
        <v>2015</v>
      </c>
      <c r="AE615" s="0" t="n">
        <f aca="false">W_PH(AE$2,$A615)</f>
        <v>2015</v>
      </c>
      <c r="AF615" s="0" t="n">
        <f aca="false">W_PH(AF$2,$A615)</f>
        <v>2015</v>
      </c>
      <c r="AG615" s="0" t="n">
        <f aca="false">W_PH(AG$2,$A615)</f>
        <v>2015</v>
      </c>
      <c r="AH615" s="0" t="n">
        <f aca="false">W_PH(AH$2,$A615)</f>
        <v>2015</v>
      </c>
      <c r="AI615" s="0" t="n">
        <f aca="false">W_PH(AI$2,$A615)</f>
        <v>2015</v>
      </c>
      <c r="AJ615" s="0" t="n">
        <f aca="false">W_PH(AJ$2,$A615)</f>
        <v>2015</v>
      </c>
      <c r="AK615" s="0" t="n">
        <f aca="false">W_PH(AK$2,$A615)</f>
        <v>2015</v>
      </c>
      <c r="AL615" s="0" t="n">
        <f aca="false">W_PH(AL$2,$A615)</f>
        <v>2015</v>
      </c>
      <c r="AM615" s="0" t="n">
        <f aca="false">W_PH(AM$2,$A615)</f>
        <v>2015</v>
      </c>
      <c r="AN615" s="0" t="n">
        <f aca="false">W_PH(AN$2,$A615)</f>
        <v>2015</v>
      </c>
      <c r="AO615" s="0" t="n">
        <f aca="false">W_PH(AO$2,$A615)</f>
        <v>2015</v>
      </c>
      <c r="AP615" s="0" t="n">
        <f aca="false">W_PH(AP$2,$A615)</f>
        <v>2015</v>
      </c>
      <c r="AQ615" s="0" t="n">
        <f aca="false">W_PH(AQ$2,$A615)</f>
        <v>2015</v>
      </c>
      <c r="AR615" s="0" t="n">
        <f aca="false">W_PH(AR$2,$A615)</f>
        <v>2015</v>
      </c>
      <c r="AS615" s="0" t="n">
        <f aca="false">W_PH(AS$2,$A615)</f>
        <v>2015</v>
      </c>
    </row>
    <row r="616" customFormat="false" ht="13.8" hidden="false" customHeight="false" outlineLevel="0" collapsed="false">
      <c r="A616" s="0" t="n">
        <v>7760</v>
      </c>
      <c r="B616" s="0" t="n">
        <f aca="false">W_PH(B$2,$A616)</f>
        <v>2015</v>
      </c>
      <c r="C616" s="0" t="n">
        <f aca="false">W_PH(C$2,$A616)</f>
        <v>2015</v>
      </c>
      <c r="D616" s="0" t="n">
        <f aca="false">W_PH(D$2,$A616)</f>
        <v>2015</v>
      </c>
      <c r="E616" s="0" t="n">
        <f aca="false">W_PH(E$2,$A616)</f>
        <v>2015</v>
      </c>
      <c r="F616" s="0" t="n">
        <f aca="false">W_PH(F$2,$A616)</f>
        <v>2015</v>
      </c>
      <c r="G616" s="0" t="n">
        <f aca="false">W_PH(G$2,$A616)</f>
        <v>2015</v>
      </c>
      <c r="H616" s="0" t="n">
        <f aca="false">W_PH(H$2,$A616)</f>
        <v>2015</v>
      </c>
      <c r="I616" s="0" t="n">
        <f aca="false">W_PH(I$2,$A616)</f>
        <v>2015</v>
      </c>
      <c r="J616" s="0" t="n">
        <f aca="false">W_PH(J$2,$A616)</f>
        <v>2015</v>
      </c>
      <c r="K616" s="0" t="n">
        <f aca="false">W_PH(K$2,$A616)</f>
        <v>2015</v>
      </c>
      <c r="L616" s="0" t="n">
        <f aca="false">W_PH(L$2,$A616)</f>
        <v>2015</v>
      </c>
      <c r="M616" s="0" t="n">
        <f aca="false">W_PH(M$2,$A616)</f>
        <v>2015</v>
      </c>
      <c r="N616" s="0" t="n">
        <f aca="false">W_PH(N$2,$A616)</f>
        <v>2015</v>
      </c>
      <c r="O616" s="0" t="n">
        <f aca="false">W_PH(O$2,$A616)</f>
        <v>2015</v>
      </c>
      <c r="P616" s="0" t="n">
        <f aca="false">W_PH(P$2,$A616)</f>
        <v>2015</v>
      </c>
      <c r="Q616" s="0" t="n">
        <f aca="false">W_PH(Q$2,$A616)</f>
        <v>2015</v>
      </c>
      <c r="R616" s="0" t="n">
        <f aca="false">W_PH(R$2,$A616)</f>
        <v>2015</v>
      </c>
      <c r="S616" s="0" t="n">
        <f aca="false">W_PH(S$2,$A616)</f>
        <v>2015</v>
      </c>
      <c r="T616" s="0" t="n">
        <f aca="false">W_PH(T$2,$A616)</f>
        <v>2015</v>
      </c>
      <c r="U616" s="0" t="n">
        <f aca="false">W_PH(U$2,$A616)</f>
        <v>2015</v>
      </c>
      <c r="V616" s="0" t="n">
        <f aca="false">W_PH(V$2,$A616)</f>
        <v>2015</v>
      </c>
      <c r="W616" s="0" t="n">
        <f aca="false">W_PH(W$2,$A616)</f>
        <v>2015</v>
      </c>
      <c r="X616" s="0" t="n">
        <f aca="false">W_PH(X$2,$A616)</f>
        <v>2015</v>
      </c>
      <c r="Y616" s="0" t="n">
        <f aca="false">W_PH(Y$2,$A616)</f>
        <v>2015</v>
      </c>
      <c r="Z616" s="0" t="n">
        <f aca="false">W_PH(Z$2,$A616)</f>
        <v>2015</v>
      </c>
      <c r="AA616" s="0" t="n">
        <f aca="false">W_PH(AA$2,$A616)</f>
        <v>2015</v>
      </c>
      <c r="AB616" s="0" t="n">
        <f aca="false">W_PH(AB$2,$A616)</f>
        <v>2015</v>
      </c>
      <c r="AC616" s="0" t="n">
        <f aca="false">W_PH(AC$2,$A616)</f>
        <v>2015</v>
      </c>
      <c r="AD616" s="0" t="n">
        <f aca="false">W_PH(AD$2,$A616)</f>
        <v>2015</v>
      </c>
      <c r="AE616" s="0" t="n">
        <f aca="false">W_PH(AE$2,$A616)</f>
        <v>2015</v>
      </c>
      <c r="AF616" s="0" t="n">
        <f aca="false">W_PH(AF$2,$A616)</f>
        <v>2015</v>
      </c>
      <c r="AG616" s="0" t="n">
        <f aca="false">W_PH(AG$2,$A616)</f>
        <v>2015</v>
      </c>
      <c r="AH616" s="0" t="n">
        <f aca="false">W_PH(AH$2,$A616)</f>
        <v>2015</v>
      </c>
      <c r="AI616" s="0" t="n">
        <f aca="false">W_PH(AI$2,$A616)</f>
        <v>2015</v>
      </c>
      <c r="AJ616" s="0" t="n">
        <f aca="false">W_PH(AJ$2,$A616)</f>
        <v>2015</v>
      </c>
      <c r="AK616" s="0" t="n">
        <f aca="false">W_PH(AK$2,$A616)</f>
        <v>2015</v>
      </c>
      <c r="AL616" s="0" t="n">
        <f aca="false">W_PH(AL$2,$A616)</f>
        <v>2015</v>
      </c>
      <c r="AM616" s="0" t="n">
        <f aca="false">W_PH(AM$2,$A616)</f>
        <v>2015</v>
      </c>
      <c r="AN616" s="0" t="n">
        <f aca="false">W_PH(AN$2,$A616)</f>
        <v>2015</v>
      </c>
      <c r="AO616" s="0" t="n">
        <f aca="false">W_PH(AO$2,$A616)</f>
        <v>2015</v>
      </c>
      <c r="AP616" s="0" t="n">
        <f aca="false">W_PH(AP$2,$A616)</f>
        <v>2015</v>
      </c>
      <c r="AQ616" s="0" t="n">
        <f aca="false">W_PH(AQ$2,$A616)</f>
        <v>2015</v>
      </c>
      <c r="AR616" s="0" t="n">
        <f aca="false">W_PH(AR$2,$A616)</f>
        <v>2015</v>
      </c>
      <c r="AS616" s="0" t="n">
        <f aca="false">W_PH(AS$2,$A616)</f>
        <v>2015</v>
      </c>
    </row>
    <row r="617" customFormat="false" ht="13.8" hidden="false" customHeight="false" outlineLevel="0" collapsed="false">
      <c r="A617" s="0" t="n">
        <v>7770</v>
      </c>
      <c r="B617" s="0" t="n">
        <f aca="false">W_PH(B$2,$A617)</f>
        <v>2015</v>
      </c>
      <c r="C617" s="0" t="n">
        <f aca="false">W_PH(C$2,$A617)</f>
        <v>2015</v>
      </c>
      <c r="D617" s="0" t="n">
        <f aca="false">W_PH(D$2,$A617)</f>
        <v>2015</v>
      </c>
      <c r="E617" s="0" t="n">
        <f aca="false">W_PH(E$2,$A617)</f>
        <v>2015</v>
      </c>
      <c r="F617" s="0" t="n">
        <f aca="false">W_PH(F$2,$A617)</f>
        <v>2015</v>
      </c>
      <c r="G617" s="0" t="n">
        <f aca="false">W_PH(G$2,$A617)</f>
        <v>2015</v>
      </c>
      <c r="H617" s="0" t="n">
        <f aca="false">W_PH(H$2,$A617)</f>
        <v>2015</v>
      </c>
      <c r="I617" s="0" t="n">
        <f aca="false">W_PH(I$2,$A617)</f>
        <v>2015</v>
      </c>
      <c r="J617" s="0" t="n">
        <f aca="false">W_PH(J$2,$A617)</f>
        <v>2015</v>
      </c>
      <c r="K617" s="0" t="n">
        <f aca="false">W_PH(K$2,$A617)</f>
        <v>2015</v>
      </c>
      <c r="L617" s="0" t="n">
        <f aca="false">W_PH(L$2,$A617)</f>
        <v>2015</v>
      </c>
      <c r="M617" s="0" t="n">
        <f aca="false">W_PH(M$2,$A617)</f>
        <v>2015</v>
      </c>
      <c r="N617" s="0" t="n">
        <f aca="false">W_PH(N$2,$A617)</f>
        <v>2015</v>
      </c>
      <c r="O617" s="0" t="n">
        <f aca="false">W_PH(O$2,$A617)</f>
        <v>2015</v>
      </c>
      <c r="P617" s="0" t="n">
        <f aca="false">W_PH(P$2,$A617)</f>
        <v>2015</v>
      </c>
      <c r="Q617" s="0" t="n">
        <f aca="false">W_PH(Q$2,$A617)</f>
        <v>2015</v>
      </c>
      <c r="R617" s="0" t="n">
        <f aca="false">W_PH(R$2,$A617)</f>
        <v>2015</v>
      </c>
      <c r="S617" s="0" t="n">
        <f aca="false">W_PH(S$2,$A617)</f>
        <v>2015</v>
      </c>
      <c r="T617" s="0" t="n">
        <f aca="false">W_PH(T$2,$A617)</f>
        <v>2015</v>
      </c>
      <c r="U617" s="0" t="n">
        <f aca="false">W_PH(U$2,$A617)</f>
        <v>2015</v>
      </c>
      <c r="V617" s="0" t="n">
        <f aca="false">W_PH(V$2,$A617)</f>
        <v>2015</v>
      </c>
      <c r="W617" s="0" t="n">
        <f aca="false">W_PH(W$2,$A617)</f>
        <v>2015</v>
      </c>
      <c r="X617" s="0" t="n">
        <f aca="false">W_PH(X$2,$A617)</f>
        <v>2015</v>
      </c>
      <c r="Y617" s="0" t="n">
        <f aca="false">W_PH(Y$2,$A617)</f>
        <v>2015</v>
      </c>
      <c r="Z617" s="0" t="n">
        <f aca="false">W_PH(Z$2,$A617)</f>
        <v>2015</v>
      </c>
      <c r="AA617" s="0" t="n">
        <f aca="false">W_PH(AA$2,$A617)</f>
        <v>2015</v>
      </c>
      <c r="AB617" s="0" t="n">
        <f aca="false">W_PH(AB$2,$A617)</f>
        <v>2015</v>
      </c>
      <c r="AC617" s="0" t="n">
        <f aca="false">W_PH(AC$2,$A617)</f>
        <v>2015</v>
      </c>
      <c r="AD617" s="0" t="n">
        <f aca="false">W_PH(AD$2,$A617)</f>
        <v>2015</v>
      </c>
      <c r="AE617" s="0" t="n">
        <f aca="false">W_PH(AE$2,$A617)</f>
        <v>2015</v>
      </c>
      <c r="AF617" s="0" t="n">
        <f aca="false">W_PH(AF$2,$A617)</f>
        <v>2015</v>
      </c>
      <c r="AG617" s="0" t="n">
        <f aca="false">W_PH(AG$2,$A617)</f>
        <v>2015</v>
      </c>
      <c r="AH617" s="0" t="n">
        <f aca="false">W_PH(AH$2,$A617)</f>
        <v>2015</v>
      </c>
      <c r="AI617" s="0" t="n">
        <f aca="false">W_PH(AI$2,$A617)</f>
        <v>2015</v>
      </c>
      <c r="AJ617" s="0" t="n">
        <f aca="false">W_PH(AJ$2,$A617)</f>
        <v>2015</v>
      </c>
      <c r="AK617" s="0" t="n">
        <f aca="false">W_PH(AK$2,$A617)</f>
        <v>2015</v>
      </c>
      <c r="AL617" s="0" t="n">
        <f aca="false">W_PH(AL$2,$A617)</f>
        <v>2015</v>
      </c>
      <c r="AM617" s="0" t="n">
        <f aca="false">W_PH(AM$2,$A617)</f>
        <v>2015</v>
      </c>
      <c r="AN617" s="0" t="n">
        <f aca="false">W_PH(AN$2,$A617)</f>
        <v>2015</v>
      </c>
      <c r="AO617" s="0" t="n">
        <f aca="false">W_PH(AO$2,$A617)</f>
        <v>2015</v>
      </c>
      <c r="AP617" s="0" t="n">
        <f aca="false">W_PH(AP$2,$A617)</f>
        <v>2015</v>
      </c>
      <c r="AQ617" s="0" t="n">
        <f aca="false">W_PH(AQ$2,$A617)</f>
        <v>2015</v>
      </c>
      <c r="AR617" s="0" t="n">
        <f aca="false">W_PH(AR$2,$A617)</f>
        <v>2015</v>
      </c>
      <c r="AS617" s="0" t="n">
        <f aca="false">W_PH(AS$2,$A617)</f>
        <v>2015</v>
      </c>
    </row>
    <row r="618" customFormat="false" ht="13.8" hidden="false" customHeight="false" outlineLevel="0" collapsed="false">
      <c r="A618" s="0" t="n">
        <v>7780</v>
      </c>
      <c r="B618" s="0" t="n">
        <f aca="false">W_PH(B$2,$A618)</f>
        <v>2015</v>
      </c>
      <c r="C618" s="0" t="n">
        <f aca="false">W_PH(C$2,$A618)</f>
        <v>2015</v>
      </c>
      <c r="D618" s="0" t="n">
        <f aca="false">W_PH(D$2,$A618)</f>
        <v>2015</v>
      </c>
      <c r="E618" s="0" t="n">
        <f aca="false">W_PH(E$2,$A618)</f>
        <v>2015</v>
      </c>
      <c r="F618" s="0" t="n">
        <f aca="false">W_PH(F$2,$A618)</f>
        <v>2015</v>
      </c>
      <c r="G618" s="0" t="n">
        <f aca="false">W_PH(G$2,$A618)</f>
        <v>2015</v>
      </c>
      <c r="H618" s="0" t="n">
        <f aca="false">W_PH(H$2,$A618)</f>
        <v>2015</v>
      </c>
      <c r="I618" s="0" t="n">
        <f aca="false">W_PH(I$2,$A618)</f>
        <v>2015</v>
      </c>
      <c r="J618" s="0" t="n">
        <f aca="false">W_PH(J$2,$A618)</f>
        <v>2015</v>
      </c>
      <c r="K618" s="0" t="n">
        <f aca="false">W_PH(K$2,$A618)</f>
        <v>2015</v>
      </c>
      <c r="L618" s="0" t="n">
        <f aca="false">W_PH(L$2,$A618)</f>
        <v>2015</v>
      </c>
      <c r="M618" s="0" t="n">
        <f aca="false">W_PH(M$2,$A618)</f>
        <v>2015</v>
      </c>
      <c r="N618" s="0" t="n">
        <f aca="false">W_PH(N$2,$A618)</f>
        <v>2015</v>
      </c>
      <c r="O618" s="0" t="n">
        <f aca="false">W_PH(O$2,$A618)</f>
        <v>2015</v>
      </c>
      <c r="P618" s="0" t="n">
        <f aca="false">W_PH(P$2,$A618)</f>
        <v>2015</v>
      </c>
      <c r="Q618" s="0" t="n">
        <f aca="false">W_PH(Q$2,$A618)</f>
        <v>2015</v>
      </c>
      <c r="R618" s="0" t="n">
        <f aca="false">W_PH(R$2,$A618)</f>
        <v>2015</v>
      </c>
      <c r="S618" s="0" t="n">
        <f aca="false">W_PH(S$2,$A618)</f>
        <v>2015</v>
      </c>
      <c r="T618" s="0" t="n">
        <f aca="false">W_PH(T$2,$A618)</f>
        <v>2015</v>
      </c>
      <c r="U618" s="0" t="n">
        <f aca="false">W_PH(U$2,$A618)</f>
        <v>2015</v>
      </c>
      <c r="V618" s="0" t="n">
        <f aca="false">W_PH(V$2,$A618)</f>
        <v>2015</v>
      </c>
      <c r="W618" s="0" t="n">
        <f aca="false">W_PH(W$2,$A618)</f>
        <v>2015</v>
      </c>
      <c r="X618" s="0" t="n">
        <f aca="false">W_PH(X$2,$A618)</f>
        <v>2015</v>
      </c>
      <c r="Y618" s="0" t="n">
        <f aca="false">W_PH(Y$2,$A618)</f>
        <v>2015</v>
      </c>
      <c r="Z618" s="0" t="n">
        <f aca="false">W_PH(Z$2,$A618)</f>
        <v>2015</v>
      </c>
      <c r="AA618" s="0" t="n">
        <f aca="false">W_PH(AA$2,$A618)</f>
        <v>2015</v>
      </c>
      <c r="AB618" s="0" t="n">
        <f aca="false">W_PH(AB$2,$A618)</f>
        <v>2015</v>
      </c>
      <c r="AC618" s="0" t="n">
        <f aca="false">W_PH(AC$2,$A618)</f>
        <v>2015</v>
      </c>
      <c r="AD618" s="0" t="n">
        <f aca="false">W_PH(AD$2,$A618)</f>
        <v>2015</v>
      </c>
      <c r="AE618" s="0" t="n">
        <f aca="false">W_PH(AE$2,$A618)</f>
        <v>2015</v>
      </c>
      <c r="AF618" s="0" t="n">
        <f aca="false">W_PH(AF$2,$A618)</f>
        <v>2015</v>
      </c>
      <c r="AG618" s="0" t="n">
        <f aca="false">W_PH(AG$2,$A618)</f>
        <v>2015</v>
      </c>
      <c r="AH618" s="0" t="n">
        <f aca="false">W_PH(AH$2,$A618)</f>
        <v>2015</v>
      </c>
      <c r="AI618" s="0" t="n">
        <f aca="false">W_PH(AI$2,$A618)</f>
        <v>2015</v>
      </c>
      <c r="AJ618" s="0" t="n">
        <f aca="false">W_PH(AJ$2,$A618)</f>
        <v>2015</v>
      </c>
      <c r="AK618" s="0" t="n">
        <f aca="false">W_PH(AK$2,$A618)</f>
        <v>2015</v>
      </c>
      <c r="AL618" s="0" t="n">
        <f aca="false">W_PH(AL$2,$A618)</f>
        <v>2015</v>
      </c>
      <c r="AM618" s="0" t="n">
        <f aca="false">W_PH(AM$2,$A618)</f>
        <v>2015</v>
      </c>
      <c r="AN618" s="0" t="n">
        <f aca="false">W_PH(AN$2,$A618)</f>
        <v>2015</v>
      </c>
      <c r="AO618" s="0" t="n">
        <f aca="false">W_PH(AO$2,$A618)</f>
        <v>2015</v>
      </c>
      <c r="AP618" s="0" t="n">
        <f aca="false">W_PH(AP$2,$A618)</f>
        <v>2015</v>
      </c>
      <c r="AQ618" s="0" t="n">
        <f aca="false">W_PH(AQ$2,$A618)</f>
        <v>2015</v>
      </c>
      <c r="AR618" s="0" t="n">
        <f aca="false">W_PH(AR$2,$A618)</f>
        <v>2015</v>
      </c>
      <c r="AS618" s="0" t="n">
        <f aca="false">W_PH(AS$2,$A618)</f>
        <v>2015</v>
      </c>
    </row>
    <row r="619" customFormat="false" ht="13.8" hidden="false" customHeight="false" outlineLevel="0" collapsed="false">
      <c r="A619" s="0" t="n">
        <v>7790</v>
      </c>
      <c r="B619" s="0" t="n">
        <f aca="false">W_PH(B$2,$A619)</f>
        <v>2015</v>
      </c>
      <c r="C619" s="0" t="n">
        <f aca="false">W_PH(C$2,$A619)</f>
        <v>2015</v>
      </c>
      <c r="D619" s="0" t="n">
        <f aca="false">W_PH(D$2,$A619)</f>
        <v>2015</v>
      </c>
      <c r="E619" s="0" t="n">
        <f aca="false">W_PH(E$2,$A619)</f>
        <v>2015</v>
      </c>
      <c r="F619" s="0" t="n">
        <f aca="false">W_PH(F$2,$A619)</f>
        <v>2015</v>
      </c>
      <c r="G619" s="0" t="n">
        <f aca="false">W_PH(G$2,$A619)</f>
        <v>2015</v>
      </c>
      <c r="H619" s="0" t="n">
        <f aca="false">W_PH(H$2,$A619)</f>
        <v>2015</v>
      </c>
      <c r="I619" s="0" t="n">
        <f aca="false">W_PH(I$2,$A619)</f>
        <v>2015</v>
      </c>
      <c r="J619" s="0" t="n">
        <f aca="false">W_PH(J$2,$A619)</f>
        <v>2015</v>
      </c>
      <c r="K619" s="0" t="n">
        <f aca="false">W_PH(K$2,$A619)</f>
        <v>2015</v>
      </c>
      <c r="L619" s="0" t="n">
        <f aca="false">W_PH(L$2,$A619)</f>
        <v>2015</v>
      </c>
      <c r="M619" s="0" t="n">
        <f aca="false">W_PH(M$2,$A619)</f>
        <v>2015</v>
      </c>
      <c r="N619" s="0" t="n">
        <f aca="false">W_PH(N$2,$A619)</f>
        <v>2015</v>
      </c>
      <c r="O619" s="0" t="n">
        <f aca="false">W_PH(O$2,$A619)</f>
        <v>2015</v>
      </c>
      <c r="P619" s="0" t="n">
        <f aca="false">W_PH(P$2,$A619)</f>
        <v>2015</v>
      </c>
      <c r="Q619" s="0" t="n">
        <f aca="false">W_PH(Q$2,$A619)</f>
        <v>2015</v>
      </c>
      <c r="R619" s="0" t="n">
        <f aca="false">W_PH(R$2,$A619)</f>
        <v>2015</v>
      </c>
      <c r="S619" s="0" t="n">
        <f aca="false">W_PH(S$2,$A619)</f>
        <v>2015</v>
      </c>
      <c r="T619" s="0" t="n">
        <f aca="false">W_PH(T$2,$A619)</f>
        <v>2015</v>
      </c>
      <c r="U619" s="0" t="n">
        <f aca="false">W_PH(U$2,$A619)</f>
        <v>2015</v>
      </c>
      <c r="V619" s="0" t="n">
        <f aca="false">W_PH(V$2,$A619)</f>
        <v>2015</v>
      </c>
      <c r="W619" s="0" t="n">
        <f aca="false">W_PH(W$2,$A619)</f>
        <v>2015</v>
      </c>
      <c r="X619" s="0" t="n">
        <f aca="false">W_PH(X$2,$A619)</f>
        <v>2015</v>
      </c>
      <c r="Y619" s="0" t="n">
        <f aca="false">W_PH(Y$2,$A619)</f>
        <v>2015</v>
      </c>
      <c r="Z619" s="0" t="n">
        <f aca="false">W_PH(Z$2,$A619)</f>
        <v>2015</v>
      </c>
      <c r="AA619" s="0" t="n">
        <f aca="false">W_PH(AA$2,$A619)</f>
        <v>2015</v>
      </c>
      <c r="AB619" s="0" t="n">
        <f aca="false">W_PH(AB$2,$A619)</f>
        <v>2015</v>
      </c>
      <c r="AC619" s="0" t="n">
        <f aca="false">W_PH(AC$2,$A619)</f>
        <v>2015</v>
      </c>
      <c r="AD619" s="0" t="n">
        <f aca="false">W_PH(AD$2,$A619)</f>
        <v>2015</v>
      </c>
      <c r="AE619" s="0" t="n">
        <f aca="false">W_PH(AE$2,$A619)</f>
        <v>2015</v>
      </c>
      <c r="AF619" s="0" t="n">
        <f aca="false">W_PH(AF$2,$A619)</f>
        <v>2015</v>
      </c>
      <c r="AG619" s="0" t="n">
        <f aca="false">W_PH(AG$2,$A619)</f>
        <v>2015</v>
      </c>
      <c r="AH619" s="0" t="n">
        <f aca="false">W_PH(AH$2,$A619)</f>
        <v>2015</v>
      </c>
      <c r="AI619" s="0" t="n">
        <f aca="false">W_PH(AI$2,$A619)</f>
        <v>2015</v>
      </c>
      <c r="AJ619" s="0" t="n">
        <f aca="false">W_PH(AJ$2,$A619)</f>
        <v>2015</v>
      </c>
      <c r="AK619" s="0" t="n">
        <f aca="false">W_PH(AK$2,$A619)</f>
        <v>2015</v>
      </c>
      <c r="AL619" s="0" t="n">
        <f aca="false">W_PH(AL$2,$A619)</f>
        <v>2015</v>
      </c>
      <c r="AM619" s="0" t="n">
        <f aca="false">W_PH(AM$2,$A619)</f>
        <v>2015</v>
      </c>
      <c r="AN619" s="0" t="n">
        <f aca="false">W_PH(AN$2,$A619)</f>
        <v>2015</v>
      </c>
      <c r="AO619" s="0" t="n">
        <f aca="false">W_PH(AO$2,$A619)</f>
        <v>2015</v>
      </c>
      <c r="AP619" s="0" t="n">
        <f aca="false">W_PH(AP$2,$A619)</f>
        <v>2015</v>
      </c>
      <c r="AQ619" s="0" t="n">
        <f aca="false">W_PH(AQ$2,$A619)</f>
        <v>2015</v>
      </c>
      <c r="AR619" s="0" t="n">
        <f aca="false">W_PH(AR$2,$A619)</f>
        <v>2015</v>
      </c>
      <c r="AS619" s="0" t="n">
        <f aca="false">W_PH(AS$2,$A619)</f>
        <v>2015</v>
      </c>
    </row>
    <row r="620" customFormat="false" ht="13.8" hidden="false" customHeight="false" outlineLevel="0" collapsed="false">
      <c r="A620" s="0" t="n">
        <v>7800</v>
      </c>
      <c r="B620" s="0" t="n">
        <f aca="false">W_PH(B$2,$A620)</f>
        <v>2015</v>
      </c>
      <c r="C620" s="0" t="n">
        <f aca="false">W_PH(C$2,$A620)</f>
        <v>2015</v>
      </c>
      <c r="D620" s="0" t="n">
        <f aca="false">W_PH(D$2,$A620)</f>
        <v>2015</v>
      </c>
      <c r="E620" s="0" t="n">
        <f aca="false">W_PH(E$2,$A620)</f>
        <v>2015</v>
      </c>
      <c r="F620" s="0" t="n">
        <f aca="false">W_PH(F$2,$A620)</f>
        <v>2015</v>
      </c>
      <c r="G620" s="0" t="n">
        <f aca="false">W_PH(G$2,$A620)</f>
        <v>2015</v>
      </c>
      <c r="H620" s="0" t="n">
        <f aca="false">W_PH(H$2,$A620)</f>
        <v>2015</v>
      </c>
      <c r="I620" s="0" t="n">
        <f aca="false">W_PH(I$2,$A620)</f>
        <v>2015</v>
      </c>
      <c r="J620" s="0" t="n">
        <f aca="false">W_PH(J$2,$A620)</f>
        <v>2015</v>
      </c>
      <c r="K620" s="0" t="n">
        <f aca="false">W_PH(K$2,$A620)</f>
        <v>2015</v>
      </c>
      <c r="L620" s="0" t="n">
        <f aca="false">W_PH(L$2,$A620)</f>
        <v>2015</v>
      </c>
      <c r="M620" s="0" t="n">
        <f aca="false">W_PH(M$2,$A620)</f>
        <v>2015</v>
      </c>
      <c r="N620" s="0" t="n">
        <f aca="false">W_PH(N$2,$A620)</f>
        <v>2015</v>
      </c>
      <c r="O620" s="0" t="n">
        <f aca="false">W_PH(O$2,$A620)</f>
        <v>2015</v>
      </c>
      <c r="P620" s="0" t="n">
        <f aca="false">W_PH(P$2,$A620)</f>
        <v>2015</v>
      </c>
      <c r="Q620" s="0" t="n">
        <f aca="false">W_PH(Q$2,$A620)</f>
        <v>2015</v>
      </c>
      <c r="R620" s="0" t="n">
        <f aca="false">W_PH(R$2,$A620)</f>
        <v>2015</v>
      </c>
      <c r="S620" s="0" t="n">
        <f aca="false">W_PH(S$2,$A620)</f>
        <v>2015</v>
      </c>
      <c r="T620" s="0" t="n">
        <f aca="false">W_PH(T$2,$A620)</f>
        <v>2015</v>
      </c>
      <c r="U620" s="0" t="n">
        <f aca="false">W_PH(U$2,$A620)</f>
        <v>2015</v>
      </c>
      <c r="V620" s="0" t="n">
        <f aca="false">W_PH(V$2,$A620)</f>
        <v>2015</v>
      </c>
      <c r="W620" s="0" t="n">
        <f aca="false">W_PH(W$2,$A620)</f>
        <v>2015</v>
      </c>
      <c r="X620" s="0" t="n">
        <f aca="false">W_PH(X$2,$A620)</f>
        <v>2015</v>
      </c>
      <c r="Y620" s="0" t="n">
        <f aca="false">W_PH(Y$2,$A620)</f>
        <v>2015</v>
      </c>
      <c r="Z620" s="0" t="n">
        <f aca="false">W_PH(Z$2,$A620)</f>
        <v>2015</v>
      </c>
      <c r="AA620" s="0" t="n">
        <f aca="false">W_PH(AA$2,$A620)</f>
        <v>2015</v>
      </c>
      <c r="AB620" s="0" t="n">
        <f aca="false">W_PH(AB$2,$A620)</f>
        <v>2015</v>
      </c>
      <c r="AC620" s="0" t="n">
        <f aca="false">W_PH(AC$2,$A620)</f>
        <v>2015</v>
      </c>
      <c r="AD620" s="0" t="n">
        <f aca="false">W_PH(AD$2,$A620)</f>
        <v>2015</v>
      </c>
      <c r="AE620" s="0" t="n">
        <f aca="false">W_PH(AE$2,$A620)</f>
        <v>2015</v>
      </c>
      <c r="AF620" s="0" t="n">
        <f aca="false">W_PH(AF$2,$A620)</f>
        <v>2015</v>
      </c>
      <c r="AG620" s="0" t="n">
        <f aca="false">W_PH(AG$2,$A620)</f>
        <v>2015</v>
      </c>
      <c r="AH620" s="0" t="n">
        <f aca="false">W_PH(AH$2,$A620)</f>
        <v>2015</v>
      </c>
      <c r="AI620" s="0" t="n">
        <f aca="false">W_PH(AI$2,$A620)</f>
        <v>2015</v>
      </c>
      <c r="AJ620" s="0" t="n">
        <f aca="false">W_PH(AJ$2,$A620)</f>
        <v>2015</v>
      </c>
      <c r="AK620" s="0" t="n">
        <f aca="false">W_PH(AK$2,$A620)</f>
        <v>2015</v>
      </c>
      <c r="AL620" s="0" t="n">
        <f aca="false">W_PH(AL$2,$A620)</f>
        <v>2015</v>
      </c>
      <c r="AM620" s="0" t="n">
        <f aca="false">W_PH(AM$2,$A620)</f>
        <v>2015</v>
      </c>
      <c r="AN620" s="0" t="n">
        <f aca="false">W_PH(AN$2,$A620)</f>
        <v>2015</v>
      </c>
      <c r="AO620" s="0" t="n">
        <f aca="false">W_PH(AO$2,$A620)</f>
        <v>2015</v>
      </c>
      <c r="AP620" s="0" t="n">
        <f aca="false">W_PH(AP$2,$A620)</f>
        <v>2015</v>
      </c>
      <c r="AQ620" s="0" t="n">
        <f aca="false">W_PH(AQ$2,$A620)</f>
        <v>2015</v>
      </c>
      <c r="AR620" s="0" t="n">
        <f aca="false">W_PH(AR$2,$A620)</f>
        <v>2015</v>
      </c>
      <c r="AS620" s="0" t="n">
        <f aca="false">W_PH(AS$2,$A620)</f>
        <v>2015</v>
      </c>
    </row>
    <row r="621" customFormat="false" ht="13.8" hidden="false" customHeight="false" outlineLevel="0" collapsed="false">
      <c r="A621" s="0" t="n">
        <v>7810</v>
      </c>
      <c r="B621" s="0" t="n">
        <f aca="false">W_PH(B$2,$A621)</f>
        <v>2015</v>
      </c>
      <c r="C621" s="0" t="n">
        <f aca="false">W_PH(C$2,$A621)</f>
        <v>2015</v>
      </c>
      <c r="D621" s="0" t="n">
        <f aca="false">W_PH(D$2,$A621)</f>
        <v>2015</v>
      </c>
      <c r="E621" s="0" t="n">
        <f aca="false">W_PH(E$2,$A621)</f>
        <v>2015</v>
      </c>
      <c r="F621" s="0" t="n">
        <f aca="false">W_PH(F$2,$A621)</f>
        <v>2015</v>
      </c>
      <c r="G621" s="0" t="n">
        <f aca="false">W_PH(G$2,$A621)</f>
        <v>2015</v>
      </c>
      <c r="H621" s="0" t="n">
        <f aca="false">W_PH(H$2,$A621)</f>
        <v>2015</v>
      </c>
      <c r="I621" s="0" t="n">
        <f aca="false">W_PH(I$2,$A621)</f>
        <v>2015</v>
      </c>
      <c r="J621" s="0" t="n">
        <f aca="false">W_PH(J$2,$A621)</f>
        <v>2015</v>
      </c>
      <c r="K621" s="0" t="n">
        <f aca="false">W_PH(K$2,$A621)</f>
        <v>2015</v>
      </c>
      <c r="L621" s="0" t="n">
        <f aca="false">W_PH(L$2,$A621)</f>
        <v>2015</v>
      </c>
      <c r="M621" s="0" t="n">
        <f aca="false">W_PH(M$2,$A621)</f>
        <v>2015</v>
      </c>
      <c r="N621" s="0" t="n">
        <f aca="false">W_PH(N$2,$A621)</f>
        <v>2015</v>
      </c>
      <c r="O621" s="0" t="n">
        <f aca="false">W_PH(O$2,$A621)</f>
        <v>2015</v>
      </c>
      <c r="P621" s="0" t="n">
        <f aca="false">W_PH(P$2,$A621)</f>
        <v>2015</v>
      </c>
      <c r="Q621" s="0" t="n">
        <f aca="false">W_PH(Q$2,$A621)</f>
        <v>2015</v>
      </c>
      <c r="R621" s="0" t="n">
        <f aca="false">W_PH(R$2,$A621)</f>
        <v>2015</v>
      </c>
      <c r="S621" s="0" t="n">
        <f aca="false">W_PH(S$2,$A621)</f>
        <v>2015</v>
      </c>
      <c r="T621" s="0" t="n">
        <f aca="false">W_PH(T$2,$A621)</f>
        <v>2015</v>
      </c>
      <c r="U621" s="0" t="n">
        <f aca="false">W_PH(U$2,$A621)</f>
        <v>2015</v>
      </c>
      <c r="V621" s="0" t="n">
        <f aca="false">W_PH(V$2,$A621)</f>
        <v>2015</v>
      </c>
      <c r="W621" s="0" t="n">
        <f aca="false">W_PH(W$2,$A621)</f>
        <v>2015</v>
      </c>
      <c r="X621" s="0" t="n">
        <f aca="false">W_PH(X$2,$A621)</f>
        <v>2015</v>
      </c>
      <c r="Y621" s="0" t="n">
        <f aca="false">W_PH(Y$2,$A621)</f>
        <v>2015</v>
      </c>
      <c r="Z621" s="0" t="n">
        <f aca="false">W_PH(Z$2,$A621)</f>
        <v>2015</v>
      </c>
      <c r="AA621" s="0" t="n">
        <f aca="false">W_PH(AA$2,$A621)</f>
        <v>2015</v>
      </c>
      <c r="AB621" s="0" t="n">
        <f aca="false">W_PH(AB$2,$A621)</f>
        <v>2015</v>
      </c>
      <c r="AC621" s="0" t="n">
        <f aca="false">W_PH(AC$2,$A621)</f>
        <v>2015</v>
      </c>
      <c r="AD621" s="0" t="n">
        <f aca="false">W_PH(AD$2,$A621)</f>
        <v>2015</v>
      </c>
      <c r="AE621" s="0" t="n">
        <f aca="false">W_PH(AE$2,$A621)</f>
        <v>2015</v>
      </c>
      <c r="AF621" s="0" t="n">
        <f aca="false">W_PH(AF$2,$A621)</f>
        <v>2015</v>
      </c>
      <c r="AG621" s="0" t="n">
        <f aca="false">W_PH(AG$2,$A621)</f>
        <v>2015</v>
      </c>
      <c r="AH621" s="0" t="n">
        <f aca="false">W_PH(AH$2,$A621)</f>
        <v>2015</v>
      </c>
      <c r="AI621" s="0" t="n">
        <f aca="false">W_PH(AI$2,$A621)</f>
        <v>2015</v>
      </c>
      <c r="AJ621" s="0" t="n">
        <f aca="false">W_PH(AJ$2,$A621)</f>
        <v>2015</v>
      </c>
      <c r="AK621" s="0" t="n">
        <f aca="false">W_PH(AK$2,$A621)</f>
        <v>2015</v>
      </c>
      <c r="AL621" s="0" t="n">
        <f aca="false">W_PH(AL$2,$A621)</f>
        <v>2015</v>
      </c>
      <c r="AM621" s="0" t="n">
        <f aca="false">W_PH(AM$2,$A621)</f>
        <v>2015</v>
      </c>
      <c r="AN621" s="0" t="n">
        <f aca="false">W_PH(AN$2,$A621)</f>
        <v>2015</v>
      </c>
      <c r="AO621" s="0" t="n">
        <f aca="false">W_PH(AO$2,$A621)</f>
        <v>2015</v>
      </c>
      <c r="AP621" s="0" t="n">
        <f aca="false">W_PH(AP$2,$A621)</f>
        <v>2015</v>
      </c>
      <c r="AQ621" s="0" t="n">
        <f aca="false">W_PH(AQ$2,$A621)</f>
        <v>2015</v>
      </c>
      <c r="AR621" s="0" t="n">
        <f aca="false">W_PH(AR$2,$A621)</f>
        <v>2015</v>
      </c>
      <c r="AS621" s="0" t="n">
        <f aca="false">W_PH(AS$2,$A621)</f>
        <v>2015</v>
      </c>
    </row>
    <row r="622" customFormat="false" ht="13.8" hidden="false" customHeight="false" outlineLevel="0" collapsed="false">
      <c r="A622" s="0" t="n">
        <v>7820</v>
      </c>
      <c r="B622" s="0" t="n">
        <f aca="false">W_PH(B$2,$A622)</f>
        <v>2015</v>
      </c>
      <c r="C622" s="0" t="n">
        <f aca="false">W_PH(C$2,$A622)</f>
        <v>2015</v>
      </c>
      <c r="D622" s="0" t="n">
        <f aca="false">W_PH(D$2,$A622)</f>
        <v>2015</v>
      </c>
      <c r="E622" s="0" t="n">
        <f aca="false">W_PH(E$2,$A622)</f>
        <v>2015</v>
      </c>
      <c r="F622" s="0" t="n">
        <f aca="false">W_PH(F$2,$A622)</f>
        <v>2015</v>
      </c>
      <c r="G622" s="0" t="n">
        <f aca="false">W_PH(G$2,$A622)</f>
        <v>2015</v>
      </c>
      <c r="H622" s="0" t="n">
        <f aca="false">W_PH(H$2,$A622)</f>
        <v>2015</v>
      </c>
      <c r="I622" s="0" t="n">
        <f aca="false">W_PH(I$2,$A622)</f>
        <v>2015</v>
      </c>
      <c r="J622" s="0" t="n">
        <f aca="false">W_PH(J$2,$A622)</f>
        <v>2015</v>
      </c>
      <c r="K622" s="0" t="n">
        <f aca="false">W_PH(K$2,$A622)</f>
        <v>2015</v>
      </c>
      <c r="L622" s="0" t="n">
        <f aca="false">W_PH(L$2,$A622)</f>
        <v>2015</v>
      </c>
      <c r="M622" s="0" t="n">
        <f aca="false">W_PH(M$2,$A622)</f>
        <v>2015</v>
      </c>
      <c r="N622" s="0" t="n">
        <f aca="false">W_PH(N$2,$A622)</f>
        <v>2015</v>
      </c>
      <c r="O622" s="0" t="n">
        <f aca="false">W_PH(O$2,$A622)</f>
        <v>2015</v>
      </c>
      <c r="P622" s="0" t="n">
        <f aca="false">W_PH(P$2,$A622)</f>
        <v>2015</v>
      </c>
      <c r="Q622" s="0" t="n">
        <f aca="false">W_PH(Q$2,$A622)</f>
        <v>2015</v>
      </c>
      <c r="R622" s="0" t="n">
        <f aca="false">W_PH(R$2,$A622)</f>
        <v>2015</v>
      </c>
      <c r="S622" s="0" t="n">
        <f aca="false">W_PH(S$2,$A622)</f>
        <v>2015</v>
      </c>
      <c r="T622" s="0" t="n">
        <f aca="false">W_PH(T$2,$A622)</f>
        <v>2015</v>
      </c>
      <c r="U622" s="0" t="n">
        <f aca="false">W_PH(U$2,$A622)</f>
        <v>2015</v>
      </c>
      <c r="V622" s="0" t="n">
        <f aca="false">W_PH(V$2,$A622)</f>
        <v>2015</v>
      </c>
      <c r="W622" s="0" t="n">
        <f aca="false">W_PH(W$2,$A622)</f>
        <v>2015</v>
      </c>
      <c r="X622" s="0" t="n">
        <f aca="false">W_PH(X$2,$A622)</f>
        <v>2015</v>
      </c>
      <c r="Y622" s="0" t="n">
        <f aca="false">W_PH(Y$2,$A622)</f>
        <v>2015</v>
      </c>
      <c r="Z622" s="0" t="n">
        <f aca="false">W_PH(Z$2,$A622)</f>
        <v>2015</v>
      </c>
      <c r="AA622" s="0" t="n">
        <f aca="false">W_PH(AA$2,$A622)</f>
        <v>2015</v>
      </c>
      <c r="AB622" s="0" t="n">
        <f aca="false">W_PH(AB$2,$A622)</f>
        <v>2015</v>
      </c>
      <c r="AC622" s="0" t="n">
        <f aca="false">W_PH(AC$2,$A622)</f>
        <v>2015</v>
      </c>
      <c r="AD622" s="0" t="n">
        <f aca="false">W_PH(AD$2,$A622)</f>
        <v>2015</v>
      </c>
      <c r="AE622" s="0" t="n">
        <f aca="false">W_PH(AE$2,$A622)</f>
        <v>2015</v>
      </c>
      <c r="AF622" s="0" t="n">
        <f aca="false">W_PH(AF$2,$A622)</f>
        <v>2015</v>
      </c>
      <c r="AG622" s="0" t="n">
        <f aca="false">W_PH(AG$2,$A622)</f>
        <v>2015</v>
      </c>
      <c r="AH622" s="0" t="n">
        <f aca="false">W_PH(AH$2,$A622)</f>
        <v>2015</v>
      </c>
      <c r="AI622" s="0" t="n">
        <f aca="false">W_PH(AI$2,$A622)</f>
        <v>2015</v>
      </c>
      <c r="AJ622" s="0" t="n">
        <f aca="false">W_PH(AJ$2,$A622)</f>
        <v>2015</v>
      </c>
      <c r="AK622" s="0" t="n">
        <f aca="false">W_PH(AK$2,$A622)</f>
        <v>2015</v>
      </c>
      <c r="AL622" s="0" t="n">
        <f aca="false">W_PH(AL$2,$A622)</f>
        <v>2015</v>
      </c>
      <c r="AM622" s="0" t="n">
        <f aca="false">W_PH(AM$2,$A622)</f>
        <v>2015</v>
      </c>
      <c r="AN622" s="0" t="n">
        <f aca="false">W_PH(AN$2,$A622)</f>
        <v>2015</v>
      </c>
      <c r="AO622" s="0" t="n">
        <f aca="false">W_PH(AO$2,$A622)</f>
        <v>2015</v>
      </c>
      <c r="AP622" s="0" t="n">
        <f aca="false">W_PH(AP$2,$A622)</f>
        <v>2015</v>
      </c>
      <c r="AQ622" s="0" t="n">
        <f aca="false">W_PH(AQ$2,$A622)</f>
        <v>2015</v>
      </c>
      <c r="AR622" s="0" t="n">
        <f aca="false">W_PH(AR$2,$A622)</f>
        <v>2015</v>
      </c>
      <c r="AS622" s="0" t="n">
        <f aca="false">W_PH(AS$2,$A622)</f>
        <v>2015</v>
      </c>
    </row>
    <row r="623" customFormat="false" ht="13.8" hidden="false" customHeight="false" outlineLevel="0" collapsed="false">
      <c r="A623" s="0" t="n">
        <v>7830</v>
      </c>
      <c r="B623" s="0" t="n">
        <f aca="false">W_PH(B$2,$A623)</f>
        <v>2015</v>
      </c>
      <c r="C623" s="0" t="n">
        <f aca="false">W_PH(C$2,$A623)</f>
        <v>2015</v>
      </c>
      <c r="D623" s="0" t="n">
        <f aca="false">W_PH(D$2,$A623)</f>
        <v>2015</v>
      </c>
      <c r="E623" s="0" t="n">
        <f aca="false">W_PH(E$2,$A623)</f>
        <v>2015</v>
      </c>
      <c r="F623" s="0" t="n">
        <f aca="false">W_PH(F$2,$A623)</f>
        <v>2015</v>
      </c>
      <c r="G623" s="0" t="n">
        <f aca="false">W_PH(G$2,$A623)</f>
        <v>2015</v>
      </c>
      <c r="H623" s="0" t="n">
        <f aca="false">W_PH(H$2,$A623)</f>
        <v>2015</v>
      </c>
      <c r="I623" s="0" t="n">
        <f aca="false">W_PH(I$2,$A623)</f>
        <v>2015</v>
      </c>
      <c r="J623" s="0" t="n">
        <f aca="false">W_PH(J$2,$A623)</f>
        <v>2015</v>
      </c>
      <c r="K623" s="0" t="n">
        <f aca="false">W_PH(K$2,$A623)</f>
        <v>2015</v>
      </c>
      <c r="L623" s="0" t="n">
        <f aca="false">W_PH(L$2,$A623)</f>
        <v>2015</v>
      </c>
      <c r="M623" s="0" t="n">
        <f aca="false">W_PH(M$2,$A623)</f>
        <v>2015</v>
      </c>
      <c r="N623" s="0" t="n">
        <f aca="false">W_PH(N$2,$A623)</f>
        <v>2015</v>
      </c>
      <c r="O623" s="0" t="n">
        <f aca="false">W_PH(O$2,$A623)</f>
        <v>2015</v>
      </c>
      <c r="P623" s="0" t="n">
        <f aca="false">W_PH(P$2,$A623)</f>
        <v>2015</v>
      </c>
      <c r="Q623" s="0" t="n">
        <f aca="false">W_PH(Q$2,$A623)</f>
        <v>2015</v>
      </c>
      <c r="R623" s="0" t="n">
        <f aca="false">W_PH(R$2,$A623)</f>
        <v>2015</v>
      </c>
      <c r="S623" s="0" t="n">
        <f aca="false">W_PH(S$2,$A623)</f>
        <v>2015</v>
      </c>
      <c r="T623" s="0" t="n">
        <f aca="false">W_PH(T$2,$A623)</f>
        <v>2015</v>
      </c>
      <c r="U623" s="0" t="n">
        <f aca="false">W_PH(U$2,$A623)</f>
        <v>2015</v>
      </c>
      <c r="V623" s="0" t="n">
        <f aca="false">W_PH(V$2,$A623)</f>
        <v>2015</v>
      </c>
      <c r="W623" s="0" t="n">
        <f aca="false">W_PH(W$2,$A623)</f>
        <v>2015</v>
      </c>
      <c r="X623" s="0" t="n">
        <f aca="false">W_PH(X$2,$A623)</f>
        <v>2015</v>
      </c>
      <c r="Y623" s="0" t="n">
        <f aca="false">W_PH(Y$2,$A623)</f>
        <v>2015</v>
      </c>
      <c r="Z623" s="0" t="n">
        <f aca="false">W_PH(Z$2,$A623)</f>
        <v>2015</v>
      </c>
      <c r="AA623" s="0" t="n">
        <f aca="false">W_PH(AA$2,$A623)</f>
        <v>2015</v>
      </c>
      <c r="AB623" s="0" t="n">
        <f aca="false">W_PH(AB$2,$A623)</f>
        <v>2015</v>
      </c>
      <c r="AC623" s="0" t="n">
        <f aca="false">W_PH(AC$2,$A623)</f>
        <v>2015</v>
      </c>
      <c r="AD623" s="0" t="n">
        <f aca="false">W_PH(AD$2,$A623)</f>
        <v>2015</v>
      </c>
      <c r="AE623" s="0" t="n">
        <f aca="false">W_PH(AE$2,$A623)</f>
        <v>2015</v>
      </c>
      <c r="AF623" s="0" t="n">
        <f aca="false">W_PH(AF$2,$A623)</f>
        <v>2015</v>
      </c>
      <c r="AG623" s="0" t="n">
        <f aca="false">W_PH(AG$2,$A623)</f>
        <v>2015</v>
      </c>
      <c r="AH623" s="0" t="n">
        <f aca="false">W_PH(AH$2,$A623)</f>
        <v>2015</v>
      </c>
      <c r="AI623" s="0" t="n">
        <f aca="false">W_PH(AI$2,$A623)</f>
        <v>2015</v>
      </c>
      <c r="AJ623" s="0" t="n">
        <f aca="false">W_PH(AJ$2,$A623)</f>
        <v>2015</v>
      </c>
      <c r="AK623" s="0" t="n">
        <f aca="false">W_PH(AK$2,$A623)</f>
        <v>2015</v>
      </c>
      <c r="AL623" s="0" t="n">
        <f aca="false">W_PH(AL$2,$A623)</f>
        <v>2015</v>
      </c>
      <c r="AM623" s="0" t="n">
        <f aca="false">W_PH(AM$2,$A623)</f>
        <v>2015</v>
      </c>
      <c r="AN623" s="0" t="n">
        <f aca="false">W_PH(AN$2,$A623)</f>
        <v>2015</v>
      </c>
      <c r="AO623" s="0" t="n">
        <f aca="false">W_PH(AO$2,$A623)</f>
        <v>2015</v>
      </c>
      <c r="AP623" s="0" t="n">
        <f aca="false">W_PH(AP$2,$A623)</f>
        <v>2015</v>
      </c>
      <c r="AQ623" s="0" t="n">
        <f aca="false">W_PH(AQ$2,$A623)</f>
        <v>2015</v>
      </c>
      <c r="AR623" s="0" t="n">
        <f aca="false">W_PH(AR$2,$A623)</f>
        <v>2015</v>
      </c>
      <c r="AS623" s="0" t="n">
        <f aca="false">W_PH(AS$2,$A623)</f>
        <v>2015</v>
      </c>
    </row>
    <row r="624" customFormat="false" ht="13.8" hidden="false" customHeight="false" outlineLevel="0" collapsed="false">
      <c r="A624" s="0" t="n">
        <v>7840</v>
      </c>
      <c r="B624" s="0" t="n">
        <f aca="false">W_PH(B$2,$A624)</f>
        <v>2015</v>
      </c>
      <c r="C624" s="0" t="n">
        <f aca="false">W_PH(C$2,$A624)</f>
        <v>2015</v>
      </c>
      <c r="D624" s="0" t="n">
        <f aca="false">W_PH(D$2,$A624)</f>
        <v>2015</v>
      </c>
      <c r="E624" s="0" t="n">
        <f aca="false">W_PH(E$2,$A624)</f>
        <v>2015</v>
      </c>
      <c r="F624" s="0" t="n">
        <f aca="false">W_PH(F$2,$A624)</f>
        <v>2015</v>
      </c>
      <c r="G624" s="0" t="n">
        <f aca="false">W_PH(G$2,$A624)</f>
        <v>2015</v>
      </c>
      <c r="H624" s="0" t="n">
        <f aca="false">W_PH(H$2,$A624)</f>
        <v>2015</v>
      </c>
      <c r="I624" s="0" t="n">
        <f aca="false">W_PH(I$2,$A624)</f>
        <v>2015</v>
      </c>
      <c r="J624" s="0" t="n">
        <f aca="false">W_PH(J$2,$A624)</f>
        <v>2015</v>
      </c>
      <c r="K624" s="0" t="n">
        <f aca="false">W_PH(K$2,$A624)</f>
        <v>2015</v>
      </c>
      <c r="L624" s="0" t="n">
        <f aca="false">W_PH(L$2,$A624)</f>
        <v>2015</v>
      </c>
      <c r="M624" s="0" t="n">
        <f aca="false">W_PH(M$2,$A624)</f>
        <v>2015</v>
      </c>
      <c r="N624" s="0" t="n">
        <f aca="false">W_PH(N$2,$A624)</f>
        <v>2015</v>
      </c>
      <c r="O624" s="0" t="n">
        <f aca="false">W_PH(O$2,$A624)</f>
        <v>2015</v>
      </c>
      <c r="P624" s="0" t="n">
        <f aca="false">W_PH(P$2,$A624)</f>
        <v>2015</v>
      </c>
      <c r="Q624" s="0" t="n">
        <f aca="false">W_PH(Q$2,$A624)</f>
        <v>2015</v>
      </c>
      <c r="R624" s="0" t="n">
        <f aca="false">W_PH(R$2,$A624)</f>
        <v>2015</v>
      </c>
      <c r="S624" s="0" t="n">
        <f aca="false">W_PH(S$2,$A624)</f>
        <v>2015</v>
      </c>
      <c r="T624" s="0" t="n">
        <f aca="false">W_PH(T$2,$A624)</f>
        <v>2015</v>
      </c>
      <c r="U624" s="0" t="n">
        <f aca="false">W_PH(U$2,$A624)</f>
        <v>2015</v>
      </c>
      <c r="V624" s="0" t="n">
        <f aca="false">W_PH(V$2,$A624)</f>
        <v>2015</v>
      </c>
      <c r="W624" s="0" t="n">
        <f aca="false">W_PH(W$2,$A624)</f>
        <v>2015</v>
      </c>
      <c r="X624" s="0" t="n">
        <f aca="false">W_PH(X$2,$A624)</f>
        <v>2015</v>
      </c>
      <c r="Y624" s="0" t="n">
        <f aca="false">W_PH(Y$2,$A624)</f>
        <v>2015</v>
      </c>
      <c r="Z624" s="0" t="n">
        <f aca="false">W_PH(Z$2,$A624)</f>
        <v>2015</v>
      </c>
      <c r="AA624" s="0" t="n">
        <f aca="false">W_PH(AA$2,$A624)</f>
        <v>2015</v>
      </c>
      <c r="AB624" s="0" t="n">
        <f aca="false">W_PH(AB$2,$A624)</f>
        <v>2015</v>
      </c>
      <c r="AC624" s="0" t="n">
        <f aca="false">W_PH(AC$2,$A624)</f>
        <v>2015</v>
      </c>
      <c r="AD624" s="0" t="n">
        <f aca="false">W_PH(AD$2,$A624)</f>
        <v>2015</v>
      </c>
      <c r="AE624" s="0" t="n">
        <f aca="false">W_PH(AE$2,$A624)</f>
        <v>2015</v>
      </c>
      <c r="AF624" s="0" t="n">
        <f aca="false">W_PH(AF$2,$A624)</f>
        <v>2015</v>
      </c>
      <c r="AG624" s="0" t="n">
        <f aca="false">W_PH(AG$2,$A624)</f>
        <v>2015</v>
      </c>
      <c r="AH624" s="0" t="n">
        <f aca="false">W_PH(AH$2,$A624)</f>
        <v>2015</v>
      </c>
      <c r="AI624" s="0" t="n">
        <f aca="false">W_PH(AI$2,$A624)</f>
        <v>2015</v>
      </c>
      <c r="AJ624" s="0" t="n">
        <f aca="false">W_PH(AJ$2,$A624)</f>
        <v>2015</v>
      </c>
      <c r="AK624" s="0" t="n">
        <f aca="false">W_PH(AK$2,$A624)</f>
        <v>2015</v>
      </c>
      <c r="AL624" s="0" t="n">
        <f aca="false">W_PH(AL$2,$A624)</f>
        <v>2015</v>
      </c>
      <c r="AM624" s="0" t="n">
        <f aca="false">W_PH(AM$2,$A624)</f>
        <v>2015</v>
      </c>
      <c r="AN624" s="0" t="n">
        <f aca="false">W_PH(AN$2,$A624)</f>
        <v>2015</v>
      </c>
      <c r="AO624" s="0" t="n">
        <f aca="false">W_PH(AO$2,$A624)</f>
        <v>2015</v>
      </c>
      <c r="AP624" s="0" t="n">
        <f aca="false">W_PH(AP$2,$A624)</f>
        <v>2015</v>
      </c>
      <c r="AQ624" s="0" t="n">
        <f aca="false">W_PH(AQ$2,$A624)</f>
        <v>2015</v>
      </c>
      <c r="AR624" s="0" t="n">
        <f aca="false">W_PH(AR$2,$A624)</f>
        <v>2015</v>
      </c>
      <c r="AS624" s="0" t="n">
        <f aca="false">W_PH(AS$2,$A624)</f>
        <v>2015</v>
      </c>
    </row>
    <row r="625" customFormat="false" ht="13.8" hidden="false" customHeight="false" outlineLevel="0" collapsed="false">
      <c r="A625" s="0" t="n">
        <v>7850</v>
      </c>
      <c r="B625" s="0" t="n">
        <f aca="false">W_PH(B$2,$A625)</f>
        <v>2015</v>
      </c>
      <c r="C625" s="0" t="n">
        <f aca="false">W_PH(C$2,$A625)</f>
        <v>2015</v>
      </c>
      <c r="D625" s="0" t="n">
        <f aca="false">W_PH(D$2,$A625)</f>
        <v>2015</v>
      </c>
      <c r="E625" s="0" t="n">
        <f aca="false">W_PH(E$2,$A625)</f>
        <v>2015</v>
      </c>
      <c r="F625" s="0" t="n">
        <f aca="false">W_PH(F$2,$A625)</f>
        <v>2015</v>
      </c>
      <c r="G625" s="0" t="n">
        <f aca="false">W_PH(G$2,$A625)</f>
        <v>2015</v>
      </c>
      <c r="H625" s="0" t="n">
        <f aca="false">W_PH(H$2,$A625)</f>
        <v>2015</v>
      </c>
      <c r="I625" s="0" t="n">
        <f aca="false">W_PH(I$2,$A625)</f>
        <v>2015</v>
      </c>
      <c r="J625" s="0" t="n">
        <f aca="false">W_PH(J$2,$A625)</f>
        <v>2015</v>
      </c>
      <c r="K625" s="0" t="n">
        <f aca="false">W_PH(K$2,$A625)</f>
        <v>2015</v>
      </c>
      <c r="L625" s="0" t="n">
        <f aca="false">W_PH(L$2,$A625)</f>
        <v>2015</v>
      </c>
      <c r="M625" s="0" t="n">
        <f aca="false">W_PH(M$2,$A625)</f>
        <v>2015</v>
      </c>
      <c r="N625" s="0" t="n">
        <f aca="false">W_PH(N$2,$A625)</f>
        <v>2015</v>
      </c>
      <c r="O625" s="0" t="n">
        <f aca="false">W_PH(O$2,$A625)</f>
        <v>2015</v>
      </c>
      <c r="P625" s="0" t="n">
        <f aca="false">W_PH(P$2,$A625)</f>
        <v>2015</v>
      </c>
      <c r="Q625" s="0" t="n">
        <f aca="false">W_PH(Q$2,$A625)</f>
        <v>2015</v>
      </c>
      <c r="R625" s="0" t="n">
        <f aca="false">W_PH(R$2,$A625)</f>
        <v>2015</v>
      </c>
      <c r="S625" s="0" t="n">
        <f aca="false">W_PH(S$2,$A625)</f>
        <v>2015</v>
      </c>
      <c r="T625" s="0" t="n">
        <f aca="false">W_PH(T$2,$A625)</f>
        <v>2015</v>
      </c>
      <c r="U625" s="0" t="n">
        <f aca="false">W_PH(U$2,$A625)</f>
        <v>2015</v>
      </c>
      <c r="V625" s="0" t="n">
        <f aca="false">W_PH(V$2,$A625)</f>
        <v>2015</v>
      </c>
      <c r="W625" s="0" t="n">
        <f aca="false">W_PH(W$2,$A625)</f>
        <v>2015</v>
      </c>
      <c r="X625" s="0" t="n">
        <f aca="false">W_PH(X$2,$A625)</f>
        <v>2015</v>
      </c>
      <c r="Y625" s="0" t="n">
        <f aca="false">W_PH(Y$2,$A625)</f>
        <v>2015</v>
      </c>
      <c r="Z625" s="0" t="n">
        <f aca="false">W_PH(Z$2,$A625)</f>
        <v>2015</v>
      </c>
      <c r="AA625" s="0" t="n">
        <f aca="false">W_PH(AA$2,$A625)</f>
        <v>2015</v>
      </c>
      <c r="AB625" s="0" t="n">
        <f aca="false">W_PH(AB$2,$A625)</f>
        <v>2015</v>
      </c>
      <c r="AC625" s="0" t="n">
        <f aca="false">W_PH(AC$2,$A625)</f>
        <v>2015</v>
      </c>
      <c r="AD625" s="0" t="n">
        <f aca="false">W_PH(AD$2,$A625)</f>
        <v>2015</v>
      </c>
      <c r="AE625" s="0" t="n">
        <f aca="false">W_PH(AE$2,$A625)</f>
        <v>2015</v>
      </c>
      <c r="AF625" s="0" t="n">
        <f aca="false">W_PH(AF$2,$A625)</f>
        <v>2015</v>
      </c>
      <c r="AG625" s="0" t="n">
        <f aca="false">W_PH(AG$2,$A625)</f>
        <v>2015</v>
      </c>
      <c r="AH625" s="0" t="n">
        <f aca="false">W_PH(AH$2,$A625)</f>
        <v>2015</v>
      </c>
      <c r="AI625" s="0" t="n">
        <f aca="false">W_PH(AI$2,$A625)</f>
        <v>2015</v>
      </c>
      <c r="AJ625" s="0" t="n">
        <f aca="false">W_PH(AJ$2,$A625)</f>
        <v>2015</v>
      </c>
      <c r="AK625" s="0" t="n">
        <f aca="false">W_PH(AK$2,$A625)</f>
        <v>2015</v>
      </c>
      <c r="AL625" s="0" t="n">
        <f aca="false">W_PH(AL$2,$A625)</f>
        <v>2015</v>
      </c>
      <c r="AM625" s="0" t="n">
        <f aca="false">W_PH(AM$2,$A625)</f>
        <v>2015</v>
      </c>
      <c r="AN625" s="0" t="n">
        <f aca="false">W_PH(AN$2,$A625)</f>
        <v>2015</v>
      </c>
      <c r="AO625" s="0" t="n">
        <f aca="false">W_PH(AO$2,$A625)</f>
        <v>2015</v>
      </c>
      <c r="AP625" s="0" t="n">
        <f aca="false">W_PH(AP$2,$A625)</f>
        <v>2015</v>
      </c>
      <c r="AQ625" s="0" t="n">
        <f aca="false">W_PH(AQ$2,$A625)</f>
        <v>2015</v>
      </c>
      <c r="AR625" s="0" t="n">
        <f aca="false">W_PH(AR$2,$A625)</f>
        <v>2015</v>
      </c>
      <c r="AS625" s="0" t="n">
        <f aca="false">W_PH(AS$2,$A625)</f>
        <v>2015</v>
      </c>
    </row>
    <row r="626" customFormat="false" ht="13.8" hidden="false" customHeight="false" outlineLevel="0" collapsed="false">
      <c r="A626" s="0" t="n">
        <v>7860</v>
      </c>
      <c r="B626" s="0" t="n">
        <f aca="false">W_PH(B$2,$A626)</f>
        <v>2015</v>
      </c>
      <c r="C626" s="0" t="n">
        <f aca="false">W_PH(C$2,$A626)</f>
        <v>2015</v>
      </c>
      <c r="D626" s="0" t="n">
        <f aca="false">W_PH(D$2,$A626)</f>
        <v>2015</v>
      </c>
      <c r="E626" s="0" t="n">
        <f aca="false">W_PH(E$2,$A626)</f>
        <v>2015</v>
      </c>
      <c r="F626" s="0" t="n">
        <f aca="false">W_PH(F$2,$A626)</f>
        <v>2015</v>
      </c>
      <c r="G626" s="0" t="n">
        <f aca="false">W_PH(G$2,$A626)</f>
        <v>2015</v>
      </c>
      <c r="H626" s="0" t="n">
        <f aca="false">W_PH(H$2,$A626)</f>
        <v>2015</v>
      </c>
      <c r="I626" s="0" t="n">
        <f aca="false">W_PH(I$2,$A626)</f>
        <v>2015</v>
      </c>
      <c r="J626" s="0" t="n">
        <f aca="false">W_PH(J$2,$A626)</f>
        <v>2015</v>
      </c>
      <c r="K626" s="0" t="n">
        <f aca="false">W_PH(K$2,$A626)</f>
        <v>2015</v>
      </c>
      <c r="L626" s="0" t="n">
        <f aca="false">W_PH(L$2,$A626)</f>
        <v>2015</v>
      </c>
      <c r="M626" s="0" t="n">
        <f aca="false">W_PH(M$2,$A626)</f>
        <v>2015</v>
      </c>
      <c r="N626" s="0" t="n">
        <f aca="false">W_PH(N$2,$A626)</f>
        <v>2015</v>
      </c>
      <c r="O626" s="0" t="n">
        <f aca="false">W_PH(O$2,$A626)</f>
        <v>2015</v>
      </c>
      <c r="P626" s="0" t="n">
        <f aca="false">W_PH(P$2,$A626)</f>
        <v>2015</v>
      </c>
      <c r="Q626" s="0" t="n">
        <f aca="false">W_PH(Q$2,$A626)</f>
        <v>2015</v>
      </c>
      <c r="R626" s="0" t="n">
        <f aca="false">W_PH(R$2,$A626)</f>
        <v>2015</v>
      </c>
      <c r="S626" s="0" t="n">
        <f aca="false">W_PH(S$2,$A626)</f>
        <v>2015</v>
      </c>
      <c r="T626" s="0" t="n">
        <f aca="false">W_PH(T$2,$A626)</f>
        <v>2015</v>
      </c>
      <c r="U626" s="0" t="n">
        <f aca="false">W_PH(U$2,$A626)</f>
        <v>2015</v>
      </c>
      <c r="V626" s="0" t="n">
        <f aca="false">W_PH(V$2,$A626)</f>
        <v>2015</v>
      </c>
      <c r="W626" s="0" t="n">
        <f aca="false">W_PH(W$2,$A626)</f>
        <v>2015</v>
      </c>
      <c r="X626" s="0" t="n">
        <f aca="false">W_PH(X$2,$A626)</f>
        <v>2015</v>
      </c>
      <c r="Y626" s="0" t="n">
        <f aca="false">W_PH(Y$2,$A626)</f>
        <v>2015</v>
      </c>
      <c r="Z626" s="0" t="n">
        <f aca="false">W_PH(Z$2,$A626)</f>
        <v>2015</v>
      </c>
      <c r="AA626" s="0" t="n">
        <f aca="false">W_PH(AA$2,$A626)</f>
        <v>2015</v>
      </c>
      <c r="AB626" s="0" t="n">
        <f aca="false">W_PH(AB$2,$A626)</f>
        <v>2015</v>
      </c>
      <c r="AC626" s="0" t="n">
        <f aca="false">W_PH(AC$2,$A626)</f>
        <v>2015</v>
      </c>
      <c r="AD626" s="0" t="n">
        <f aca="false">W_PH(AD$2,$A626)</f>
        <v>2015</v>
      </c>
      <c r="AE626" s="0" t="n">
        <f aca="false">W_PH(AE$2,$A626)</f>
        <v>2015</v>
      </c>
      <c r="AF626" s="0" t="n">
        <f aca="false">W_PH(AF$2,$A626)</f>
        <v>2015</v>
      </c>
      <c r="AG626" s="0" t="n">
        <f aca="false">W_PH(AG$2,$A626)</f>
        <v>2015</v>
      </c>
      <c r="AH626" s="0" t="n">
        <f aca="false">W_PH(AH$2,$A626)</f>
        <v>2015</v>
      </c>
      <c r="AI626" s="0" t="n">
        <f aca="false">W_PH(AI$2,$A626)</f>
        <v>2015</v>
      </c>
      <c r="AJ626" s="0" t="n">
        <f aca="false">W_PH(AJ$2,$A626)</f>
        <v>2015</v>
      </c>
      <c r="AK626" s="0" t="n">
        <f aca="false">W_PH(AK$2,$A626)</f>
        <v>2015</v>
      </c>
      <c r="AL626" s="0" t="n">
        <f aca="false">W_PH(AL$2,$A626)</f>
        <v>2015</v>
      </c>
      <c r="AM626" s="0" t="n">
        <f aca="false">W_PH(AM$2,$A626)</f>
        <v>2015</v>
      </c>
      <c r="AN626" s="0" t="n">
        <f aca="false">W_PH(AN$2,$A626)</f>
        <v>2015</v>
      </c>
      <c r="AO626" s="0" t="n">
        <f aca="false">W_PH(AO$2,$A626)</f>
        <v>2015</v>
      </c>
      <c r="AP626" s="0" t="n">
        <f aca="false">W_PH(AP$2,$A626)</f>
        <v>2015</v>
      </c>
      <c r="AQ626" s="0" t="n">
        <f aca="false">W_PH(AQ$2,$A626)</f>
        <v>2015</v>
      </c>
      <c r="AR626" s="0" t="n">
        <f aca="false">W_PH(AR$2,$A626)</f>
        <v>2015</v>
      </c>
      <c r="AS626" s="0" t="n">
        <f aca="false">W_PH(AS$2,$A626)</f>
        <v>2015</v>
      </c>
    </row>
    <row r="627" customFormat="false" ht="13.8" hidden="false" customHeight="false" outlineLevel="0" collapsed="false">
      <c r="A627" s="0" t="n">
        <v>7870</v>
      </c>
      <c r="B627" s="0" t="n">
        <f aca="false">W_PH(B$2,$A627)</f>
        <v>2015</v>
      </c>
      <c r="C627" s="0" t="n">
        <f aca="false">W_PH(C$2,$A627)</f>
        <v>2015</v>
      </c>
      <c r="D627" s="0" t="n">
        <f aca="false">W_PH(D$2,$A627)</f>
        <v>2015</v>
      </c>
      <c r="E627" s="0" t="n">
        <f aca="false">W_PH(E$2,$A627)</f>
        <v>2015</v>
      </c>
      <c r="F627" s="0" t="n">
        <f aca="false">W_PH(F$2,$A627)</f>
        <v>2015</v>
      </c>
      <c r="G627" s="0" t="n">
        <f aca="false">W_PH(G$2,$A627)</f>
        <v>2015</v>
      </c>
      <c r="H627" s="0" t="n">
        <f aca="false">W_PH(H$2,$A627)</f>
        <v>2015</v>
      </c>
      <c r="I627" s="0" t="n">
        <f aca="false">W_PH(I$2,$A627)</f>
        <v>2015</v>
      </c>
      <c r="J627" s="0" t="n">
        <f aca="false">W_PH(J$2,$A627)</f>
        <v>2015</v>
      </c>
      <c r="K627" s="0" t="n">
        <f aca="false">W_PH(K$2,$A627)</f>
        <v>2015</v>
      </c>
      <c r="L627" s="0" t="n">
        <f aca="false">W_PH(L$2,$A627)</f>
        <v>2015</v>
      </c>
      <c r="M627" s="0" t="n">
        <f aca="false">W_PH(M$2,$A627)</f>
        <v>2015</v>
      </c>
      <c r="N627" s="0" t="n">
        <f aca="false">W_PH(N$2,$A627)</f>
        <v>2015</v>
      </c>
      <c r="O627" s="0" t="n">
        <f aca="false">W_PH(O$2,$A627)</f>
        <v>2015</v>
      </c>
      <c r="P627" s="0" t="n">
        <f aca="false">W_PH(P$2,$A627)</f>
        <v>2015</v>
      </c>
      <c r="Q627" s="0" t="n">
        <f aca="false">W_PH(Q$2,$A627)</f>
        <v>2015</v>
      </c>
      <c r="R627" s="0" t="n">
        <f aca="false">W_PH(R$2,$A627)</f>
        <v>2015</v>
      </c>
      <c r="S627" s="0" t="n">
        <f aca="false">W_PH(S$2,$A627)</f>
        <v>2015</v>
      </c>
      <c r="T627" s="0" t="n">
        <f aca="false">W_PH(T$2,$A627)</f>
        <v>2015</v>
      </c>
      <c r="U627" s="0" t="n">
        <f aca="false">W_PH(U$2,$A627)</f>
        <v>2015</v>
      </c>
      <c r="V627" s="0" t="n">
        <f aca="false">W_PH(V$2,$A627)</f>
        <v>2015</v>
      </c>
      <c r="W627" s="0" t="n">
        <f aca="false">W_PH(W$2,$A627)</f>
        <v>2015</v>
      </c>
      <c r="X627" s="0" t="n">
        <f aca="false">W_PH(X$2,$A627)</f>
        <v>2015</v>
      </c>
      <c r="Y627" s="0" t="n">
        <f aca="false">W_PH(Y$2,$A627)</f>
        <v>2015</v>
      </c>
      <c r="Z627" s="0" t="n">
        <f aca="false">W_PH(Z$2,$A627)</f>
        <v>2015</v>
      </c>
      <c r="AA627" s="0" t="n">
        <f aca="false">W_PH(AA$2,$A627)</f>
        <v>2015</v>
      </c>
      <c r="AB627" s="0" t="n">
        <f aca="false">W_PH(AB$2,$A627)</f>
        <v>2015</v>
      </c>
      <c r="AC627" s="0" t="n">
        <f aca="false">W_PH(AC$2,$A627)</f>
        <v>2015</v>
      </c>
      <c r="AD627" s="0" t="n">
        <f aca="false">W_PH(AD$2,$A627)</f>
        <v>2015</v>
      </c>
      <c r="AE627" s="0" t="n">
        <f aca="false">W_PH(AE$2,$A627)</f>
        <v>2015</v>
      </c>
      <c r="AF627" s="0" t="n">
        <f aca="false">W_PH(AF$2,$A627)</f>
        <v>2015</v>
      </c>
      <c r="AG627" s="0" t="n">
        <f aca="false">W_PH(AG$2,$A627)</f>
        <v>2015</v>
      </c>
      <c r="AH627" s="0" t="n">
        <f aca="false">W_PH(AH$2,$A627)</f>
        <v>2015</v>
      </c>
      <c r="AI627" s="0" t="n">
        <f aca="false">W_PH(AI$2,$A627)</f>
        <v>2015</v>
      </c>
      <c r="AJ627" s="0" t="n">
        <f aca="false">W_PH(AJ$2,$A627)</f>
        <v>2015</v>
      </c>
      <c r="AK627" s="0" t="n">
        <f aca="false">W_PH(AK$2,$A627)</f>
        <v>2015</v>
      </c>
      <c r="AL627" s="0" t="n">
        <f aca="false">W_PH(AL$2,$A627)</f>
        <v>2015</v>
      </c>
      <c r="AM627" s="0" t="n">
        <f aca="false">W_PH(AM$2,$A627)</f>
        <v>2015</v>
      </c>
      <c r="AN627" s="0" t="n">
        <f aca="false">W_PH(AN$2,$A627)</f>
        <v>2015</v>
      </c>
      <c r="AO627" s="0" t="n">
        <f aca="false">W_PH(AO$2,$A627)</f>
        <v>2015</v>
      </c>
      <c r="AP627" s="0" t="n">
        <f aca="false">W_PH(AP$2,$A627)</f>
        <v>2015</v>
      </c>
      <c r="AQ627" s="0" t="n">
        <f aca="false">W_PH(AQ$2,$A627)</f>
        <v>2015</v>
      </c>
      <c r="AR627" s="0" t="n">
        <f aca="false">W_PH(AR$2,$A627)</f>
        <v>2015</v>
      </c>
      <c r="AS627" s="0" t="n">
        <f aca="false">W_PH(AS$2,$A627)</f>
        <v>2015</v>
      </c>
    </row>
    <row r="628" customFormat="false" ht="13.8" hidden="false" customHeight="false" outlineLevel="0" collapsed="false">
      <c r="A628" s="0" t="n">
        <v>7880</v>
      </c>
      <c r="B628" s="0" t="n">
        <f aca="false">W_PH(B$2,$A628)</f>
        <v>2015</v>
      </c>
      <c r="C628" s="0" t="n">
        <f aca="false">W_PH(C$2,$A628)</f>
        <v>2015</v>
      </c>
      <c r="D628" s="0" t="n">
        <f aca="false">W_PH(D$2,$A628)</f>
        <v>2015</v>
      </c>
      <c r="E628" s="0" t="n">
        <f aca="false">W_PH(E$2,$A628)</f>
        <v>2015</v>
      </c>
      <c r="F628" s="0" t="n">
        <f aca="false">W_PH(F$2,$A628)</f>
        <v>2015</v>
      </c>
      <c r="G628" s="0" t="n">
        <f aca="false">W_PH(G$2,$A628)</f>
        <v>2015</v>
      </c>
      <c r="H628" s="0" t="n">
        <f aca="false">W_PH(H$2,$A628)</f>
        <v>2015</v>
      </c>
      <c r="I628" s="0" t="n">
        <f aca="false">W_PH(I$2,$A628)</f>
        <v>2015</v>
      </c>
      <c r="J628" s="0" t="n">
        <f aca="false">W_PH(J$2,$A628)</f>
        <v>2015</v>
      </c>
      <c r="K628" s="0" t="n">
        <f aca="false">W_PH(K$2,$A628)</f>
        <v>2015</v>
      </c>
      <c r="L628" s="0" t="n">
        <f aca="false">W_PH(L$2,$A628)</f>
        <v>2015</v>
      </c>
      <c r="M628" s="0" t="n">
        <f aca="false">W_PH(M$2,$A628)</f>
        <v>2015</v>
      </c>
      <c r="N628" s="0" t="n">
        <f aca="false">W_PH(N$2,$A628)</f>
        <v>2015</v>
      </c>
      <c r="O628" s="0" t="n">
        <f aca="false">W_PH(O$2,$A628)</f>
        <v>2015</v>
      </c>
      <c r="P628" s="0" t="n">
        <f aca="false">W_PH(P$2,$A628)</f>
        <v>2015</v>
      </c>
      <c r="Q628" s="0" t="n">
        <f aca="false">W_PH(Q$2,$A628)</f>
        <v>2015</v>
      </c>
      <c r="R628" s="0" t="n">
        <f aca="false">W_PH(R$2,$A628)</f>
        <v>2015</v>
      </c>
      <c r="S628" s="0" t="n">
        <f aca="false">W_PH(S$2,$A628)</f>
        <v>2015</v>
      </c>
      <c r="T628" s="0" t="n">
        <f aca="false">W_PH(T$2,$A628)</f>
        <v>2015</v>
      </c>
      <c r="U628" s="0" t="n">
        <f aca="false">W_PH(U$2,$A628)</f>
        <v>2015</v>
      </c>
      <c r="V628" s="0" t="n">
        <f aca="false">W_PH(V$2,$A628)</f>
        <v>2015</v>
      </c>
      <c r="W628" s="0" t="n">
        <f aca="false">W_PH(W$2,$A628)</f>
        <v>2015</v>
      </c>
      <c r="X628" s="0" t="n">
        <f aca="false">W_PH(X$2,$A628)</f>
        <v>2015</v>
      </c>
      <c r="Y628" s="0" t="n">
        <f aca="false">W_PH(Y$2,$A628)</f>
        <v>2015</v>
      </c>
      <c r="Z628" s="0" t="n">
        <f aca="false">W_PH(Z$2,$A628)</f>
        <v>2015</v>
      </c>
      <c r="AA628" s="0" t="n">
        <f aca="false">W_PH(AA$2,$A628)</f>
        <v>2015</v>
      </c>
      <c r="AB628" s="0" t="n">
        <f aca="false">W_PH(AB$2,$A628)</f>
        <v>2015</v>
      </c>
      <c r="AC628" s="0" t="n">
        <f aca="false">W_PH(AC$2,$A628)</f>
        <v>2015</v>
      </c>
      <c r="AD628" s="0" t="n">
        <f aca="false">W_PH(AD$2,$A628)</f>
        <v>2015</v>
      </c>
      <c r="AE628" s="0" t="n">
        <f aca="false">W_PH(AE$2,$A628)</f>
        <v>2015</v>
      </c>
      <c r="AF628" s="0" t="n">
        <f aca="false">W_PH(AF$2,$A628)</f>
        <v>2015</v>
      </c>
      <c r="AG628" s="0" t="n">
        <f aca="false">W_PH(AG$2,$A628)</f>
        <v>2015</v>
      </c>
      <c r="AH628" s="0" t="n">
        <f aca="false">W_PH(AH$2,$A628)</f>
        <v>2015</v>
      </c>
      <c r="AI628" s="0" t="n">
        <f aca="false">W_PH(AI$2,$A628)</f>
        <v>2015</v>
      </c>
      <c r="AJ628" s="0" t="n">
        <f aca="false">W_PH(AJ$2,$A628)</f>
        <v>2015</v>
      </c>
      <c r="AK628" s="0" t="n">
        <f aca="false">W_PH(AK$2,$A628)</f>
        <v>2015</v>
      </c>
      <c r="AL628" s="0" t="n">
        <f aca="false">W_PH(AL$2,$A628)</f>
        <v>2015</v>
      </c>
      <c r="AM628" s="0" t="n">
        <f aca="false">W_PH(AM$2,$A628)</f>
        <v>2015</v>
      </c>
      <c r="AN628" s="0" t="n">
        <f aca="false">W_PH(AN$2,$A628)</f>
        <v>2015</v>
      </c>
      <c r="AO628" s="0" t="n">
        <f aca="false">W_PH(AO$2,$A628)</f>
        <v>2015</v>
      </c>
      <c r="AP628" s="0" t="n">
        <f aca="false">W_PH(AP$2,$A628)</f>
        <v>2015</v>
      </c>
      <c r="AQ628" s="0" t="n">
        <f aca="false">W_PH(AQ$2,$A628)</f>
        <v>2015</v>
      </c>
      <c r="AR628" s="0" t="n">
        <f aca="false">W_PH(AR$2,$A628)</f>
        <v>2015</v>
      </c>
      <c r="AS628" s="0" t="n">
        <f aca="false">W_PH(AS$2,$A628)</f>
        <v>2015</v>
      </c>
    </row>
    <row r="629" customFormat="false" ht="13.8" hidden="false" customHeight="false" outlineLevel="0" collapsed="false">
      <c r="A629" s="0" t="n">
        <v>7890</v>
      </c>
      <c r="B629" s="0" t="n">
        <f aca="false">W_PH(B$2,$A629)</f>
        <v>2015</v>
      </c>
      <c r="C629" s="0" t="n">
        <f aca="false">W_PH(C$2,$A629)</f>
        <v>2015</v>
      </c>
      <c r="D629" s="0" t="n">
        <f aca="false">W_PH(D$2,$A629)</f>
        <v>2015</v>
      </c>
      <c r="E629" s="0" t="n">
        <f aca="false">W_PH(E$2,$A629)</f>
        <v>2015</v>
      </c>
      <c r="F629" s="0" t="n">
        <f aca="false">W_PH(F$2,$A629)</f>
        <v>2015</v>
      </c>
      <c r="G629" s="0" t="n">
        <f aca="false">W_PH(G$2,$A629)</f>
        <v>2015</v>
      </c>
      <c r="H629" s="0" t="n">
        <f aca="false">W_PH(H$2,$A629)</f>
        <v>2015</v>
      </c>
      <c r="I629" s="0" t="n">
        <f aca="false">W_PH(I$2,$A629)</f>
        <v>2015</v>
      </c>
      <c r="J629" s="0" t="n">
        <f aca="false">W_PH(J$2,$A629)</f>
        <v>2015</v>
      </c>
      <c r="K629" s="0" t="n">
        <f aca="false">W_PH(K$2,$A629)</f>
        <v>2015</v>
      </c>
      <c r="L629" s="0" t="n">
        <f aca="false">W_PH(L$2,$A629)</f>
        <v>2015</v>
      </c>
      <c r="M629" s="0" t="n">
        <f aca="false">W_PH(M$2,$A629)</f>
        <v>2015</v>
      </c>
      <c r="N629" s="0" t="n">
        <f aca="false">W_PH(N$2,$A629)</f>
        <v>2015</v>
      </c>
      <c r="O629" s="0" t="n">
        <f aca="false">W_PH(O$2,$A629)</f>
        <v>2015</v>
      </c>
      <c r="P629" s="0" t="n">
        <f aca="false">W_PH(P$2,$A629)</f>
        <v>2015</v>
      </c>
      <c r="Q629" s="0" t="n">
        <f aca="false">W_PH(Q$2,$A629)</f>
        <v>2015</v>
      </c>
      <c r="R629" s="0" t="n">
        <f aca="false">W_PH(R$2,$A629)</f>
        <v>2015</v>
      </c>
      <c r="S629" s="0" t="n">
        <f aca="false">W_PH(S$2,$A629)</f>
        <v>2015</v>
      </c>
      <c r="T629" s="0" t="n">
        <f aca="false">W_PH(T$2,$A629)</f>
        <v>2015</v>
      </c>
      <c r="U629" s="0" t="n">
        <f aca="false">W_PH(U$2,$A629)</f>
        <v>2015</v>
      </c>
      <c r="V629" s="0" t="n">
        <f aca="false">W_PH(V$2,$A629)</f>
        <v>2015</v>
      </c>
      <c r="W629" s="0" t="n">
        <f aca="false">W_PH(W$2,$A629)</f>
        <v>2015</v>
      </c>
      <c r="X629" s="0" t="n">
        <f aca="false">W_PH(X$2,$A629)</f>
        <v>2015</v>
      </c>
      <c r="Y629" s="0" t="n">
        <f aca="false">W_PH(Y$2,$A629)</f>
        <v>2015</v>
      </c>
      <c r="Z629" s="0" t="n">
        <f aca="false">W_PH(Z$2,$A629)</f>
        <v>2015</v>
      </c>
      <c r="AA629" s="0" t="n">
        <f aca="false">W_PH(AA$2,$A629)</f>
        <v>2015</v>
      </c>
      <c r="AB629" s="0" t="n">
        <f aca="false">W_PH(AB$2,$A629)</f>
        <v>2015</v>
      </c>
      <c r="AC629" s="0" t="n">
        <f aca="false">W_PH(AC$2,$A629)</f>
        <v>2015</v>
      </c>
      <c r="AD629" s="0" t="n">
        <f aca="false">W_PH(AD$2,$A629)</f>
        <v>2015</v>
      </c>
      <c r="AE629" s="0" t="n">
        <f aca="false">W_PH(AE$2,$A629)</f>
        <v>2015</v>
      </c>
      <c r="AF629" s="0" t="n">
        <f aca="false">W_PH(AF$2,$A629)</f>
        <v>2015</v>
      </c>
      <c r="AG629" s="0" t="n">
        <f aca="false">W_PH(AG$2,$A629)</f>
        <v>2015</v>
      </c>
      <c r="AH629" s="0" t="n">
        <f aca="false">W_PH(AH$2,$A629)</f>
        <v>2015</v>
      </c>
      <c r="AI629" s="0" t="n">
        <f aca="false">W_PH(AI$2,$A629)</f>
        <v>2015</v>
      </c>
      <c r="AJ629" s="0" t="n">
        <f aca="false">W_PH(AJ$2,$A629)</f>
        <v>2015</v>
      </c>
      <c r="AK629" s="0" t="n">
        <f aca="false">W_PH(AK$2,$A629)</f>
        <v>2015</v>
      </c>
      <c r="AL629" s="0" t="n">
        <f aca="false">W_PH(AL$2,$A629)</f>
        <v>2015</v>
      </c>
      <c r="AM629" s="0" t="n">
        <f aca="false">W_PH(AM$2,$A629)</f>
        <v>2015</v>
      </c>
      <c r="AN629" s="0" t="n">
        <f aca="false">W_PH(AN$2,$A629)</f>
        <v>2015</v>
      </c>
      <c r="AO629" s="0" t="n">
        <f aca="false">W_PH(AO$2,$A629)</f>
        <v>2015</v>
      </c>
      <c r="AP629" s="0" t="n">
        <f aca="false">W_PH(AP$2,$A629)</f>
        <v>2015</v>
      </c>
      <c r="AQ629" s="0" t="n">
        <f aca="false">W_PH(AQ$2,$A629)</f>
        <v>2015</v>
      </c>
      <c r="AR629" s="0" t="n">
        <f aca="false">W_PH(AR$2,$A629)</f>
        <v>2015</v>
      </c>
      <c r="AS629" s="0" t="n">
        <f aca="false">W_PH(AS$2,$A629)</f>
        <v>2015</v>
      </c>
    </row>
    <row r="630" customFormat="false" ht="13.8" hidden="false" customHeight="false" outlineLevel="0" collapsed="false">
      <c r="A630" s="0" t="n">
        <v>7900</v>
      </c>
      <c r="B630" s="0" t="n">
        <f aca="false">W_PH(B$2,$A630)</f>
        <v>2015</v>
      </c>
      <c r="C630" s="0" t="n">
        <f aca="false">W_PH(C$2,$A630)</f>
        <v>2015</v>
      </c>
      <c r="D630" s="0" t="n">
        <f aca="false">W_PH(D$2,$A630)</f>
        <v>2015</v>
      </c>
      <c r="E630" s="0" t="n">
        <f aca="false">W_PH(E$2,$A630)</f>
        <v>2015</v>
      </c>
      <c r="F630" s="0" t="n">
        <f aca="false">W_PH(F$2,$A630)</f>
        <v>2015</v>
      </c>
      <c r="G630" s="0" t="n">
        <f aca="false">W_PH(G$2,$A630)</f>
        <v>2015</v>
      </c>
      <c r="H630" s="0" t="n">
        <f aca="false">W_PH(H$2,$A630)</f>
        <v>2015</v>
      </c>
      <c r="I630" s="0" t="n">
        <f aca="false">W_PH(I$2,$A630)</f>
        <v>2015</v>
      </c>
      <c r="J630" s="0" t="n">
        <f aca="false">W_PH(J$2,$A630)</f>
        <v>2015</v>
      </c>
      <c r="K630" s="0" t="n">
        <f aca="false">W_PH(K$2,$A630)</f>
        <v>2015</v>
      </c>
      <c r="L630" s="0" t="n">
        <f aca="false">W_PH(L$2,$A630)</f>
        <v>2015</v>
      </c>
      <c r="M630" s="0" t="n">
        <f aca="false">W_PH(M$2,$A630)</f>
        <v>2015</v>
      </c>
      <c r="N630" s="0" t="n">
        <f aca="false">W_PH(N$2,$A630)</f>
        <v>2015</v>
      </c>
      <c r="O630" s="0" t="n">
        <f aca="false">W_PH(O$2,$A630)</f>
        <v>2015</v>
      </c>
      <c r="P630" s="0" t="n">
        <f aca="false">W_PH(P$2,$A630)</f>
        <v>2015</v>
      </c>
      <c r="Q630" s="0" t="n">
        <f aca="false">W_PH(Q$2,$A630)</f>
        <v>2015</v>
      </c>
      <c r="R630" s="0" t="n">
        <f aca="false">W_PH(R$2,$A630)</f>
        <v>2015</v>
      </c>
      <c r="S630" s="0" t="n">
        <f aca="false">W_PH(S$2,$A630)</f>
        <v>2015</v>
      </c>
      <c r="T630" s="0" t="n">
        <f aca="false">W_PH(T$2,$A630)</f>
        <v>2015</v>
      </c>
      <c r="U630" s="0" t="n">
        <f aca="false">W_PH(U$2,$A630)</f>
        <v>2015</v>
      </c>
      <c r="V630" s="0" t="n">
        <f aca="false">W_PH(V$2,$A630)</f>
        <v>2015</v>
      </c>
      <c r="W630" s="0" t="n">
        <f aca="false">W_PH(W$2,$A630)</f>
        <v>2015</v>
      </c>
      <c r="X630" s="0" t="n">
        <f aca="false">W_PH(X$2,$A630)</f>
        <v>2015</v>
      </c>
      <c r="Y630" s="0" t="n">
        <f aca="false">W_PH(Y$2,$A630)</f>
        <v>2015</v>
      </c>
      <c r="Z630" s="0" t="n">
        <f aca="false">W_PH(Z$2,$A630)</f>
        <v>2015</v>
      </c>
      <c r="AA630" s="0" t="n">
        <f aca="false">W_PH(AA$2,$A630)</f>
        <v>2015</v>
      </c>
      <c r="AB630" s="0" t="n">
        <f aca="false">W_PH(AB$2,$A630)</f>
        <v>2015</v>
      </c>
      <c r="AC630" s="0" t="n">
        <f aca="false">W_PH(AC$2,$A630)</f>
        <v>2015</v>
      </c>
      <c r="AD630" s="0" t="n">
        <f aca="false">W_PH(AD$2,$A630)</f>
        <v>2015</v>
      </c>
      <c r="AE630" s="0" t="n">
        <f aca="false">W_PH(AE$2,$A630)</f>
        <v>2015</v>
      </c>
      <c r="AF630" s="0" t="n">
        <f aca="false">W_PH(AF$2,$A630)</f>
        <v>2015</v>
      </c>
      <c r="AG630" s="0" t="n">
        <f aca="false">W_PH(AG$2,$A630)</f>
        <v>2015</v>
      </c>
      <c r="AH630" s="0" t="n">
        <f aca="false">W_PH(AH$2,$A630)</f>
        <v>2015</v>
      </c>
      <c r="AI630" s="0" t="n">
        <f aca="false">W_PH(AI$2,$A630)</f>
        <v>2015</v>
      </c>
      <c r="AJ630" s="0" t="n">
        <f aca="false">W_PH(AJ$2,$A630)</f>
        <v>2015</v>
      </c>
      <c r="AK630" s="0" t="n">
        <f aca="false">W_PH(AK$2,$A630)</f>
        <v>2015</v>
      </c>
      <c r="AL630" s="0" t="n">
        <f aca="false">W_PH(AL$2,$A630)</f>
        <v>2015</v>
      </c>
      <c r="AM630" s="0" t="n">
        <f aca="false">W_PH(AM$2,$A630)</f>
        <v>2015</v>
      </c>
      <c r="AN630" s="0" t="n">
        <f aca="false">W_PH(AN$2,$A630)</f>
        <v>2015</v>
      </c>
      <c r="AO630" s="0" t="n">
        <f aca="false">W_PH(AO$2,$A630)</f>
        <v>2015</v>
      </c>
      <c r="AP630" s="0" t="n">
        <f aca="false">W_PH(AP$2,$A630)</f>
        <v>2015</v>
      </c>
      <c r="AQ630" s="0" t="n">
        <f aca="false">W_PH(AQ$2,$A630)</f>
        <v>2015</v>
      </c>
      <c r="AR630" s="0" t="n">
        <f aca="false">W_PH(AR$2,$A630)</f>
        <v>2015</v>
      </c>
      <c r="AS630" s="0" t="n">
        <f aca="false">W_PH(AS$2,$A630)</f>
        <v>2015</v>
      </c>
    </row>
    <row r="631" customFormat="false" ht="13.8" hidden="false" customHeight="false" outlineLevel="0" collapsed="false">
      <c r="A631" s="0" t="n">
        <v>7910</v>
      </c>
      <c r="B631" s="0" t="n">
        <f aca="false">W_PH(B$2,$A631)</f>
        <v>2015</v>
      </c>
      <c r="C631" s="0" t="n">
        <f aca="false">W_PH(C$2,$A631)</f>
        <v>2015</v>
      </c>
      <c r="D631" s="0" t="n">
        <f aca="false">W_PH(D$2,$A631)</f>
        <v>2015</v>
      </c>
      <c r="E631" s="0" t="n">
        <f aca="false">W_PH(E$2,$A631)</f>
        <v>2015</v>
      </c>
      <c r="F631" s="0" t="n">
        <f aca="false">W_PH(F$2,$A631)</f>
        <v>2015</v>
      </c>
      <c r="G631" s="0" t="n">
        <f aca="false">W_PH(G$2,$A631)</f>
        <v>2015</v>
      </c>
      <c r="H631" s="0" t="n">
        <f aca="false">W_PH(H$2,$A631)</f>
        <v>2015</v>
      </c>
      <c r="I631" s="0" t="n">
        <f aca="false">W_PH(I$2,$A631)</f>
        <v>2015</v>
      </c>
      <c r="J631" s="0" t="n">
        <f aca="false">W_PH(J$2,$A631)</f>
        <v>2015</v>
      </c>
      <c r="K631" s="0" t="n">
        <f aca="false">W_PH(K$2,$A631)</f>
        <v>2015</v>
      </c>
      <c r="L631" s="0" t="n">
        <f aca="false">W_PH(L$2,$A631)</f>
        <v>2015</v>
      </c>
      <c r="M631" s="0" t="n">
        <f aca="false">W_PH(M$2,$A631)</f>
        <v>2015</v>
      </c>
      <c r="N631" s="0" t="n">
        <f aca="false">W_PH(N$2,$A631)</f>
        <v>2015</v>
      </c>
      <c r="O631" s="0" t="n">
        <f aca="false">W_PH(O$2,$A631)</f>
        <v>2015</v>
      </c>
      <c r="P631" s="0" t="n">
        <f aca="false">W_PH(P$2,$A631)</f>
        <v>2015</v>
      </c>
      <c r="Q631" s="0" t="n">
        <f aca="false">W_PH(Q$2,$A631)</f>
        <v>2015</v>
      </c>
      <c r="R631" s="0" t="n">
        <f aca="false">W_PH(R$2,$A631)</f>
        <v>2015</v>
      </c>
      <c r="S631" s="0" t="n">
        <f aca="false">W_PH(S$2,$A631)</f>
        <v>2015</v>
      </c>
      <c r="T631" s="0" t="n">
        <f aca="false">W_PH(T$2,$A631)</f>
        <v>2015</v>
      </c>
      <c r="U631" s="0" t="n">
        <f aca="false">W_PH(U$2,$A631)</f>
        <v>2015</v>
      </c>
      <c r="V631" s="0" t="n">
        <f aca="false">W_PH(V$2,$A631)</f>
        <v>2015</v>
      </c>
      <c r="W631" s="0" t="n">
        <f aca="false">W_PH(W$2,$A631)</f>
        <v>2015</v>
      </c>
      <c r="X631" s="0" t="n">
        <f aca="false">W_PH(X$2,$A631)</f>
        <v>2015</v>
      </c>
      <c r="Y631" s="0" t="n">
        <f aca="false">W_PH(Y$2,$A631)</f>
        <v>2015</v>
      </c>
      <c r="Z631" s="0" t="n">
        <f aca="false">W_PH(Z$2,$A631)</f>
        <v>2015</v>
      </c>
      <c r="AA631" s="0" t="n">
        <f aca="false">W_PH(AA$2,$A631)</f>
        <v>2015</v>
      </c>
      <c r="AB631" s="0" t="n">
        <f aca="false">W_PH(AB$2,$A631)</f>
        <v>2015</v>
      </c>
      <c r="AC631" s="0" t="n">
        <f aca="false">W_PH(AC$2,$A631)</f>
        <v>2015</v>
      </c>
      <c r="AD631" s="0" t="n">
        <f aca="false">W_PH(AD$2,$A631)</f>
        <v>2015</v>
      </c>
      <c r="AE631" s="0" t="n">
        <f aca="false">W_PH(AE$2,$A631)</f>
        <v>2015</v>
      </c>
      <c r="AF631" s="0" t="n">
        <f aca="false">W_PH(AF$2,$A631)</f>
        <v>2015</v>
      </c>
      <c r="AG631" s="0" t="n">
        <f aca="false">W_PH(AG$2,$A631)</f>
        <v>2015</v>
      </c>
      <c r="AH631" s="0" t="n">
        <f aca="false">W_PH(AH$2,$A631)</f>
        <v>2015</v>
      </c>
      <c r="AI631" s="0" t="n">
        <f aca="false">W_PH(AI$2,$A631)</f>
        <v>2015</v>
      </c>
      <c r="AJ631" s="0" t="n">
        <f aca="false">W_PH(AJ$2,$A631)</f>
        <v>2015</v>
      </c>
      <c r="AK631" s="0" t="n">
        <f aca="false">W_PH(AK$2,$A631)</f>
        <v>2015</v>
      </c>
      <c r="AL631" s="0" t="n">
        <f aca="false">W_PH(AL$2,$A631)</f>
        <v>2015</v>
      </c>
      <c r="AM631" s="0" t="n">
        <f aca="false">W_PH(AM$2,$A631)</f>
        <v>2015</v>
      </c>
      <c r="AN631" s="0" t="n">
        <f aca="false">W_PH(AN$2,$A631)</f>
        <v>2015</v>
      </c>
      <c r="AO631" s="0" t="n">
        <f aca="false">W_PH(AO$2,$A631)</f>
        <v>2015</v>
      </c>
      <c r="AP631" s="0" t="n">
        <f aca="false">W_PH(AP$2,$A631)</f>
        <v>2015</v>
      </c>
      <c r="AQ631" s="0" t="n">
        <f aca="false">W_PH(AQ$2,$A631)</f>
        <v>2015</v>
      </c>
      <c r="AR631" s="0" t="n">
        <f aca="false">W_PH(AR$2,$A631)</f>
        <v>2015</v>
      </c>
      <c r="AS631" s="0" t="n">
        <f aca="false">W_PH(AS$2,$A631)</f>
        <v>2015</v>
      </c>
    </row>
    <row r="632" customFormat="false" ht="13.8" hidden="false" customHeight="false" outlineLevel="0" collapsed="false">
      <c r="A632" s="0" t="n">
        <v>7920</v>
      </c>
      <c r="B632" s="0" t="n">
        <f aca="false">W_PH(B$2,$A632)</f>
        <v>2015</v>
      </c>
      <c r="C632" s="0" t="n">
        <f aca="false">W_PH(C$2,$A632)</f>
        <v>2015</v>
      </c>
      <c r="D632" s="0" t="n">
        <f aca="false">W_PH(D$2,$A632)</f>
        <v>2015</v>
      </c>
      <c r="E632" s="0" t="n">
        <f aca="false">W_PH(E$2,$A632)</f>
        <v>2015</v>
      </c>
      <c r="F632" s="0" t="n">
        <f aca="false">W_PH(F$2,$A632)</f>
        <v>2015</v>
      </c>
      <c r="G632" s="0" t="n">
        <f aca="false">W_PH(G$2,$A632)</f>
        <v>2015</v>
      </c>
      <c r="H632" s="0" t="n">
        <f aca="false">W_PH(H$2,$A632)</f>
        <v>2015</v>
      </c>
      <c r="I632" s="0" t="n">
        <f aca="false">W_PH(I$2,$A632)</f>
        <v>2015</v>
      </c>
      <c r="J632" s="0" t="n">
        <f aca="false">W_PH(J$2,$A632)</f>
        <v>2015</v>
      </c>
      <c r="K632" s="0" t="n">
        <f aca="false">W_PH(K$2,$A632)</f>
        <v>2015</v>
      </c>
      <c r="L632" s="0" t="n">
        <f aca="false">W_PH(L$2,$A632)</f>
        <v>2015</v>
      </c>
      <c r="M632" s="0" t="n">
        <f aca="false">W_PH(M$2,$A632)</f>
        <v>2015</v>
      </c>
      <c r="N632" s="0" t="n">
        <f aca="false">W_PH(N$2,$A632)</f>
        <v>2015</v>
      </c>
      <c r="O632" s="0" t="n">
        <f aca="false">W_PH(O$2,$A632)</f>
        <v>2015</v>
      </c>
      <c r="P632" s="0" t="n">
        <f aca="false">W_PH(P$2,$A632)</f>
        <v>2015</v>
      </c>
      <c r="Q632" s="0" t="n">
        <f aca="false">W_PH(Q$2,$A632)</f>
        <v>2015</v>
      </c>
      <c r="R632" s="0" t="n">
        <f aca="false">W_PH(R$2,$A632)</f>
        <v>2015</v>
      </c>
      <c r="S632" s="0" t="n">
        <f aca="false">W_PH(S$2,$A632)</f>
        <v>2015</v>
      </c>
      <c r="T632" s="0" t="n">
        <f aca="false">W_PH(T$2,$A632)</f>
        <v>2015</v>
      </c>
      <c r="U632" s="0" t="n">
        <f aca="false">W_PH(U$2,$A632)</f>
        <v>2015</v>
      </c>
      <c r="V632" s="0" t="n">
        <f aca="false">W_PH(V$2,$A632)</f>
        <v>2015</v>
      </c>
      <c r="W632" s="0" t="n">
        <f aca="false">W_PH(W$2,$A632)</f>
        <v>2015</v>
      </c>
      <c r="X632" s="0" t="n">
        <f aca="false">W_PH(X$2,$A632)</f>
        <v>2015</v>
      </c>
      <c r="Y632" s="0" t="n">
        <f aca="false">W_PH(Y$2,$A632)</f>
        <v>2015</v>
      </c>
      <c r="Z632" s="0" t="n">
        <f aca="false">W_PH(Z$2,$A632)</f>
        <v>2015</v>
      </c>
      <c r="AA632" s="0" t="n">
        <f aca="false">W_PH(AA$2,$A632)</f>
        <v>2015</v>
      </c>
      <c r="AB632" s="0" t="n">
        <f aca="false">W_PH(AB$2,$A632)</f>
        <v>2015</v>
      </c>
      <c r="AC632" s="0" t="n">
        <f aca="false">W_PH(AC$2,$A632)</f>
        <v>2015</v>
      </c>
      <c r="AD632" s="0" t="n">
        <f aca="false">W_PH(AD$2,$A632)</f>
        <v>2015</v>
      </c>
      <c r="AE632" s="0" t="n">
        <f aca="false">W_PH(AE$2,$A632)</f>
        <v>2015</v>
      </c>
      <c r="AF632" s="0" t="n">
        <f aca="false">W_PH(AF$2,$A632)</f>
        <v>2015</v>
      </c>
      <c r="AG632" s="0" t="n">
        <f aca="false">W_PH(AG$2,$A632)</f>
        <v>2015</v>
      </c>
      <c r="AH632" s="0" t="n">
        <f aca="false">W_PH(AH$2,$A632)</f>
        <v>2015</v>
      </c>
      <c r="AI632" s="0" t="n">
        <f aca="false">W_PH(AI$2,$A632)</f>
        <v>2015</v>
      </c>
      <c r="AJ632" s="0" t="n">
        <f aca="false">W_PH(AJ$2,$A632)</f>
        <v>2015</v>
      </c>
      <c r="AK632" s="0" t="n">
        <f aca="false">W_PH(AK$2,$A632)</f>
        <v>2015</v>
      </c>
      <c r="AL632" s="0" t="n">
        <f aca="false">W_PH(AL$2,$A632)</f>
        <v>2015</v>
      </c>
      <c r="AM632" s="0" t="n">
        <f aca="false">W_PH(AM$2,$A632)</f>
        <v>2015</v>
      </c>
      <c r="AN632" s="0" t="n">
        <f aca="false">W_PH(AN$2,$A632)</f>
        <v>2015</v>
      </c>
      <c r="AO632" s="0" t="n">
        <f aca="false">W_PH(AO$2,$A632)</f>
        <v>2015</v>
      </c>
      <c r="AP632" s="0" t="n">
        <f aca="false">W_PH(AP$2,$A632)</f>
        <v>2015</v>
      </c>
      <c r="AQ632" s="0" t="n">
        <f aca="false">W_PH(AQ$2,$A632)</f>
        <v>2015</v>
      </c>
      <c r="AR632" s="0" t="n">
        <f aca="false">W_PH(AR$2,$A632)</f>
        <v>2015</v>
      </c>
      <c r="AS632" s="0" t="n">
        <f aca="false">W_PH(AS$2,$A632)</f>
        <v>2015</v>
      </c>
    </row>
    <row r="633" customFormat="false" ht="13.8" hidden="false" customHeight="false" outlineLevel="0" collapsed="false">
      <c r="A633" s="0" t="n">
        <v>7930</v>
      </c>
      <c r="B633" s="0" t="n">
        <f aca="false">W_PH(B$2,$A633)</f>
        <v>2015</v>
      </c>
      <c r="C633" s="0" t="n">
        <f aca="false">W_PH(C$2,$A633)</f>
        <v>2015</v>
      </c>
      <c r="D633" s="0" t="n">
        <f aca="false">W_PH(D$2,$A633)</f>
        <v>2015</v>
      </c>
      <c r="E633" s="0" t="n">
        <f aca="false">W_PH(E$2,$A633)</f>
        <v>2015</v>
      </c>
      <c r="F633" s="0" t="n">
        <f aca="false">W_PH(F$2,$A633)</f>
        <v>2015</v>
      </c>
      <c r="G633" s="0" t="n">
        <f aca="false">W_PH(G$2,$A633)</f>
        <v>2015</v>
      </c>
      <c r="H633" s="0" t="n">
        <f aca="false">W_PH(H$2,$A633)</f>
        <v>2015</v>
      </c>
      <c r="I633" s="0" t="n">
        <f aca="false">W_PH(I$2,$A633)</f>
        <v>2015</v>
      </c>
      <c r="J633" s="0" t="n">
        <f aca="false">W_PH(J$2,$A633)</f>
        <v>2015</v>
      </c>
      <c r="K633" s="0" t="n">
        <f aca="false">W_PH(K$2,$A633)</f>
        <v>2015</v>
      </c>
      <c r="L633" s="0" t="n">
        <f aca="false">W_PH(L$2,$A633)</f>
        <v>2015</v>
      </c>
      <c r="M633" s="0" t="n">
        <f aca="false">W_PH(M$2,$A633)</f>
        <v>2015</v>
      </c>
      <c r="N633" s="0" t="n">
        <f aca="false">W_PH(N$2,$A633)</f>
        <v>2015</v>
      </c>
      <c r="O633" s="0" t="n">
        <f aca="false">W_PH(O$2,$A633)</f>
        <v>2015</v>
      </c>
      <c r="P633" s="0" t="n">
        <f aca="false">W_PH(P$2,$A633)</f>
        <v>2015</v>
      </c>
      <c r="Q633" s="0" t="n">
        <f aca="false">W_PH(Q$2,$A633)</f>
        <v>2015</v>
      </c>
      <c r="R633" s="0" t="n">
        <f aca="false">W_PH(R$2,$A633)</f>
        <v>2015</v>
      </c>
      <c r="S633" s="0" t="n">
        <f aca="false">W_PH(S$2,$A633)</f>
        <v>2015</v>
      </c>
      <c r="T633" s="0" t="n">
        <f aca="false">W_PH(T$2,$A633)</f>
        <v>2015</v>
      </c>
      <c r="U633" s="0" t="n">
        <f aca="false">W_PH(U$2,$A633)</f>
        <v>2015</v>
      </c>
      <c r="V633" s="0" t="n">
        <f aca="false">W_PH(V$2,$A633)</f>
        <v>2015</v>
      </c>
      <c r="W633" s="0" t="n">
        <f aca="false">W_PH(W$2,$A633)</f>
        <v>2015</v>
      </c>
      <c r="X633" s="0" t="n">
        <f aca="false">W_PH(X$2,$A633)</f>
        <v>2015</v>
      </c>
      <c r="Y633" s="0" t="n">
        <f aca="false">W_PH(Y$2,$A633)</f>
        <v>2015</v>
      </c>
      <c r="Z633" s="0" t="n">
        <f aca="false">W_PH(Z$2,$A633)</f>
        <v>2015</v>
      </c>
      <c r="AA633" s="0" t="n">
        <f aca="false">W_PH(AA$2,$A633)</f>
        <v>2015</v>
      </c>
      <c r="AB633" s="0" t="n">
        <f aca="false">W_PH(AB$2,$A633)</f>
        <v>2015</v>
      </c>
      <c r="AC633" s="0" t="n">
        <f aca="false">W_PH(AC$2,$A633)</f>
        <v>2015</v>
      </c>
      <c r="AD633" s="0" t="n">
        <f aca="false">W_PH(AD$2,$A633)</f>
        <v>2015</v>
      </c>
      <c r="AE633" s="0" t="n">
        <f aca="false">W_PH(AE$2,$A633)</f>
        <v>2015</v>
      </c>
      <c r="AF633" s="0" t="n">
        <f aca="false">W_PH(AF$2,$A633)</f>
        <v>2015</v>
      </c>
      <c r="AG633" s="0" t="n">
        <f aca="false">W_PH(AG$2,$A633)</f>
        <v>2015</v>
      </c>
      <c r="AH633" s="0" t="n">
        <f aca="false">W_PH(AH$2,$A633)</f>
        <v>2015</v>
      </c>
      <c r="AI633" s="0" t="n">
        <f aca="false">W_PH(AI$2,$A633)</f>
        <v>2015</v>
      </c>
      <c r="AJ633" s="0" t="n">
        <f aca="false">W_PH(AJ$2,$A633)</f>
        <v>2015</v>
      </c>
      <c r="AK633" s="0" t="n">
        <f aca="false">W_PH(AK$2,$A633)</f>
        <v>2015</v>
      </c>
      <c r="AL633" s="0" t="n">
        <f aca="false">W_PH(AL$2,$A633)</f>
        <v>2015</v>
      </c>
      <c r="AM633" s="0" t="n">
        <f aca="false">W_PH(AM$2,$A633)</f>
        <v>2015</v>
      </c>
      <c r="AN633" s="0" t="n">
        <f aca="false">W_PH(AN$2,$A633)</f>
        <v>2015</v>
      </c>
      <c r="AO633" s="0" t="n">
        <f aca="false">W_PH(AO$2,$A633)</f>
        <v>2015</v>
      </c>
      <c r="AP633" s="0" t="n">
        <f aca="false">W_PH(AP$2,$A633)</f>
        <v>2015</v>
      </c>
      <c r="AQ633" s="0" t="n">
        <f aca="false">W_PH(AQ$2,$A633)</f>
        <v>2015</v>
      </c>
      <c r="AR633" s="0" t="n">
        <f aca="false">W_PH(AR$2,$A633)</f>
        <v>2015</v>
      </c>
      <c r="AS633" s="0" t="n">
        <f aca="false">W_PH(AS$2,$A633)</f>
        <v>2015</v>
      </c>
    </row>
    <row r="634" customFormat="false" ht="13.8" hidden="false" customHeight="false" outlineLevel="0" collapsed="false">
      <c r="A634" s="0" t="n">
        <v>7940</v>
      </c>
      <c r="B634" s="0" t="n">
        <f aca="false">W_PH(B$2,$A634)</f>
        <v>2015</v>
      </c>
      <c r="C634" s="0" t="n">
        <f aca="false">W_PH(C$2,$A634)</f>
        <v>2015</v>
      </c>
      <c r="D634" s="0" t="n">
        <f aca="false">W_PH(D$2,$A634)</f>
        <v>2015</v>
      </c>
      <c r="E634" s="0" t="n">
        <f aca="false">W_PH(E$2,$A634)</f>
        <v>2015</v>
      </c>
      <c r="F634" s="0" t="n">
        <f aca="false">W_PH(F$2,$A634)</f>
        <v>2015</v>
      </c>
      <c r="G634" s="0" t="n">
        <f aca="false">W_PH(G$2,$A634)</f>
        <v>2015</v>
      </c>
      <c r="H634" s="0" t="n">
        <f aca="false">W_PH(H$2,$A634)</f>
        <v>2015</v>
      </c>
      <c r="I634" s="0" t="n">
        <f aca="false">W_PH(I$2,$A634)</f>
        <v>2015</v>
      </c>
      <c r="J634" s="0" t="n">
        <f aca="false">W_PH(J$2,$A634)</f>
        <v>2015</v>
      </c>
      <c r="K634" s="0" t="n">
        <f aca="false">W_PH(K$2,$A634)</f>
        <v>2015</v>
      </c>
      <c r="L634" s="0" t="n">
        <f aca="false">W_PH(L$2,$A634)</f>
        <v>2015</v>
      </c>
      <c r="M634" s="0" t="n">
        <f aca="false">W_PH(M$2,$A634)</f>
        <v>2015</v>
      </c>
      <c r="N634" s="0" t="n">
        <f aca="false">W_PH(N$2,$A634)</f>
        <v>2015</v>
      </c>
      <c r="O634" s="0" t="n">
        <f aca="false">W_PH(O$2,$A634)</f>
        <v>2015</v>
      </c>
      <c r="P634" s="0" t="n">
        <f aca="false">W_PH(P$2,$A634)</f>
        <v>2015</v>
      </c>
      <c r="Q634" s="0" t="n">
        <f aca="false">W_PH(Q$2,$A634)</f>
        <v>2015</v>
      </c>
      <c r="R634" s="0" t="n">
        <f aca="false">W_PH(R$2,$A634)</f>
        <v>2015</v>
      </c>
      <c r="S634" s="0" t="n">
        <f aca="false">W_PH(S$2,$A634)</f>
        <v>2015</v>
      </c>
      <c r="T634" s="0" t="n">
        <f aca="false">W_PH(T$2,$A634)</f>
        <v>2015</v>
      </c>
      <c r="U634" s="0" t="n">
        <f aca="false">W_PH(U$2,$A634)</f>
        <v>2015</v>
      </c>
      <c r="V634" s="0" t="n">
        <f aca="false">W_PH(V$2,$A634)</f>
        <v>2015</v>
      </c>
      <c r="W634" s="0" t="n">
        <f aca="false">W_PH(W$2,$A634)</f>
        <v>2015</v>
      </c>
      <c r="X634" s="0" t="n">
        <f aca="false">W_PH(X$2,$A634)</f>
        <v>2015</v>
      </c>
      <c r="Y634" s="0" t="n">
        <f aca="false">W_PH(Y$2,$A634)</f>
        <v>2015</v>
      </c>
      <c r="Z634" s="0" t="n">
        <f aca="false">W_PH(Z$2,$A634)</f>
        <v>2015</v>
      </c>
      <c r="AA634" s="0" t="n">
        <f aca="false">W_PH(AA$2,$A634)</f>
        <v>2015</v>
      </c>
      <c r="AB634" s="0" t="n">
        <f aca="false">W_PH(AB$2,$A634)</f>
        <v>2015</v>
      </c>
      <c r="AC634" s="0" t="n">
        <f aca="false">W_PH(AC$2,$A634)</f>
        <v>2015</v>
      </c>
      <c r="AD634" s="0" t="n">
        <f aca="false">W_PH(AD$2,$A634)</f>
        <v>2015</v>
      </c>
      <c r="AE634" s="0" t="n">
        <f aca="false">W_PH(AE$2,$A634)</f>
        <v>2015</v>
      </c>
      <c r="AF634" s="0" t="n">
        <f aca="false">W_PH(AF$2,$A634)</f>
        <v>2015</v>
      </c>
      <c r="AG634" s="0" t="n">
        <f aca="false">W_PH(AG$2,$A634)</f>
        <v>2015</v>
      </c>
      <c r="AH634" s="0" t="n">
        <f aca="false">W_PH(AH$2,$A634)</f>
        <v>2015</v>
      </c>
      <c r="AI634" s="0" t="n">
        <f aca="false">W_PH(AI$2,$A634)</f>
        <v>2015</v>
      </c>
      <c r="AJ634" s="0" t="n">
        <f aca="false">W_PH(AJ$2,$A634)</f>
        <v>2015</v>
      </c>
      <c r="AK634" s="0" t="n">
        <f aca="false">W_PH(AK$2,$A634)</f>
        <v>2015</v>
      </c>
      <c r="AL634" s="0" t="n">
        <f aca="false">W_PH(AL$2,$A634)</f>
        <v>2015</v>
      </c>
      <c r="AM634" s="0" t="n">
        <f aca="false">W_PH(AM$2,$A634)</f>
        <v>2015</v>
      </c>
      <c r="AN634" s="0" t="n">
        <f aca="false">W_PH(AN$2,$A634)</f>
        <v>2015</v>
      </c>
      <c r="AO634" s="0" t="n">
        <f aca="false">W_PH(AO$2,$A634)</f>
        <v>2015</v>
      </c>
      <c r="AP634" s="0" t="n">
        <f aca="false">W_PH(AP$2,$A634)</f>
        <v>2015</v>
      </c>
      <c r="AQ634" s="0" t="n">
        <f aca="false">W_PH(AQ$2,$A634)</f>
        <v>2015</v>
      </c>
      <c r="AR634" s="0" t="n">
        <f aca="false">W_PH(AR$2,$A634)</f>
        <v>2015</v>
      </c>
      <c r="AS634" s="0" t="n">
        <f aca="false">W_PH(AS$2,$A634)</f>
        <v>2015</v>
      </c>
    </row>
    <row r="635" customFormat="false" ht="13.8" hidden="false" customHeight="false" outlineLevel="0" collapsed="false">
      <c r="A635" s="0" t="n">
        <v>7950</v>
      </c>
      <c r="B635" s="0" t="n">
        <f aca="false">W_PH(B$2,$A635)</f>
        <v>2015</v>
      </c>
      <c r="C635" s="0" t="n">
        <f aca="false">W_PH(C$2,$A635)</f>
        <v>2015</v>
      </c>
      <c r="D635" s="0" t="n">
        <f aca="false">W_PH(D$2,$A635)</f>
        <v>2015</v>
      </c>
      <c r="E635" s="0" t="n">
        <f aca="false">W_PH(E$2,$A635)</f>
        <v>2015</v>
      </c>
      <c r="F635" s="0" t="n">
        <f aca="false">W_PH(F$2,$A635)</f>
        <v>2015</v>
      </c>
      <c r="G635" s="0" t="n">
        <f aca="false">W_PH(G$2,$A635)</f>
        <v>2015</v>
      </c>
      <c r="H635" s="0" t="n">
        <f aca="false">W_PH(H$2,$A635)</f>
        <v>2015</v>
      </c>
      <c r="I635" s="0" t="n">
        <f aca="false">W_PH(I$2,$A635)</f>
        <v>2015</v>
      </c>
      <c r="J635" s="0" t="n">
        <f aca="false">W_PH(J$2,$A635)</f>
        <v>2015</v>
      </c>
      <c r="K635" s="0" t="n">
        <f aca="false">W_PH(K$2,$A635)</f>
        <v>2015</v>
      </c>
      <c r="L635" s="0" t="n">
        <f aca="false">W_PH(L$2,$A635)</f>
        <v>2015</v>
      </c>
      <c r="M635" s="0" t="n">
        <f aca="false">W_PH(M$2,$A635)</f>
        <v>2015</v>
      </c>
      <c r="N635" s="0" t="n">
        <f aca="false">W_PH(N$2,$A635)</f>
        <v>2015</v>
      </c>
      <c r="O635" s="0" t="n">
        <f aca="false">W_PH(O$2,$A635)</f>
        <v>2015</v>
      </c>
      <c r="P635" s="0" t="n">
        <f aca="false">W_PH(P$2,$A635)</f>
        <v>2015</v>
      </c>
      <c r="Q635" s="0" t="n">
        <f aca="false">W_PH(Q$2,$A635)</f>
        <v>2015</v>
      </c>
      <c r="R635" s="0" t="n">
        <f aca="false">W_PH(R$2,$A635)</f>
        <v>2015</v>
      </c>
      <c r="S635" s="0" t="n">
        <f aca="false">W_PH(S$2,$A635)</f>
        <v>2015</v>
      </c>
      <c r="T635" s="0" t="n">
        <f aca="false">W_PH(T$2,$A635)</f>
        <v>2015</v>
      </c>
      <c r="U635" s="0" t="n">
        <f aca="false">W_PH(U$2,$A635)</f>
        <v>2015</v>
      </c>
      <c r="V635" s="0" t="n">
        <f aca="false">W_PH(V$2,$A635)</f>
        <v>2015</v>
      </c>
      <c r="W635" s="0" t="n">
        <f aca="false">W_PH(W$2,$A635)</f>
        <v>2015</v>
      </c>
      <c r="X635" s="0" t="n">
        <f aca="false">W_PH(X$2,$A635)</f>
        <v>2015</v>
      </c>
      <c r="Y635" s="0" t="n">
        <f aca="false">W_PH(Y$2,$A635)</f>
        <v>2015</v>
      </c>
      <c r="Z635" s="0" t="n">
        <f aca="false">W_PH(Z$2,$A635)</f>
        <v>2015</v>
      </c>
      <c r="AA635" s="0" t="n">
        <f aca="false">W_PH(AA$2,$A635)</f>
        <v>2015</v>
      </c>
      <c r="AB635" s="0" t="n">
        <f aca="false">W_PH(AB$2,$A635)</f>
        <v>2015</v>
      </c>
      <c r="AC635" s="0" t="n">
        <f aca="false">W_PH(AC$2,$A635)</f>
        <v>2015</v>
      </c>
      <c r="AD635" s="0" t="n">
        <f aca="false">W_PH(AD$2,$A635)</f>
        <v>2015</v>
      </c>
      <c r="AE635" s="0" t="n">
        <f aca="false">W_PH(AE$2,$A635)</f>
        <v>2015</v>
      </c>
      <c r="AF635" s="0" t="n">
        <f aca="false">W_PH(AF$2,$A635)</f>
        <v>2015</v>
      </c>
      <c r="AG635" s="0" t="n">
        <f aca="false">W_PH(AG$2,$A635)</f>
        <v>2015</v>
      </c>
      <c r="AH635" s="0" t="n">
        <f aca="false">W_PH(AH$2,$A635)</f>
        <v>2015</v>
      </c>
      <c r="AI635" s="0" t="n">
        <f aca="false">W_PH(AI$2,$A635)</f>
        <v>2015</v>
      </c>
      <c r="AJ635" s="0" t="n">
        <f aca="false">W_PH(AJ$2,$A635)</f>
        <v>2015</v>
      </c>
      <c r="AK635" s="0" t="n">
        <f aca="false">W_PH(AK$2,$A635)</f>
        <v>2015</v>
      </c>
      <c r="AL635" s="0" t="n">
        <f aca="false">W_PH(AL$2,$A635)</f>
        <v>2015</v>
      </c>
      <c r="AM635" s="0" t="n">
        <f aca="false">W_PH(AM$2,$A635)</f>
        <v>2015</v>
      </c>
      <c r="AN635" s="0" t="n">
        <f aca="false">W_PH(AN$2,$A635)</f>
        <v>2015</v>
      </c>
      <c r="AO635" s="0" t="n">
        <f aca="false">W_PH(AO$2,$A635)</f>
        <v>2015</v>
      </c>
      <c r="AP635" s="0" t="n">
        <f aca="false">W_PH(AP$2,$A635)</f>
        <v>2015</v>
      </c>
      <c r="AQ635" s="0" t="n">
        <f aca="false">W_PH(AQ$2,$A635)</f>
        <v>2015</v>
      </c>
      <c r="AR635" s="0" t="n">
        <f aca="false">W_PH(AR$2,$A635)</f>
        <v>2015</v>
      </c>
      <c r="AS635" s="0" t="n">
        <f aca="false">W_PH(AS$2,$A635)</f>
        <v>2015</v>
      </c>
    </row>
    <row r="636" customFormat="false" ht="13.8" hidden="false" customHeight="false" outlineLevel="0" collapsed="false">
      <c r="A636" s="0" t="n">
        <v>7960</v>
      </c>
      <c r="B636" s="0" t="n">
        <f aca="false">W_PH(B$2,$A636)</f>
        <v>2015</v>
      </c>
      <c r="C636" s="0" t="n">
        <f aca="false">W_PH(C$2,$A636)</f>
        <v>2015</v>
      </c>
      <c r="D636" s="0" t="n">
        <f aca="false">W_PH(D$2,$A636)</f>
        <v>2015</v>
      </c>
      <c r="E636" s="0" t="n">
        <f aca="false">W_PH(E$2,$A636)</f>
        <v>2015</v>
      </c>
      <c r="F636" s="0" t="n">
        <f aca="false">W_PH(F$2,$A636)</f>
        <v>2015</v>
      </c>
      <c r="G636" s="0" t="n">
        <f aca="false">W_PH(G$2,$A636)</f>
        <v>2015</v>
      </c>
      <c r="H636" s="0" t="n">
        <f aca="false">W_PH(H$2,$A636)</f>
        <v>2015</v>
      </c>
      <c r="I636" s="0" t="n">
        <f aca="false">W_PH(I$2,$A636)</f>
        <v>2015</v>
      </c>
      <c r="J636" s="0" t="n">
        <f aca="false">W_PH(J$2,$A636)</f>
        <v>2015</v>
      </c>
      <c r="K636" s="0" t="n">
        <f aca="false">W_PH(K$2,$A636)</f>
        <v>2015</v>
      </c>
      <c r="L636" s="0" t="n">
        <f aca="false">W_PH(L$2,$A636)</f>
        <v>2015</v>
      </c>
      <c r="M636" s="0" t="n">
        <f aca="false">W_PH(M$2,$A636)</f>
        <v>2015</v>
      </c>
      <c r="N636" s="0" t="n">
        <f aca="false">W_PH(N$2,$A636)</f>
        <v>2015</v>
      </c>
      <c r="O636" s="0" t="n">
        <f aca="false">W_PH(O$2,$A636)</f>
        <v>2015</v>
      </c>
      <c r="P636" s="0" t="n">
        <f aca="false">W_PH(P$2,$A636)</f>
        <v>2015</v>
      </c>
      <c r="Q636" s="0" t="n">
        <f aca="false">W_PH(Q$2,$A636)</f>
        <v>2015</v>
      </c>
      <c r="R636" s="0" t="n">
        <f aca="false">W_PH(R$2,$A636)</f>
        <v>2015</v>
      </c>
      <c r="S636" s="0" t="n">
        <f aca="false">W_PH(S$2,$A636)</f>
        <v>2015</v>
      </c>
      <c r="T636" s="0" t="n">
        <f aca="false">W_PH(T$2,$A636)</f>
        <v>2015</v>
      </c>
      <c r="U636" s="0" t="n">
        <f aca="false">W_PH(U$2,$A636)</f>
        <v>2015</v>
      </c>
      <c r="V636" s="0" t="n">
        <f aca="false">W_PH(V$2,$A636)</f>
        <v>2015</v>
      </c>
      <c r="W636" s="0" t="n">
        <f aca="false">W_PH(W$2,$A636)</f>
        <v>2015</v>
      </c>
      <c r="X636" s="0" t="n">
        <f aca="false">W_PH(X$2,$A636)</f>
        <v>2015</v>
      </c>
      <c r="Y636" s="0" t="n">
        <f aca="false">W_PH(Y$2,$A636)</f>
        <v>2015</v>
      </c>
      <c r="Z636" s="0" t="n">
        <f aca="false">W_PH(Z$2,$A636)</f>
        <v>2015</v>
      </c>
      <c r="AA636" s="0" t="n">
        <f aca="false">W_PH(AA$2,$A636)</f>
        <v>2015</v>
      </c>
      <c r="AB636" s="0" t="n">
        <f aca="false">W_PH(AB$2,$A636)</f>
        <v>2015</v>
      </c>
      <c r="AC636" s="0" t="n">
        <f aca="false">W_PH(AC$2,$A636)</f>
        <v>2015</v>
      </c>
      <c r="AD636" s="0" t="n">
        <f aca="false">W_PH(AD$2,$A636)</f>
        <v>2015</v>
      </c>
      <c r="AE636" s="0" t="n">
        <f aca="false">W_PH(AE$2,$A636)</f>
        <v>2015</v>
      </c>
      <c r="AF636" s="0" t="n">
        <f aca="false">W_PH(AF$2,$A636)</f>
        <v>2015</v>
      </c>
      <c r="AG636" s="0" t="n">
        <f aca="false">W_PH(AG$2,$A636)</f>
        <v>2015</v>
      </c>
      <c r="AH636" s="0" t="n">
        <f aca="false">W_PH(AH$2,$A636)</f>
        <v>2015</v>
      </c>
      <c r="AI636" s="0" t="n">
        <f aca="false">W_PH(AI$2,$A636)</f>
        <v>2015</v>
      </c>
      <c r="AJ636" s="0" t="n">
        <f aca="false">W_PH(AJ$2,$A636)</f>
        <v>2015</v>
      </c>
      <c r="AK636" s="0" t="n">
        <f aca="false">W_PH(AK$2,$A636)</f>
        <v>2015</v>
      </c>
      <c r="AL636" s="0" t="n">
        <f aca="false">W_PH(AL$2,$A636)</f>
        <v>2015</v>
      </c>
      <c r="AM636" s="0" t="n">
        <f aca="false">W_PH(AM$2,$A636)</f>
        <v>2015</v>
      </c>
      <c r="AN636" s="0" t="n">
        <f aca="false">W_PH(AN$2,$A636)</f>
        <v>2015</v>
      </c>
      <c r="AO636" s="0" t="n">
        <f aca="false">W_PH(AO$2,$A636)</f>
        <v>2015</v>
      </c>
      <c r="AP636" s="0" t="n">
        <f aca="false">W_PH(AP$2,$A636)</f>
        <v>2015</v>
      </c>
      <c r="AQ636" s="0" t="n">
        <f aca="false">W_PH(AQ$2,$A636)</f>
        <v>2015</v>
      </c>
      <c r="AR636" s="0" t="n">
        <f aca="false">W_PH(AR$2,$A636)</f>
        <v>2015</v>
      </c>
      <c r="AS636" s="0" t="n">
        <f aca="false">W_PH(AS$2,$A636)</f>
        <v>2015</v>
      </c>
    </row>
    <row r="637" customFormat="false" ht="13.8" hidden="false" customHeight="false" outlineLevel="0" collapsed="false">
      <c r="A637" s="0" t="n">
        <v>7970</v>
      </c>
      <c r="B637" s="0" t="n">
        <f aca="false">W_PH(B$2,$A637)</f>
        <v>2015</v>
      </c>
      <c r="C637" s="0" t="n">
        <f aca="false">W_PH(C$2,$A637)</f>
        <v>2015</v>
      </c>
      <c r="D637" s="0" t="n">
        <f aca="false">W_PH(D$2,$A637)</f>
        <v>2015</v>
      </c>
      <c r="E637" s="0" t="n">
        <f aca="false">W_PH(E$2,$A637)</f>
        <v>2015</v>
      </c>
      <c r="F637" s="0" t="n">
        <f aca="false">W_PH(F$2,$A637)</f>
        <v>2015</v>
      </c>
      <c r="G637" s="0" t="n">
        <f aca="false">W_PH(G$2,$A637)</f>
        <v>2015</v>
      </c>
      <c r="H637" s="0" t="n">
        <f aca="false">W_PH(H$2,$A637)</f>
        <v>2015</v>
      </c>
      <c r="I637" s="0" t="n">
        <f aca="false">W_PH(I$2,$A637)</f>
        <v>2015</v>
      </c>
      <c r="J637" s="0" t="n">
        <f aca="false">W_PH(J$2,$A637)</f>
        <v>2015</v>
      </c>
      <c r="K637" s="0" t="n">
        <f aca="false">W_PH(K$2,$A637)</f>
        <v>2015</v>
      </c>
      <c r="L637" s="0" t="n">
        <f aca="false">W_PH(L$2,$A637)</f>
        <v>2015</v>
      </c>
      <c r="M637" s="0" t="n">
        <f aca="false">W_PH(M$2,$A637)</f>
        <v>2015</v>
      </c>
      <c r="N637" s="0" t="n">
        <f aca="false">W_PH(N$2,$A637)</f>
        <v>2015</v>
      </c>
      <c r="O637" s="0" t="n">
        <f aca="false">W_PH(O$2,$A637)</f>
        <v>2015</v>
      </c>
      <c r="P637" s="0" t="n">
        <f aca="false">W_PH(P$2,$A637)</f>
        <v>2015</v>
      </c>
      <c r="Q637" s="0" t="n">
        <f aca="false">W_PH(Q$2,$A637)</f>
        <v>2015</v>
      </c>
      <c r="R637" s="0" t="n">
        <f aca="false">W_PH(R$2,$A637)</f>
        <v>2015</v>
      </c>
      <c r="S637" s="0" t="n">
        <f aca="false">W_PH(S$2,$A637)</f>
        <v>2015</v>
      </c>
      <c r="T637" s="0" t="n">
        <f aca="false">W_PH(T$2,$A637)</f>
        <v>2015</v>
      </c>
      <c r="U637" s="0" t="n">
        <f aca="false">W_PH(U$2,$A637)</f>
        <v>2015</v>
      </c>
      <c r="V637" s="0" t="n">
        <f aca="false">W_PH(V$2,$A637)</f>
        <v>2015</v>
      </c>
      <c r="W637" s="0" t="n">
        <f aca="false">W_PH(W$2,$A637)</f>
        <v>2015</v>
      </c>
      <c r="X637" s="0" t="n">
        <f aca="false">W_PH(X$2,$A637)</f>
        <v>2015</v>
      </c>
      <c r="Y637" s="0" t="n">
        <f aca="false">W_PH(Y$2,$A637)</f>
        <v>2015</v>
      </c>
      <c r="Z637" s="0" t="n">
        <f aca="false">W_PH(Z$2,$A637)</f>
        <v>2015</v>
      </c>
      <c r="AA637" s="0" t="n">
        <f aca="false">W_PH(AA$2,$A637)</f>
        <v>2015</v>
      </c>
      <c r="AB637" s="0" t="n">
        <f aca="false">W_PH(AB$2,$A637)</f>
        <v>2015</v>
      </c>
      <c r="AC637" s="0" t="n">
        <f aca="false">W_PH(AC$2,$A637)</f>
        <v>2015</v>
      </c>
      <c r="AD637" s="0" t="n">
        <f aca="false">W_PH(AD$2,$A637)</f>
        <v>2015</v>
      </c>
      <c r="AE637" s="0" t="n">
        <f aca="false">W_PH(AE$2,$A637)</f>
        <v>2015</v>
      </c>
      <c r="AF637" s="0" t="n">
        <f aca="false">W_PH(AF$2,$A637)</f>
        <v>2015</v>
      </c>
      <c r="AG637" s="0" t="n">
        <f aca="false">W_PH(AG$2,$A637)</f>
        <v>2015</v>
      </c>
      <c r="AH637" s="0" t="n">
        <f aca="false">W_PH(AH$2,$A637)</f>
        <v>2015</v>
      </c>
      <c r="AI637" s="0" t="n">
        <f aca="false">W_PH(AI$2,$A637)</f>
        <v>2015</v>
      </c>
      <c r="AJ637" s="0" t="n">
        <f aca="false">W_PH(AJ$2,$A637)</f>
        <v>2015</v>
      </c>
      <c r="AK637" s="0" t="n">
        <f aca="false">W_PH(AK$2,$A637)</f>
        <v>2015</v>
      </c>
      <c r="AL637" s="0" t="n">
        <f aca="false">W_PH(AL$2,$A637)</f>
        <v>2015</v>
      </c>
      <c r="AM637" s="0" t="n">
        <f aca="false">W_PH(AM$2,$A637)</f>
        <v>2015</v>
      </c>
      <c r="AN637" s="0" t="n">
        <f aca="false">W_PH(AN$2,$A637)</f>
        <v>2015</v>
      </c>
      <c r="AO637" s="0" t="n">
        <f aca="false">W_PH(AO$2,$A637)</f>
        <v>2015</v>
      </c>
      <c r="AP637" s="0" t="n">
        <f aca="false">W_PH(AP$2,$A637)</f>
        <v>2015</v>
      </c>
      <c r="AQ637" s="0" t="n">
        <f aca="false">W_PH(AQ$2,$A637)</f>
        <v>2015</v>
      </c>
      <c r="AR637" s="0" t="n">
        <f aca="false">W_PH(AR$2,$A637)</f>
        <v>2015</v>
      </c>
      <c r="AS637" s="0" t="n">
        <f aca="false">W_PH(AS$2,$A637)</f>
        <v>2015</v>
      </c>
    </row>
    <row r="638" customFormat="false" ht="13.8" hidden="false" customHeight="false" outlineLevel="0" collapsed="false">
      <c r="A638" s="0" t="n">
        <v>7980</v>
      </c>
      <c r="B638" s="0" t="n">
        <f aca="false">W_PH(B$2,$A638)</f>
        <v>2015</v>
      </c>
      <c r="C638" s="0" t="n">
        <f aca="false">W_PH(C$2,$A638)</f>
        <v>2015</v>
      </c>
      <c r="D638" s="0" t="n">
        <f aca="false">W_PH(D$2,$A638)</f>
        <v>2015</v>
      </c>
      <c r="E638" s="0" t="n">
        <f aca="false">W_PH(E$2,$A638)</f>
        <v>2015</v>
      </c>
      <c r="F638" s="0" t="n">
        <f aca="false">W_PH(F$2,$A638)</f>
        <v>2015</v>
      </c>
      <c r="G638" s="0" t="n">
        <f aca="false">W_PH(G$2,$A638)</f>
        <v>2015</v>
      </c>
      <c r="H638" s="0" t="n">
        <f aca="false">W_PH(H$2,$A638)</f>
        <v>2015</v>
      </c>
      <c r="I638" s="0" t="n">
        <f aca="false">W_PH(I$2,$A638)</f>
        <v>2015</v>
      </c>
      <c r="J638" s="0" t="n">
        <f aca="false">W_PH(J$2,$A638)</f>
        <v>2015</v>
      </c>
      <c r="K638" s="0" t="n">
        <f aca="false">W_PH(K$2,$A638)</f>
        <v>2015</v>
      </c>
      <c r="L638" s="0" t="n">
        <f aca="false">W_PH(L$2,$A638)</f>
        <v>2015</v>
      </c>
      <c r="M638" s="0" t="n">
        <f aca="false">W_PH(M$2,$A638)</f>
        <v>2015</v>
      </c>
      <c r="N638" s="0" t="n">
        <f aca="false">W_PH(N$2,$A638)</f>
        <v>2015</v>
      </c>
      <c r="O638" s="0" t="n">
        <f aca="false">W_PH(O$2,$A638)</f>
        <v>2015</v>
      </c>
      <c r="P638" s="0" t="n">
        <f aca="false">W_PH(P$2,$A638)</f>
        <v>2015</v>
      </c>
      <c r="Q638" s="0" t="n">
        <f aca="false">W_PH(Q$2,$A638)</f>
        <v>2015</v>
      </c>
      <c r="R638" s="0" t="n">
        <f aca="false">W_PH(R$2,$A638)</f>
        <v>2015</v>
      </c>
      <c r="S638" s="0" t="n">
        <f aca="false">W_PH(S$2,$A638)</f>
        <v>2015</v>
      </c>
      <c r="T638" s="0" t="n">
        <f aca="false">W_PH(T$2,$A638)</f>
        <v>2015</v>
      </c>
      <c r="U638" s="0" t="n">
        <f aca="false">W_PH(U$2,$A638)</f>
        <v>2015</v>
      </c>
      <c r="V638" s="0" t="n">
        <f aca="false">W_PH(V$2,$A638)</f>
        <v>2015</v>
      </c>
      <c r="W638" s="0" t="n">
        <f aca="false">W_PH(W$2,$A638)</f>
        <v>2015</v>
      </c>
      <c r="X638" s="0" t="n">
        <f aca="false">W_PH(X$2,$A638)</f>
        <v>2015</v>
      </c>
      <c r="Y638" s="0" t="n">
        <f aca="false">W_PH(Y$2,$A638)</f>
        <v>2015</v>
      </c>
      <c r="Z638" s="0" t="n">
        <f aca="false">W_PH(Z$2,$A638)</f>
        <v>2015</v>
      </c>
      <c r="AA638" s="0" t="n">
        <f aca="false">W_PH(AA$2,$A638)</f>
        <v>2015</v>
      </c>
      <c r="AB638" s="0" t="n">
        <f aca="false">W_PH(AB$2,$A638)</f>
        <v>2015</v>
      </c>
      <c r="AC638" s="0" t="n">
        <f aca="false">W_PH(AC$2,$A638)</f>
        <v>2015</v>
      </c>
      <c r="AD638" s="0" t="n">
        <f aca="false">W_PH(AD$2,$A638)</f>
        <v>2015</v>
      </c>
      <c r="AE638" s="0" t="n">
        <f aca="false">W_PH(AE$2,$A638)</f>
        <v>2015</v>
      </c>
      <c r="AF638" s="0" t="n">
        <f aca="false">W_PH(AF$2,$A638)</f>
        <v>2015</v>
      </c>
      <c r="AG638" s="0" t="n">
        <f aca="false">W_PH(AG$2,$A638)</f>
        <v>2015</v>
      </c>
      <c r="AH638" s="0" t="n">
        <f aca="false">W_PH(AH$2,$A638)</f>
        <v>2015</v>
      </c>
      <c r="AI638" s="0" t="n">
        <f aca="false">W_PH(AI$2,$A638)</f>
        <v>2015</v>
      </c>
      <c r="AJ638" s="0" t="n">
        <f aca="false">W_PH(AJ$2,$A638)</f>
        <v>2015</v>
      </c>
      <c r="AK638" s="0" t="n">
        <f aca="false">W_PH(AK$2,$A638)</f>
        <v>2015</v>
      </c>
      <c r="AL638" s="0" t="n">
        <f aca="false">W_PH(AL$2,$A638)</f>
        <v>2015</v>
      </c>
      <c r="AM638" s="0" t="n">
        <f aca="false">W_PH(AM$2,$A638)</f>
        <v>2015</v>
      </c>
      <c r="AN638" s="0" t="n">
        <f aca="false">W_PH(AN$2,$A638)</f>
        <v>2015</v>
      </c>
      <c r="AO638" s="0" t="n">
        <f aca="false">W_PH(AO$2,$A638)</f>
        <v>2015</v>
      </c>
      <c r="AP638" s="0" t="n">
        <f aca="false">W_PH(AP$2,$A638)</f>
        <v>2015</v>
      </c>
      <c r="AQ638" s="0" t="n">
        <f aca="false">W_PH(AQ$2,$A638)</f>
        <v>2015</v>
      </c>
      <c r="AR638" s="0" t="n">
        <f aca="false">W_PH(AR$2,$A638)</f>
        <v>2015</v>
      </c>
      <c r="AS638" s="0" t="n">
        <f aca="false">W_PH(AS$2,$A638)</f>
        <v>2015</v>
      </c>
    </row>
    <row r="639" customFormat="false" ht="13.8" hidden="false" customHeight="false" outlineLevel="0" collapsed="false">
      <c r="A639" s="0" t="n">
        <v>7990</v>
      </c>
      <c r="B639" s="0" t="n">
        <f aca="false">W_PH(B$2,$A639)</f>
        <v>2015</v>
      </c>
      <c r="C639" s="0" t="n">
        <f aca="false">W_PH(C$2,$A639)</f>
        <v>2015</v>
      </c>
      <c r="D639" s="0" t="n">
        <f aca="false">W_PH(D$2,$A639)</f>
        <v>2015</v>
      </c>
      <c r="E639" s="0" t="n">
        <f aca="false">W_PH(E$2,$A639)</f>
        <v>2015</v>
      </c>
      <c r="F639" s="0" t="n">
        <f aca="false">W_PH(F$2,$A639)</f>
        <v>2015</v>
      </c>
      <c r="G639" s="0" t="n">
        <f aca="false">W_PH(G$2,$A639)</f>
        <v>2015</v>
      </c>
      <c r="H639" s="0" t="n">
        <f aca="false">W_PH(H$2,$A639)</f>
        <v>2015</v>
      </c>
      <c r="I639" s="0" t="n">
        <f aca="false">W_PH(I$2,$A639)</f>
        <v>2015</v>
      </c>
      <c r="J639" s="0" t="n">
        <f aca="false">W_PH(J$2,$A639)</f>
        <v>2015</v>
      </c>
      <c r="K639" s="0" t="n">
        <f aca="false">W_PH(K$2,$A639)</f>
        <v>2015</v>
      </c>
      <c r="L639" s="0" t="n">
        <f aca="false">W_PH(L$2,$A639)</f>
        <v>2015</v>
      </c>
      <c r="M639" s="0" t="n">
        <f aca="false">W_PH(M$2,$A639)</f>
        <v>2015</v>
      </c>
      <c r="N639" s="0" t="n">
        <f aca="false">W_PH(N$2,$A639)</f>
        <v>2015</v>
      </c>
      <c r="O639" s="0" t="n">
        <f aca="false">W_PH(O$2,$A639)</f>
        <v>2015</v>
      </c>
      <c r="P639" s="0" t="n">
        <f aca="false">W_PH(P$2,$A639)</f>
        <v>2015</v>
      </c>
      <c r="Q639" s="0" t="n">
        <f aca="false">W_PH(Q$2,$A639)</f>
        <v>2015</v>
      </c>
      <c r="R639" s="0" t="n">
        <f aca="false">W_PH(R$2,$A639)</f>
        <v>2015</v>
      </c>
      <c r="S639" s="0" t="n">
        <f aca="false">W_PH(S$2,$A639)</f>
        <v>2015</v>
      </c>
      <c r="T639" s="0" t="n">
        <f aca="false">W_PH(T$2,$A639)</f>
        <v>2015</v>
      </c>
      <c r="U639" s="0" t="n">
        <f aca="false">W_PH(U$2,$A639)</f>
        <v>2015</v>
      </c>
      <c r="V639" s="0" t="n">
        <f aca="false">W_PH(V$2,$A639)</f>
        <v>2015</v>
      </c>
      <c r="W639" s="0" t="n">
        <f aca="false">W_PH(W$2,$A639)</f>
        <v>2015</v>
      </c>
      <c r="X639" s="0" t="n">
        <f aca="false">W_PH(X$2,$A639)</f>
        <v>2015</v>
      </c>
      <c r="Y639" s="0" t="n">
        <f aca="false">W_PH(Y$2,$A639)</f>
        <v>2015</v>
      </c>
      <c r="Z639" s="0" t="n">
        <f aca="false">W_PH(Z$2,$A639)</f>
        <v>2015</v>
      </c>
      <c r="AA639" s="0" t="n">
        <f aca="false">W_PH(AA$2,$A639)</f>
        <v>2015</v>
      </c>
      <c r="AB639" s="0" t="n">
        <f aca="false">W_PH(AB$2,$A639)</f>
        <v>2015</v>
      </c>
      <c r="AC639" s="0" t="n">
        <f aca="false">W_PH(AC$2,$A639)</f>
        <v>2015</v>
      </c>
      <c r="AD639" s="0" t="n">
        <f aca="false">W_PH(AD$2,$A639)</f>
        <v>2015</v>
      </c>
      <c r="AE639" s="0" t="n">
        <f aca="false">W_PH(AE$2,$A639)</f>
        <v>2015</v>
      </c>
      <c r="AF639" s="0" t="n">
        <f aca="false">W_PH(AF$2,$A639)</f>
        <v>2015</v>
      </c>
      <c r="AG639" s="0" t="n">
        <f aca="false">W_PH(AG$2,$A639)</f>
        <v>2015</v>
      </c>
      <c r="AH639" s="0" t="n">
        <f aca="false">W_PH(AH$2,$A639)</f>
        <v>2015</v>
      </c>
      <c r="AI639" s="0" t="n">
        <f aca="false">W_PH(AI$2,$A639)</f>
        <v>2015</v>
      </c>
      <c r="AJ639" s="0" t="n">
        <f aca="false">W_PH(AJ$2,$A639)</f>
        <v>2015</v>
      </c>
      <c r="AK639" s="0" t="n">
        <f aca="false">W_PH(AK$2,$A639)</f>
        <v>2015</v>
      </c>
      <c r="AL639" s="0" t="n">
        <f aca="false">W_PH(AL$2,$A639)</f>
        <v>2015</v>
      </c>
      <c r="AM639" s="0" t="n">
        <f aca="false">W_PH(AM$2,$A639)</f>
        <v>2015</v>
      </c>
      <c r="AN639" s="0" t="n">
        <f aca="false">W_PH(AN$2,$A639)</f>
        <v>2015</v>
      </c>
      <c r="AO639" s="0" t="n">
        <f aca="false">W_PH(AO$2,$A639)</f>
        <v>2015</v>
      </c>
      <c r="AP639" s="0" t="n">
        <f aca="false">W_PH(AP$2,$A639)</f>
        <v>2015</v>
      </c>
      <c r="AQ639" s="0" t="n">
        <f aca="false">W_PH(AQ$2,$A639)</f>
        <v>2015</v>
      </c>
      <c r="AR639" s="0" t="n">
        <f aca="false">W_PH(AR$2,$A639)</f>
        <v>2015</v>
      </c>
      <c r="AS639" s="0" t="n">
        <f aca="false">W_PH(AS$2,$A639)</f>
        <v>2015</v>
      </c>
    </row>
    <row r="640" customFormat="false" ht="13.8" hidden="false" customHeight="false" outlineLevel="0" collapsed="false">
      <c r="A640" s="0" t="n">
        <v>8000</v>
      </c>
      <c r="B640" s="0" t="n">
        <f aca="false">W_PH(B$2,$A640)</f>
        <v>2015</v>
      </c>
      <c r="C640" s="0" t="n">
        <f aca="false">W_PH(C$2,$A640)</f>
        <v>2015</v>
      </c>
      <c r="D640" s="0" t="n">
        <f aca="false">W_PH(D$2,$A640)</f>
        <v>2015</v>
      </c>
      <c r="E640" s="0" t="n">
        <f aca="false">W_PH(E$2,$A640)</f>
        <v>2015</v>
      </c>
      <c r="F640" s="0" t="n">
        <f aca="false">W_PH(F$2,$A640)</f>
        <v>2015</v>
      </c>
      <c r="G640" s="0" t="n">
        <f aca="false">W_PH(G$2,$A640)</f>
        <v>2015</v>
      </c>
      <c r="H640" s="0" t="n">
        <f aca="false">W_PH(H$2,$A640)</f>
        <v>2015</v>
      </c>
      <c r="I640" s="0" t="n">
        <f aca="false">W_PH(I$2,$A640)</f>
        <v>2015</v>
      </c>
      <c r="J640" s="0" t="n">
        <f aca="false">W_PH(J$2,$A640)</f>
        <v>2015</v>
      </c>
      <c r="K640" s="0" t="n">
        <f aca="false">W_PH(K$2,$A640)</f>
        <v>2015</v>
      </c>
      <c r="L640" s="0" t="n">
        <f aca="false">W_PH(L$2,$A640)</f>
        <v>2015</v>
      </c>
      <c r="M640" s="0" t="n">
        <f aca="false">W_PH(M$2,$A640)</f>
        <v>2015</v>
      </c>
      <c r="N640" s="0" t="n">
        <f aca="false">W_PH(N$2,$A640)</f>
        <v>2015</v>
      </c>
      <c r="O640" s="0" t="n">
        <f aca="false">W_PH(O$2,$A640)</f>
        <v>2015</v>
      </c>
      <c r="P640" s="0" t="n">
        <f aca="false">W_PH(P$2,$A640)</f>
        <v>2015</v>
      </c>
      <c r="Q640" s="0" t="n">
        <f aca="false">W_PH(Q$2,$A640)</f>
        <v>2015</v>
      </c>
      <c r="R640" s="0" t="n">
        <f aca="false">W_PH(R$2,$A640)</f>
        <v>2015</v>
      </c>
      <c r="S640" s="0" t="n">
        <f aca="false">W_PH(S$2,$A640)</f>
        <v>2015</v>
      </c>
      <c r="T640" s="0" t="n">
        <f aca="false">W_PH(T$2,$A640)</f>
        <v>2015</v>
      </c>
      <c r="U640" s="0" t="n">
        <f aca="false">W_PH(U$2,$A640)</f>
        <v>2015</v>
      </c>
      <c r="V640" s="0" t="n">
        <f aca="false">W_PH(V$2,$A640)</f>
        <v>2015</v>
      </c>
      <c r="W640" s="0" t="n">
        <f aca="false">W_PH(W$2,$A640)</f>
        <v>2015</v>
      </c>
      <c r="X640" s="0" t="n">
        <f aca="false">W_PH(X$2,$A640)</f>
        <v>2015</v>
      </c>
      <c r="Y640" s="0" t="n">
        <f aca="false">W_PH(Y$2,$A640)</f>
        <v>2015</v>
      </c>
      <c r="Z640" s="0" t="n">
        <f aca="false">W_PH(Z$2,$A640)</f>
        <v>2015</v>
      </c>
      <c r="AA640" s="0" t="n">
        <f aca="false">W_PH(AA$2,$A640)</f>
        <v>2015</v>
      </c>
      <c r="AB640" s="0" t="n">
        <f aca="false">W_PH(AB$2,$A640)</f>
        <v>2015</v>
      </c>
      <c r="AC640" s="0" t="n">
        <f aca="false">W_PH(AC$2,$A640)</f>
        <v>2015</v>
      </c>
      <c r="AD640" s="0" t="n">
        <f aca="false">W_PH(AD$2,$A640)</f>
        <v>2015</v>
      </c>
      <c r="AE640" s="0" t="n">
        <f aca="false">W_PH(AE$2,$A640)</f>
        <v>2015</v>
      </c>
      <c r="AF640" s="0" t="n">
        <f aca="false">W_PH(AF$2,$A640)</f>
        <v>2015</v>
      </c>
      <c r="AG640" s="0" t="n">
        <f aca="false">W_PH(AG$2,$A640)</f>
        <v>2015</v>
      </c>
      <c r="AH640" s="0" t="n">
        <f aca="false">W_PH(AH$2,$A640)</f>
        <v>2015</v>
      </c>
      <c r="AI640" s="0" t="n">
        <f aca="false">W_PH(AI$2,$A640)</f>
        <v>2015</v>
      </c>
      <c r="AJ640" s="0" t="n">
        <f aca="false">W_PH(AJ$2,$A640)</f>
        <v>2015</v>
      </c>
      <c r="AK640" s="0" t="n">
        <f aca="false">W_PH(AK$2,$A640)</f>
        <v>2015</v>
      </c>
      <c r="AL640" s="0" t="n">
        <f aca="false">W_PH(AL$2,$A640)</f>
        <v>2015</v>
      </c>
      <c r="AM640" s="0" t="n">
        <f aca="false">W_PH(AM$2,$A640)</f>
        <v>2015</v>
      </c>
      <c r="AN640" s="0" t="n">
        <f aca="false">W_PH(AN$2,$A640)</f>
        <v>2015</v>
      </c>
      <c r="AO640" s="0" t="n">
        <f aca="false">W_PH(AO$2,$A640)</f>
        <v>2015</v>
      </c>
      <c r="AP640" s="0" t="n">
        <f aca="false">W_PH(AP$2,$A640)</f>
        <v>2015</v>
      </c>
      <c r="AQ640" s="0" t="n">
        <f aca="false">W_PH(AQ$2,$A640)</f>
        <v>2015</v>
      </c>
      <c r="AR640" s="0" t="n">
        <f aca="false">W_PH(AR$2,$A640)</f>
        <v>2015</v>
      </c>
      <c r="AS640" s="0" t="n">
        <f aca="false">W_PH(AS$2,$A640)</f>
        <v>2015</v>
      </c>
    </row>
    <row r="641" customFormat="false" ht="13.8" hidden="false" customHeight="false" outlineLevel="0" collapsed="false">
      <c r="A641" s="0" t="n">
        <v>9000</v>
      </c>
      <c r="B641" s="0" t="n">
        <f aca="false">W_PH(B$2,$A641)</f>
        <v>2015</v>
      </c>
      <c r="C641" s="0" t="n">
        <f aca="false">W_PH(C$2,$A641)</f>
        <v>2015</v>
      </c>
      <c r="D641" s="0" t="n">
        <f aca="false">W_PH(D$2,$A641)</f>
        <v>2015</v>
      </c>
      <c r="E641" s="0" t="n">
        <f aca="false">W_PH(E$2,$A641)</f>
        <v>2015</v>
      </c>
      <c r="F641" s="0" t="n">
        <f aca="false">W_PH(F$2,$A641)</f>
        <v>2015</v>
      </c>
      <c r="G641" s="0" t="n">
        <f aca="false">W_PH(G$2,$A641)</f>
        <v>2015</v>
      </c>
      <c r="H641" s="0" t="n">
        <f aca="false">W_PH(H$2,$A641)</f>
        <v>2015</v>
      </c>
      <c r="I641" s="0" t="n">
        <f aca="false">W_PH(I$2,$A641)</f>
        <v>2015</v>
      </c>
      <c r="J641" s="0" t="n">
        <f aca="false">W_PH(J$2,$A641)</f>
        <v>2015</v>
      </c>
      <c r="K641" s="0" t="n">
        <f aca="false">W_PH(K$2,$A641)</f>
        <v>2015</v>
      </c>
      <c r="L641" s="0" t="n">
        <f aca="false">W_PH(L$2,$A641)</f>
        <v>2015</v>
      </c>
      <c r="M641" s="0" t="n">
        <f aca="false">W_PH(M$2,$A641)</f>
        <v>2015</v>
      </c>
      <c r="N641" s="0" t="n">
        <f aca="false">W_PH(N$2,$A641)</f>
        <v>2015</v>
      </c>
      <c r="O641" s="0" t="n">
        <f aca="false">W_PH(O$2,$A641)</f>
        <v>2015</v>
      </c>
      <c r="P641" s="0" t="n">
        <f aca="false">W_PH(P$2,$A641)</f>
        <v>2015</v>
      </c>
      <c r="Q641" s="0" t="n">
        <f aca="false">W_PH(Q$2,$A641)</f>
        <v>2015</v>
      </c>
      <c r="R641" s="0" t="n">
        <f aca="false">W_PH(R$2,$A641)</f>
        <v>2015</v>
      </c>
      <c r="S641" s="0" t="n">
        <f aca="false">W_PH(S$2,$A641)</f>
        <v>2015</v>
      </c>
      <c r="T641" s="0" t="n">
        <f aca="false">W_PH(T$2,$A641)</f>
        <v>2015</v>
      </c>
      <c r="U641" s="0" t="n">
        <f aca="false">W_PH(U$2,$A641)</f>
        <v>2015</v>
      </c>
      <c r="V641" s="0" t="n">
        <f aca="false">W_PH(V$2,$A641)</f>
        <v>2015</v>
      </c>
      <c r="W641" s="0" t="n">
        <f aca="false">W_PH(W$2,$A641)</f>
        <v>2015</v>
      </c>
      <c r="X641" s="0" t="n">
        <f aca="false">W_PH(X$2,$A641)</f>
        <v>2015</v>
      </c>
      <c r="Y641" s="0" t="n">
        <f aca="false">W_PH(Y$2,$A641)</f>
        <v>2015</v>
      </c>
      <c r="Z641" s="0" t="n">
        <f aca="false">W_PH(Z$2,$A641)</f>
        <v>2015</v>
      </c>
      <c r="AA641" s="0" t="n">
        <f aca="false">W_PH(AA$2,$A641)</f>
        <v>2015</v>
      </c>
      <c r="AB641" s="0" t="n">
        <f aca="false">W_PH(AB$2,$A641)</f>
        <v>2015</v>
      </c>
      <c r="AC641" s="0" t="n">
        <f aca="false">W_PH(AC$2,$A641)</f>
        <v>2015</v>
      </c>
      <c r="AD641" s="0" t="n">
        <f aca="false">W_PH(AD$2,$A641)</f>
        <v>2015</v>
      </c>
      <c r="AE641" s="0" t="n">
        <f aca="false">W_PH(AE$2,$A641)</f>
        <v>2015</v>
      </c>
      <c r="AF641" s="0" t="n">
        <f aca="false">W_PH(AF$2,$A641)</f>
        <v>2015</v>
      </c>
      <c r="AG641" s="0" t="n">
        <f aca="false">W_PH(AG$2,$A641)</f>
        <v>2015</v>
      </c>
      <c r="AH641" s="0" t="n">
        <f aca="false">W_PH(AH$2,$A641)</f>
        <v>2015</v>
      </c>
      <c r="AI641" s="0" t="n">
        <f aca="false">W_PH(AI$2,$A641)</f>
        <v>2015</v>
      </c>
      <c r="AJ641" s="0" t="n">
        <f aca="false">W_PH(AJ$2,$A641)</f>
        <v>2015</v>
      </c>
      <c r="AK641" s="0" t="n">
        <f aca="false">W_PH(AK$2,$A641)</f>
        <v>2015</v>
      </c>
      <c r="AL641" s="0" t="n">
        <f aca="false">W_PH(AL$2,$A641)</f>
        <v>2015</v>
      </c>
      <c r="AM641" s="0" t="n">
        <f aca="false">W_PH(AM$2,$A641)</f>
        <v>2015</v>
      </c>
      <c r="AN641" s="0" t="n">
        <f aca="false">W_PH(AN$2,$A641)</f>
        <v>2015</v>
      </c>
      <c r="AO641" s="0" t="n">
        <f aca="false">W_PH(AO$2,$A641)</f>
        <v>2015</v>
      </c>
      <c r="AP641" s="0" t="n">
        <f aca="false">W_PH(AP$2,$A641)</f>
        <v>2015</v>
      </c>
      <c r="AQ641" s="0" t="n">
        <f aca="false">W_PH(AQ$2,$A641)</f>
        <v>2015</v>
      </c>
      <c r="AR641" s="0" t="n">
        <f aca="false">W_PH(AR$2,$A641)</f>
        <v>2015</v>
      </c>
      <c r="AS641" s="0" t="n">
        <f aca="false">W_PH(AS$2,$A641)</f>
        <v>2015</v>
      </c>
    </row>
    <row r="642" customFormat="false" ht="13.8" hidden="false" customHeight="false" outlineLevel="0" collapsed="false">
      <c r="A642" s="0" t="n">
        <v>10000</v>
      </c>
      <c r="B642" s="0" t="n">
        <f aca="false">W_PH(B$2,$A642)</f>
        <v>2015</v>
      </c>
      <c r="C642" s="0" t="n">
        <f aca="false">W_PH(C$2,$A642)</f>
        <v>2015</v>
      </c>
      <c r="D642" s="0" t="n">
        <f aca="false">W_PH(D$2,$A642)</f>
        <v>2015</v>
      </c>
      <c r="E642" s="0" t="n">
        <f aca="false">W_PH(E$2,$A642)</f>
        <v>2015</v>
      </c>
      <c r="F642" s="0" t="n">
        <f aca="false">W_PH(F$2,$A642)</f>
        <v>2015</v>
      </c>
      <c r="G642" s="0" t="n">
        <f aca="false">W_PH(G$2,$A642)</f>
        <v>2015</v>
      </c>
      <c r="H642" s="0" t="n">
        <f aca="false">W_PH(H$2,$A642)</f>
        <v>2015</v>
      </c>
      <c r="I642" s="0" t="n">
        <f aca="false">W_PH(I$2,$A642)</f>
        <v>2015</v>
      </c>
      <c r="J642" s="0" t="n">
        <f aca="false">W_PH(J$2,$A642)</f>
        <v>2015</v>
      </c>
      <c r="K642" s="0" t="n">
        <f aca="false">W_PH(K$2,$A642)</f>
        <v>2015</v>
      </c>
      <c r="L642" s="0" t="n">
        <f aca="false">W_PH(L$2,$A642)</f>
        <v>2015</v>
      </c>
      <c r="M642" s="0" t="n">
        <f aca="false">W_PH(M$2,$A642)</f>
        <v>2015</v>
      </c>
      <c r="N642" s="0" t="n">
        <f aca="false">W_PH(N$2,$A642)</f>
        <v>2015</v>
      </c>
      <c r="O642" s="0" t="n">
        <f aca="false">W_PH(O$2,$A642)</f>
        <v>2015</v>
      </c>
      <c r="P642" s="0" t="n">
        <f aca="false">W_PH(P$2,$A642)</f>
        <v>2015</v>
      </c>
      <c r="Q642" s="0" t="n">
        <f aca="false">W_PH(Q$2,$A642)</f>
        <v>2015</v>
      </c>
      <c r="R642" s="0" t="n">
        <f aca="false">W_PH(R$2,$A642)</f>
        <v>2015</v>
      </c>
      <c r="S642" s="0" t="n">
        <f aca="false">W_PH(S$2,$A642)</f>
        <v>2015</v>
      </c>
      <c r="T642" s="0" t="n">
        <f aca="false">W_PH(T$2,$A642)</f>
        <v>2015</v>
      </c>
      <c r="U642" s="0" t="n">
        <f aca="false">W_PH(U$2,$A642)</f>
        <v>2015</v>
      </c>
      <c r="V642" s="0" t="n">
        <f aca="false">W_PH(V$2,$A642)</f>
        <v>2015</v>
      </c>
      <c r="W642" s="0" t="n">
        <f aca="false">W_PH(W$2,$A642)</f>
        <v>2015</v>
      </c>
      <c r="X642" s="0" t="n">
        <f aca="false">W_PH(X$2,$A642)</f>
        <v>2015</v>
      </c>
      <c r="Y642" s="0" t="n">
        <f aca="false">W_PH(Y$2,$A642)</f>
        <v>2015</v>
      </c>
      <c r="Z642" s="0" t="n">
        <f aca="false">W_PH(Z$2,$A642)</f>
        <v>2015</v>
      </c>
      <c r="AA642" s="0" t="n">
        <f aca="false">W_PH(AA$2,$A642)</f>
        <v>2015</v>
      </c>
      <c r="AB642" s="0" t="n">
        <f aca="false">W_PH(AB$2,$A642)</f>
        <v>2015</v>
      </c>
      <c r="AC642" s="0" t="n">
        <f aca="false">W_PH(AC$2,$A642)</f>
        <v>2015</v>
      </c>
      <c r="AD642" s="0" t="n">
        <f aca="false">W_PH(AD$2,$A642)</f>
        <v>2015</v>
      </c>
      <c r="AE642" s="0" t="n">
        <f aca="false">W_PH(AE$2,$A642)</f>
        <v>2015</v>
      </c>
      <c r="AF642" s="0" t="n">
        <f aca="false">W_PH(AF$2,$A642)</f>
        <v>2015</v>
      </c>
      <c r="AG642" s="0" t="n">
        <f aca="false">W_PH(AG$2,$A642)</f>
        <v>2015</v>
      </c>
      <c r="AH642" s="0" t="n">
        <f aca="false">W_PH(AH$2,$A642)</f>
        <v>2015</v>
      </c>
      <c r="AI642" s="0" t="n">
        <f aca="false">W_PH(AI$2,$A642)</f>
        <v>2015</v>
      </c>
      <c r="AJ642" s="0" t="n">
        <f aca="false">W_PH(AJ$2,$A642)</f>
        <v>2015</v>
      </c>
      <c r="AK642" s="0" t="n">
        <f aca="false">W_PH(AK$2,$A642)</f>
        <v>2015</v>
      </c>
      <c r="AL642" s="0" t="n">
        <f aca="false">W_PH(AL$2,$A642)</f>
        <v>2015</v>
      </c>
      <c r="AM642" s="0" t="n">
        <f aca="false">W_PH(AM$2,$A642)</f>
        <v>2015</v>
      </c>
      <c r="AN642" s="0" t="n">
        <f aca="false">W_PH(AN$2,$A642)</f>
        <v>2015</v>
      </c>
      <c r="AO642" s="0" t="n">
        <f aca="false">W_PH(AO$2,$A642)</f>
        <v>2015</v>
      </c>
      <c r="AP642" s="0" t="n">
        <f aca="false">W_PH(AP$2,$A642)</f>
        <v>2015</v>
      </c>
      <c r="AQ642" s="0" t="n">
        <f aca="false">W_PH(AQ$2,$A642)</f>
        <v>2015</v>
      </c>
      <c r="AR642" s="0" t="n">
        <f aca="false">W_PH(AR$2,$A642)</f>
        <v>2015</v>
      </c>
      <c r="AS642" s="0" t="n">
        <f aca="false">W_PH(AS$2,$A642)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432</TotalTime>
  <Application>LibreOffice/6.0.2.1$Windows_X86_64 LibreOffice_project/f7f06a8f319e4b62f9bc5095aa112a65d2f3ac89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2018-09-23T10:40:37Z</dcterms:modified>
  <cp:revision>45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