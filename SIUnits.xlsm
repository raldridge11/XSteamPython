
<file path=[Content_Types].xml><?xml version="1.0" encoding="utf-8"?>
<Types xmlns="http://schemas.openxmlformats.org/package/2006/content-types">
  <Override PartName="/_rels/.rels" ContentType="application/vnd.openxmlformats-package.relationship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_rels/sheet1.xml.rels" ContentType="application/vnd.openxmlformats-package.relationships+xml"/>
  <Override PartName="/xl/worksheets/_rels/sheet2.xml.rels" ContentType="application/vnd.openxmlformats-package.relationships+xml"/>
  <Override PartName="/xl/styles.xml" ContentType="application/vnd.openxmlformats-officedocument.spreadsheetml.styles+xml"/>
  <Override PartName="/xl/workbook.xml" ContentType="application/vnd.ms-excel.sheet.macroEnabled.main+xml"/>
  <Override PartName="/xl/sharedStrings.xml" ContentType="application/vnd.openxmlformats-officedocument.spreadsheetml.sharedStrings+xml"/>
  <Override PartName="/xl/vbaProject.bin" ContentType="application/vnd.ms-office.vbaProject"/>
  <Override PartName="/xl/_rels/workbook.xml.rels" ContentType="application/vnd.openxmlformats-package.relationship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Relationship Id="rId4" Type="http://schemas.openxmlformats.org/officeDocument/2006/relationships/custom-properties" Target="docProps/custom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500" firstSheet="0" activeTab="3"/>
  </bookViews>
  <sheets>
    <sheet name="Properties" sheetId="1" state="visible" r:id="rId3"/>
    <sheet name="Functions" sheetId="2" state="visible" r:id="rId4"/>
    <sheet name="Variables" sheetId="3" state="visible" r:id="rId5"/>
    <sheet name="s_pT" sheetId="4" state="visible" r:id="rId6"/>
  </sheets>
  <definedNames>
    <definedName function="true" hidden="false" name="PSAT_T" vbProcedure="true"/>
    <definedName function="true" hidden="false" name="TSAT_P" vbProcedure="true"/>
    <definedName function="true" hidden="false" name="HL_T" vbProcedure="true"/>
    <definedName function="true" hidden="false" name="HL_P" vbProcedure="true"/>
    <definedName function="true" hidden="false" name="RHOL_T" vbProcedure="true"/>
    <definedName function="true" hidden="false" name="RHOL_P" vbProcedure="true"/>
    <definedName function="true" hidden="false" name="SL_T" vbProcedure="true"/>
    <definedName function="true" hidden="false" name="SL_P" vbProcedure="true"/>
    <definedName function="true" hidden="false" name="HV_T" vbProcedure="true"/>
    <definedName function="true" hidden="false" name="HV_P" vbProcedure="true"/>
    <definedName function="true" hidden="false" name="RHOV_T" vbProcedure="true"/>
    <definedName function="true" hidden="false" name="RHOV_P" vbProcedure="true"/>
    <definedName function="true" hidden="false" name="SV_T" vbProcedure="true"/>
    <definedName function="true" hidden="false" name="SV_P" vbProcedure="true"/>
    <definedName function="true" hidden="false" name="H_PT" vbProcedure="true"/>
    <definedName function="true" hidden="false" name="T_PH" vbProcedure="true"/>
    <definedName function="true" hidden="false" name="RHO_PT" vbProcedure="true"/>
    <definedName function="true" hidden="false" name="RHO_PH" vbProcedure="true"/>
    <definedName function="true" hidden="false" name="S_PT" vbProcedure="true"/>
    <definedName function="true" hidden="false" name="S_PH" vbProcedure="true"/>
    <definedName function="true" hidden="false" name="X_PH" vbProcedure="true"/>
    <definedName function="true" hidden="false" name="REGION_PT" vbProcedure="true"/>
    <definedName function="true" hidden="false" name="REGION_PH" vbProcedure="true"/>
    <definedName function="true" hidden="false" name="CP_PT" vbProcedure="true"/>
    <definedName function="true" hidden="false" name="CP_PH" vbProcedure="true"/>
    <definedName function="true" hidden="false" name="W_PT" vbProcedure="true"/>
    <definedName function="true" hidden="false" name="W_PH" vbProcedure="true"/>
    <definedName function="true" hidden="false" name="T_PS" vbProcedure="true"/>
    <definedName function="true" hidden="false" name="T_HS" vbProcedure="true"/>
    <definedName function="true" hidden="false" name="P_HS" vbProcedure="true"/>
    <definedName function="true" hidden="false" name="P_HRHO" vbProcedure="true"/>
    <definedName function="true" hidden="false" name="H_PS" vbProcedure="true"/>
    <definedName function="true" hidden="false" name="H_PX" vbProcedure="true"/>
    <definedName function="true" hidden="false" name="H_TX" vbProcedure="true"/>
    <definedName function="true" hidden="false" name="H_PRHO" vbProcedure="true"/>
    <definedName function="true" hidden="false" name="VV_P" vbProcedure="true"/>
    <definedName function="true" hidden="false" name="VL_P" vbProcedure="true"/>
    <definedName function="true" hidden="false" name="VV_T" vbProcedure="true"/>
    <definedName function="true" hidden="false" name="VL_T" vbProcedure="true"/>
    <definedName function="true" hidden="false" name="V_PT" vbProcedure="true"/>
    <definedName function="true" hidden="false" name="V_PH" vbProcedure="true"/>
    <definedName function="true" hidden="false" name="V_PS" vbProcedure="true"/>
    <definedName function="true" hidden="false" name="RHO_PS" vbProcedure="true"/>
    <definedName function="true" hidden="false" name="UV_P" vbProcedure="true"/>
    <definedName function="true" hidden="false" name="UL_P" vbProcedure="true"/>
    <definedName function="true" hidden="false" name="UV_T" vbProcedure="true"/>
    <definedName function="true" hidden="false" name="UL_T" vbProcedure="true"/>
    <definedName function="true" hidden="false" name="U_PT" vbProcedure="true"/>
    <definedName function="true" hidden="false" name="U_PH" vbProcedure="true"/>
    <definedName function="true" hidden="false" name="U_PS" vbProcedure="true"/>
    <definedName function="true" hidden="false" name="CPV_P" vbProcedure="true"/>
    <definedName function="true" hidden="false" name="CPL_P" vbProcedure="true"/>
    <definedName function="true" hidden="false" name="CPV_T" vbProcedure="true"/>
    <definedName function="true" hidden="false" name="CPL_T" vbProcedure="true"/>
    <definedName function="true" hidden="false" name="CP_PS" vbProcedure="true"/>
    <definedName function="true" hidden="false" name="CVV_P" vbProcedure="true"/>
    <definedName function="true" hidden="false" name="CVL_P" vbProcedure="true"/>
    <definedName function="true" hidden="false" name="CVV_T" vbProcedure="true"/>
    <definedName function="true" hidden="false" name="CVL_T" vbProcedure="true"/>
    <definedName function="true" hidden="false" name="CV_PT" vbProcedure="true"/>
    <definedName function="true" hidden="false" name="CV_PH" vbProcedure="true"/>
    <definedName function="true" hidden="false" name="CV_PS" vbProcedure="true"/>
    <definedName function="true" hidden="false" name="WV_P" vbProcedure="true"/>
    <definedName function="true" hidden="false" name="WL_P" vbProcedure="true"/>
    <definedName function="true" hidden="false" name="WV_T" vbProcedure="true"/>
    <definedName function="true" hidden="false" name="WL_T" vbProcedure="true"/>
    <definedName function="true" hidden="false" name="W_PS" vbProcedure="true"/>
    <definedName function="true" hidden="false" name="MY_PT" vbProcedure="true"/>
    <definedName function="true" hidden="false" name="MY_PH" vbProcedure="true"/>
    <definedName function="true" hidden="false" name="MY_PS" vbProcedure="true"/>
    <definedName function="true" hidden="false" name="PR_PT" vbProcedure="true"/>
    <definedName function="true" hidden="false" name="PR_PH" vbProcedure="true"/>
    <definedName function="true" hidden="false" name="TCL_P" vbProcedure="true"/>
    <definedName function="true" hidden="false" name="TCV_P" vbProcedure="true"/>
    <definedName function="true" hidden="false" name="TCL_T" vbProcedure="true"/>
    <definedName function="true" hidden="false" name="TCV_T" vbProcedure="true"/>
    <definedName function="true" hidden="false" name="TC_PT" vbProcedure="true"/>
    <definedName function="true" hidden="false" name="TC_PH" vbProcedure="true"/>
    <definedName function="true" hidden="false" name="TC_HS" vbProcedure="true"/>
    <definedName function="true" hidden="false" name="ST_T" vbProcedure="true"/>
    <definedName function="true" hidden="false" name="ST_P" vbProcedure="true"/>
    <definedName function="true" hidden="false" name="X_PS" vbProcedure="true"/>
    <definedName function="true" hidden="false" name="VX_PH" vbProcedure="true"/>
    <definedName function="true" hidden="false" name="VX_PS" vbProcedure="true"/>
  </definedNames>
  <calcPr iterateCount="100" refMode="A1" iterate="false" iterateDelta="0.0001"/>
  <extLst>
    <ext xmlns:loext="http://schemas.libreoffice.org/" uri="{7626C862-2A13-11E5-B345-FEFF819CDC9F}">
      <loext:extCalcPr stringRefSyntax="ExcelA1"/>
    </ext>
  </extLst>
</workbook>
</file>

<file path=xl/sharedStrings.xml><?xml version="1.0" encoding="utf-8"?>
<sst xmlns="http://schemas.openxmlformats.org/spreadsheetml/2006/main" count="523" uniqueCount="250">
  <si>
    <t xml:space="preserve">X Steam Tables</t>
  </si>
  <si>
    <t xml:space="preserve">Excel macros, IF-97 Steam tables. </t>
  </si>
  <si>
    <t xml:space="preserve">The excel scripts are stored inside this workbook. A complete list of functions for use is available on the "Calling functions" worksheet</t>
  </si>
  <si>
    <t xml:space="preserve">By: Magnus Holmgren</t>
  </si>
  <si>
    <t xml:space="preserve">The steam tables are free and provided as is. We take no responsibilities for any errors in the code or damage thereby.</t>
  </si>
  <si>
    <t xml:space="preserve">www.x-eng.com</t>
  </si>
  <si>
    <t xml:space="preserve">OBS: This workbook uses macros. Set security options in Tools:Macro:Security… to enable macros.</t>
  </si>
  <si>
    <t xml:space="preserve">Saturation properties given temperature</t>
  </si>
  <si>
    <t xml:space="preserve">Saturation properties given pressure</t>
  </si>
  <si>
    <t xml:space="preserve">Temperature</t>
  </si>
  <si>
    <t xml:space="preserve">°C</t>
  </si>
  <si>
    <t xml:space="preserve">Pressure</t>
  </si>
  <si>
    <t xml:space="preserve">kPa</t>
  </si>
  <si>
    <t xml:space="preserve">Saturation pressure</t>
  </si>
  <si>
    <t xml:space="preserve">Saturation temperature</t>
  </si>
  <si>
    <t xml:space="preserve">Liquid</t>
  </si>
  <si>
    <t xml:space="preserve">Enthalpy</t>
  </si>
  <si>
    <t xml:space="preserve">kJ/kg</t>
  </si>
  <si>
    <t xml:space="preserve">Density</t>
  </si>
  <si>
    <t xml:space="preserve">kg/m3</t>
  </si>
  <si>
    <t xml:space="preserve">Entropy</t>
  </si>
  <si>
    <t xml:space="preserve">kJ/kgK</t>
  </si>
  <si>
    <t xml:space="preserve">Vapour</t>
  </si>
  <si>
    <t xml:space="preserve">Vapour enthalpy</t>
  </si>
  <si>
    <t xml:space="preserve">Vapour density</t>
  </si>
  <si>
    <t xml:space="preserve">Vapour Entropy</t>
  </si>
  <si>
    <t xml:space="preserve">vapour Entropy</t>
  </si>
  <si>
    <t xml:space="preserve">Evaporation energy</t>
  </si>
  <si>
    <t xml:space="preserve">Properties given pressure and temperature</t>
  </si>
  <si>
    <t xml:space="preserve">Properties given pressure and enthalpy</t>
  </si>
  <si>
    <t xml:space="preserve">Vapour fraction</t>
  </si>
  <si>
    <t xml:space="preserve">%</t>
  </si>
  <si>
    <t xml:space="preserve">IF97 Region</t>
  </si>
  <si>
    <t xml:space="preserve">Phase</t>
  </si>
  <si>
    <t xml:space="preserve">Isobaric heat capacity </t>
  </si>
  <si>
    <t xml:space="preserve">Speed of sound</t>
  </si>
  <si>
    <t xml:space="preserve">m/s</t>
  </si>
  <si>
    <t xml:space="preserve">v2.5</t>
  </si>
  <si>
    <t xml:space="preserve">http://www.x-eng.com</t>
  </si>
  <si>
    <t xml:space="preserve">Steam tables by Magnus Holmgren according to IAPWS IF-97 </t>
  </si>
  <si>
    <t xml:space="preserve">The excel scripts are stored inside this workbook. (No extra files are needed. Start from a copy of this workbook. This page can be removed)</t>
  </si>
  <si>
    <t xml:space="preserve">For error-reporting, feedback, other units etc. contact:</t>
  </si>
  <si>
    <t xml:space="preserve">magnus@x-eng.com</t>
  </si>
  <si>
    <t xml:space="preserve"> Tsat_p</t>
  </si>
  <si>
    <t xml:space="preserve"> T_ph</t>
  </si>
  <si>
    <t xml:space="preserve">Temperture as a function of pressure and enthalpy</t>
  </si>
  <si>
    <t xml:space="preserve"> T_ps</t>
  </si>
  <si>
    <t xml:space="preserve">kJ/(kg K)</t>
  </si>
  <si>
    <t xml:space="preserve">Temperture as a function of pressure and entropy</t>
  </si>
  <si>
    <t xml:space="preserve"> T_hs</t>
  </si>
  <si>
    <t xml:space="preserve">Temperture as a function of enthalpy and entropy</t>
  </si>
  <si>
    <t xml:space="preserve"> psat_T</t>
  </si>
  <si>
    <t xml:space="preserve">bar</t>
  </si>
  <si>
    <t xml:space="preserve"> p_hs</t>
  </si>
  <si>
    <t xml:space="preserve">Pressure as a function of h and s. </t>
  </si>
  <si>
    <t xml:space="preserve"> p_hrho</t>
  </si>
  <si>
    <t xml:space="preserve">Pressure as a function of h and rho (density). Very unaccurate for solid water region since it's almost incompressible!</t>
  </si>
  <si>
    <t xml:space="preserve"> hV_p</t>
  </si>
  <si>
    <t xml:space="preserve">Saturated vapour enthalpy</t>
  </si>
  <si>
    <t xml:space="preserve"> hL_p</t>
  </si>
  <si>
    <t xml:space="preserve">Saturated liquid enthalpy</t>
  </si>
  <si>
    <t xml:space="preserve"> hV_T</t>
  </si>
  <si>
    <t xml:space="preserve"> hL_T</t>
  </si>
  <si>
    <t xml:space="preserve"> h_pT</t>
  </si>
  <si>
    <t xml:space="preserve">Entalpy as a function of pressure and temperature.</t>
  </si>
  <si>
    <t xml:space="preserve"> h_ps</t>
  </si>
  <si>
    <t xml:space="preserve">Entalpy as a function of pressure and entropy.</t>
  </si>
  <si>
    <t xml:space="preserve"> h_px</t>
  </si>
  <si>
    <t xml:space="preserve">Entalpy as a function of pressure and vapour fraction</t>
  </si>
  <si>
    <t xml:space="preserve"> h_Tx</t>
  </si>
  <si>
    <t xml:space="preserve">Entalpy as a function of temperature and vapour fraction</t>
  </si>
  <si>
    <t xml:space="preserve"> h_prho</t>
  </si>
  <si>
    <t xml:space="preserve">Entalpy as a function of pressure and density. Observe for low temperatures (liquid) this equation has 2 solutions. (Not valid!!)</t>
  </si>
  <si>
    <t xml:space="preserve">Specific volume</t>
  </si>
  <si>
    <t xml:space="preserve"> vV_p</t>
  </si>
  <si>
    <t xml:space="preserve">m3/kg</t>
  </si>
  <si>
    <t xml:space="preserve">Saturated vapour volume</t>
  </si>
  <si>
    <t xml:space="preserve"> vL_p</t>
  </si>
  <si>
    <t xml:space="preserve">Saturated liquid volume</t>
  </si>
  <si>
    <t xml:space="preserve"> vV_T</t>
  </si>
  <si>
    <t xml:space="preserve"> vL_T</t>
  </si>
  <si>
    <t xml:space="preserve"> v_pT</t>
  </si>
  <si>
    <t xml:space="preserve">Specific volume as a function of pressure and temperature.</t>
  </si>
  <si>
    <t xml:space="preserve"> v_ph</t>
  </si>
  <si>
    <t xml:space="preserve">Specific volume as a function of pressure and enthalpy</t>
  </si>
  <si>
    <t xml:space="preserve"> v_ps</t>
  </si>
  <si>
    <t xml:space="preserve">Specific volume as a function of pressure and entropy.</t>
  </si>
  <si>
    <t xml:space="preserve"> rhoV_p</t>
  </si>
  <si>
    <t xml:space="preserve">Saturated vapour density</t>
  </si>
  <si>
    <t xml:space="preserve"> rhoL_p</t>
  </si>
  <si>
    <t xml:space="preserve">Saturated liquid density</t>
  </si>
  <si>
    <t xml:space="preserve"> rhoV_T</t>
  </si>
  <si>
    <t xml:space="preserve"> rhoL_T</t>
  </si>
  <si>
    <t xml:space="preserve"> rho_pT</t>
  </si>
  <si>
    <t xml:space="preserve">Density as a function of pressure and temperature.</t>
  </si>
  <si>
    <t xml:space="preserve"> rho_ph</t>
  </si>
  <si>
    <t xml:space="preserve">Density as a function of pressure and enthalpy</t>
  </si>
  <si>
    <t xml:space="preserve"> rho_ps</t>
  </si>
  <si>
    <t xml:space="preserve">Density as a function of pressure and entropy.</t>
  </si>
  <si>
    <t xml:space="preserve">Specific entropy </t>
  </si>
  <si>
    <t xml:space="preserve"> sV_p</t>
  </si>
  <si>
    <t xml:space="preserve">Saturated vapour entropy</t>
  </si>
  <si>
    <t xml:space="preserve"> sL_p</t>
  </si>
  <si>
    <t xml:space="preserve">Saturated liquid entropy</t>
  </si>
  <si>
    <t xml:space="preserve"> sV_T</t>
  </si>
  <si>
    <t xml:space="preserve"> sL_T</t>
  </si>
  <si>
    <t xml:space="preserve"> s_pT</t>
  </si>
  <si>
    <t xml:space="preserve">Specific entropy as a function of pressure and temperature (Returns saturated vapour entalpy if mixture.)</t>
  </si>
  <si>
    <t xml:space="preserve"> s_ph</t>
  </si>
  <si>
    <t xml:space="preserve">Specific entropy as a function of pressure and enthalpy</t>
  </si>
  <si>
    <t xml:space="preserve">Specific internal energy </t>
  </si>
  <si>
    <t xml:space="preserve"> uV_p</t>
  </si>
  <si>
    <t xml:space="preserve">Saturated vapour internal energy</t>
  </si>
  <si>
    <t xml:space="preserve"> uL_p</t>
  </si>
  <si>
    <t xml:space="preserve">Saturated liquid internal energy</t>
  </si>
  <si>
    <t xml:space="preserve"> uV_T</t>
  </si>
  <si>
    <t xml:space="preserve"> uL_T</t>
  </si>
  <si>
    <t xml:space="preserve"> u_pT</t>
  </si>
  <si>
    <t xml:space="preserve">Specific internal energy as a function of pressure and temperature.</t>
  </si>
  <si>
    <t xml:space="preserve"> u_ph</t>
  </si>
  <si>
    <t xml:space="preserve">Specific internal energy as a function of pressure and enthalpy</t>
  </si>
  <si>
    <t xml:space="preserve"> u_ps</t>
  </si>
  <si>
    <t xml:space="preserve">Specific internal energy as a function of pressure and entropy.</t>
  </si>
  <si>
    <t xml:space="preserve">Specific isobaric heat capacity </t>
  </si>
  <si>
    <t xml:space="preserve"> CpV_p</t>
  </si>
  <si>
    <t xml:space="preserve">kJ/(kg°C)</t>
  </si>
  <si>
    <t xml:space="preserve">Saturated vapour heat capacity </t>
  </si>
  <si>
    <t xml:space="preserve"> CpL_p</t>
  </si>
  <si>
    <t xml:space="preserve">Saturated liquid heat capacity </t>
  </si>
  <si>
    <t xml:space="preserve"> CpV_T</t>
  </si>
  <si>
    <t xml:space="preserve"> CpL_T</t>
  </si>
  <si>
    <t xml:space="preserve"> Cp_pT</t>
  </si>
  <si>
    <t xml:space="preserve">Specific isobaric heat capacity as a function of pressure and temperature.</t>
  </si>
  <si>
    <t xml:space="preserve"> Cp_ph</t>
  </si>
  <si>
    <t xml:space="preserve">Specific isobaric heat capacity as a function of pressure and enthalpy</t>
  </si>
  <si>
    <t xml:space="preserve"> Cp_ps</t>
  </si>
  <si>
    <t xml:space="preserve">Specific isobaric heat capacity as a function of pressure and entropy.</t>
  </si>
  <si>
    <t xml:space="preserve">Specific isochoric heat capacity </t>
  </si>
  <si>
    <t xml:space="preserve"> CvV_p</t>
  </si>
  <si>
    <t xml:space="preserve">Saturated vapour isochoric heat capacity</t>
  </si>
  <si>
    <t xml:space="preserve"> CvL_p</t>
  </si>
  <si>
    <t xml:space="preserve">Saturated liquid isochoric heat capacity</t>
  </si>
  <si>
    <t xml:space="preserve"> CvV_T</t>
  </si>
  <si>
    <t xml:space="preserve"> CvL_T</t>
  </si>
  <si>
    <t xml:space="preserve"> Cv_pT</t>
  </si>
  <si>
    <t xml:space="preserve">Specific isochoric heat capacity as a function of pressure and temperature.</t>
  </si>
  <si>
    <t xml:space="preserve"> Cv_ph</t>
  </si>
  <si>
    <t xml:space="preserve">Specific isochoric heat capacity as a function of pressure and enthalpy</t>
  </si>
  <si>
    <t xml:space="preserve"> Cv_ps</t>
  </si>
  <si>
    <t xml:space="preserve">Specific isochoric heat capacity as a function of pressure and entropy.</t>
  </si>
  <si>
    <t xml:space="preserve">Speed of sound </t>
  </si>
  <si>
    <t xml:space="preserve"> wV_p</t>
  </si>
  <si>
    <t xml:space="preserve">Saturated vapour speed of sound</t>
  </si>
  <si>
    <t xml:space="preserve"> wL_p</t>
  </si>
  <si>
    <t xml:space="preserve">Saturated liquid speed of sound</t>
  </si>
  <si>
    <t xml:space="preserve"> wV_T</t>
  </si>
  <si>
    <t xml:space="preserve"> wL_T</t>
  </si>
  <si>
    <t xml:space="preserve"> w_pT</t>
  </si>
  <si>
    <t xml:space="preserve">Speed of sound as a function of pressure and temperature.</t>
  </si>
  <si>
    <t xml:space="preserve"> w_ph</t>
  </si>
  <si>
    <t xml:space="preserve">Speed of sound as a function of pressure and enthalpy</t>
  </si>
  <si>
    <t xml:space="preserve"> w_ps</t>
  </si>
  <si>
    <t xml:space="preserve">Speed of sound as a function of pressure and entropy.</t>
  </si>
  <si>
    <t xml:space="preserve">Dynamic Viscosity</t>
  </si>
  <si>
    <t xml:space="preserve">Viscosity is not part of IAPWS Steam IF97. Equations from "Revised Release on the IAPWS Formulation 1985 for the Viscosity of Ordinary Water Substance", 2003 are used.</t>
  </si>
  <si>
    <t xml:space="preserve">Viscosity in the mixed region (4) is interpolated according to the density. This is not true since it will be two fases.</t>
  </si>
  <si>
    <t xml:space="preserve"> my_pT</t>
  </si>
  <si>
    <t xml:space="preserve">Pa s</t>
  </si>
  <si>
    <t xml:space="preserve">Viscosity as a function of pressure and temperature.</t>
  </si>
  <si>
    <t xml:space="preserve"> my_ph</t>
  </si>
  <si>
    <t xml:space="preserve">Viscosity as a function of pressure and enthalpy</t>
  </si>
  <si>
    <t xml:space="preserve"> my_ps</t>
  </si>
  <si>
    <t xml:space="preserve">Viscosity as a function of pressure and entropy.</t>
  </si>
  <si>
    <t xml:space="preserve">Prandtl</t>
  </si>
  <si>
    <t xml:space="preserve">Calcualted as Cp*my/tc</t>
  </si>
  <si>
    <t xml:space="preserve"> pr_pT</t>
  </si>
  <si>
    <t xml:space="preserve">-</t>
  </si>
  <si>
    <t xml:space="preserve"> pr_ph</t>
  </si>
  <si>
    <t xml:space="preserve">Thermal Conductivity</t>
  </si>
  <si>
    <t xml:space="preserve">Revised release on the IAPS Formulation 1985 for the Thermal Conductivity of ordinary water substance (IAPWS 1998)</t>
  </si>
  <si>
    <t xml:space="preserve"> tcL_p</t>
  </si>
  <si>
    <t xml:space="preserve">W/(m K)</t>
  </si>
  <si>
    <t xml:space="preserve">Saturated vapour thermal conductivity</t>
  </si>
  <si>
    <t xml:space="preserve"> tcV_p</t>
  </si>
  <si>
    <t xml:space="preserve">Saturated liquid thermal conductivity</t>
  </si>
  <si>
    <t xml:space="preserve"> tcL_T</t>
  </si>
  <si>
    <t xml:space="preserve"> tcV_T</t>
  </si>
  <si>
    <t xml:space="preserve"> tc_pT</t>
  </si>
  <si>
    <t xml:space="preserve">Thermal conductivity as a function of pressure and temperature.</t>
  </si>
  <si>
    <t xml:space="preserve"> tc_ph</t>
  </si>
  <si>
    <t xml:space="preserve">Thermal conductivity as a function of pressure and enthalpy</t>
  </si>
  <si>
    <t xml:space="preserve"> tc_hs</t>
  </si>
  <si>
    <t xml:space="preserve">Thermal conductivity as a function of enthalpy and entropy</t>
  </si>
  <si>
    <t xml:space="preserve">Surface Tension</t>
  </si>
  <si>
    <t xml:space="preserve">IAPWS Release on Surface Tension of Ordinary Water Substance, September 1994</t>
  </si>
  <si>
    <t xml:space="preserve"> st_T</t>
  </si>
  <si>
    <t xml:space="preserve">N/m</t>
  </si>
  <si>
    <t xml:space="preserve">Surface tension for two phase water/steam as a function of T</t>
  </si>
  <si>
    <t xml:space="preserve"> st_p</t>
  </si>
  <si>
    <t xml:space="preserve"> x_ph</t>
  </si>
  <si>
    <t xml:space="preserve">Vapour fraction as a function of pressure and enthalpy</t>
  </si>
  <si>
    <t xml:space="preserve"> x_ps</t>
  </si>
  <si>
    <t xml:space="preserve">Vapour fraction as a function of pressure and entropy.</t>
  </si>
  <si>
    <t xml:space="preserve">Vapour Volume Fraction</t>
  </si>
  <si>
    <t xml:space="preserve">Observe that vapour volume fraction is very sensitive. Vapour volume is about 1000 times greater than liquid volume and therfore vapour volume fraction</t>
  </si>
  <si>
    <t xml:space="preserve">gets close to the accurancy of steam IF-97</t>
  </si>
  <si>
    <t xml:space="preserve"> vx_ph</t>
  </si>
  <si>
    <t xml:space="preserve">Vapour volume fraction as a function of pressure and enthalpy</t>
  </si>
  <si>
    <t xml:space="preserve"> vx_ps</t>
  </si>
  <si>
    <t xml:space="preserve">Vapour volume fraction as a function of pressure and entropy.</t>
  </si>
  <si>
    <t xml:space="preserve">Version history</t>
  </si>
  <si>
    <t xml:space="preserve">News in V2.5</t>
  </si>
  <si>
    <t xml:space="preserve">* DLL distrubution for use in other applications</t>
  </si>
  <si>
    <t xml:space="preserve">* Freebasic translation</t>
  </si>
  <si>
    <t xml:space="preserve">* Fixed small error in Cv Region 5 p&gt;1000bar</t>
  </si>
  <si>
    <t xml:space="preserve">News in V2.4a</t>
  </si>
  <si>
    <t xml:space="preserve">* ToSIUnit for h_ps region 4. (No effect in SI unit version).</t>
  </si>
  <si>
    <t xml:space="preserve">News in V2.4</t>
  </si>
  <si>
    <t xml:space="preserve">* Functions by p,rho inplemented in matlab also.</t>
  </si>
  <si>
    <t xml:space="preserve">* Many missing ; in matlab causing printouts detected.</t>
  </si>
  <si>
    <t xml:space="preserve">* OpenOffice version introduced. (Fixed calculation differences in open office and excel)</t>
  </si>
  <si>
    <t xml:space="preserve">* Matlab error giving varaible undefined in some backwards solutions fixed.</t>
  </si>
  <si>
    <t xml:space="preserve">News in V2.3</t>
  </si>
  <si>
    <t xml:space="preserve">* Option Explicit, gives more efficient calculations.</t>
  </si>
  <si>
    <t xml:space="preserve">* Extensive testing</t>
  </si>
  <si>
    <t xml:space="preserve">* my_ph not defined in region 4.</t>
  </si>
  <si>
    <t xml:space="preserve">* Problems at region border for h4V_p to adress solver problems at the exact border.</t>
  </si>
  <si>
    <t xml:space="preserve">* Problem at fast border check in region_ph fixed.</t>
  </si>
  <si>
    <t xml:space="preserve">News in V2.2</t>
  </si>
  <si>
    <t xml:space="preserve">* Fixed error in Cp_ph</t>
  </si>
  <si>
    <t xml:space="preserve">* Function p_hrho added. (Very good for calcualting pressure when heating a volume with water/steam mixture.)</t>
  </si>
  <si>
    <t xml:space="preserve">* Fixed error in T_hs return no value for vet region bellow the water saturation line.</t>
  </si>
  <si>
    <t xml:space="preserve">* Prandtl number added</t>
  </si>
  <si>
    <t xml:space="preserve">News in V2.1</t>
  </si>
  <si>
    <t xml:space="preserve">* Calling function h_prho</t>
  </si>
  <si>
    <t xml:space="preserve">* Fixed problem with Cv reporting NaN in region 5.</t>
  </si>
  <si>
    <t xml:space="preserve">* Equivivalent to the Matlab version. (Downloadable from www.x-eng.com)</t>
  </si>
  <si>
    <t xml:space="preserve">News in V2</t>
  </si>
  <si>
    <t xml:space="preserve">* Calling functions of h and s added.</t>
  </si>
  <si>
    <t xml:space="preserve">* Thermal conductivity, Surface tension added</t>
  </si>
  <si>
    <t xml:space="preserve">* Calling functions h_px and h_tx added.</t>
  </si>
  <si>
    <t xml:space="preserve">* Cp, Cv and w undefined in the mixed region. (Before interpolation with the vapor fraction was used.)</t>
  </si>
  <si>
    <t xml:space="preserve">* A work sheet "Properties" for simple lookups added.</t>
  </si>
  <si>
    <t xml:space="preserve">p</t>
  </si>
  <si>
    <t xml:space="preserve">s</t>
  </si>
  <si>
    <t xml:space="preserve">T</t>
  </si>
  <si>
    <t xml:space="preserve">h</t>
  </si>
  <si>
    <t xml:space="preserve">rho</t>
  </si>
  <si>
    <t xml:space="preserve">x</t>
  </si>
  <si>
    <t xml:space="preserve">s(p, T)</t>
  </si>
</sst>
</file>

<file path=xl/styles.xml><?xml version="1.0" encoding="utf-8"?>
<styleSheet xmlns="http://schemas.openxmlformats.org/spreadsheetml/2006/main">
  <numFmts count="6">
    <numFmt numFmtId="164" formatCode="General"/>
    <numFmt numFmtId="165" formatCode="0.00"/>
    <numFmt numFmtId="166" formatCode="0.000"/>
    <numFmt numFmtId="167" formatCode="0.0"/>
    <numFmt numFmtId="168" formatCode="0.0000E+00"/>
    <numFmt numFmtId="169" formatCode="0.0000"/>
  </numFmts>
  <fonts count="16">
    <font>
      <sz val="11"/>
      <color rgb="FF000000"/>
      <name val="Calibri"/>
      <family val="2"/>
      <charset val="1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2"/>
      <charset val="1"/>
    </font>
    <font>
      <b val="true"/>
      <sz val="14"/>
      <name val="Arial"/>
      <family val="2"/>
      <charset val="1"/>
    </font>
    <font>
      <sz val="8"/>
      <name val="Arial"/>
      <family val="2"/>
      <charset val="1"/>
    </font>
    <font>
      <b val="true"/>
      <sz val="10"/>
      <name val="Arial"/>
      <family val="2"/>
      <charset val="1"/>
    </font>
    <font>
      <u val="single"/>
      <sz val="8"/>
      <color rgb="FF0000FF"/>
      <name val="Arial"/>
      <family val="2"/>
      <charset val="1"/>
    </font>
    <font>
      <u val="single"/>
      <sz val="10"/>
      <color rgb="FF0000FF"/>
      <name val="Arial"/>
      <family val="2"/>
      <charset val="1"/>
    </font>
    <font>
      <sz val="14"/>
      <name val="Arial"/>
      <family val="2"/>
      <charset val="1"/>
    </font>
    <font>
      <b val="true"/>
      <u val="single"/>
      <sz val="8"/>
      <color rgb="FF0000FF"/>
      <name val="Arial"/>
      <family val="2"/>
      <charset val="1"/>
    </font>
    <font>
      <b val="true"/>
      <sz val="8"/>
      <name val="Arial"/>
      <family val="2"/>
      <charset val="1"/>
    </font>
    <font>
      <b val="true"/>
      <i val="true"/>
      <sz val="12"/>
      <name val="Arial"/>
      <family val="2"/>
      <charset val="1"/>
    </font>
    <font>
      <i val="true"/>
      <sz val="10"/>
      <name val="Arial"/>
      <family val="2"/>
      <charset val="1"/>
    </font>
    <font>
      <b val="true"/>
      <i val="true"/>
      <sz val="10"/>
      <name val="Arial"/>
      <family val="2"/>
      <charset val="1"/>
    </font>
  </fonts>
  <fills count="4">
    <fill>
      <patternFill patternType="none"/>
    </fill>
    <fill>
      <patternFill patternType="gray125"/>
    </fill>
    <fill>
      <patternFill patternType="solid">
        <fgColor rgb="FFCCFFFF"/>
        <bgColor rgb="FFD8FFFF"/>
      </patternFill>
    </fill>
    <fill>
      <patternFill patternType="solid">
        <fgColor rgb="FFD8FFFF"/>
        <bgColor rgb="FFCCFFFF"/>
      </patternFill>
    </fill>
  </fills>
  <borders count="9">
    <border diagonalUp="false" diagonalDown="false">
      <left/>
      <right/>
      <top/>
      <bottom/>
      <diagonal/>
    </border>
    <border diagonalUp="false" diagonalDown="false">
      <left style="thin"/>
      <right/>
      <top style="thin"/>
      <bottom/>
      <diagonal/>
    </border>
    <border diagonalUp="false" diagonalDown="false">
      <left/>
      <right/>
      <top style="thin"/>
      <bottom/>
      <diagonal/>
    </border>
    <border diagonalUp="false" diagonalDown="false">
      <left/>
      <right style="thin"/>
      <top style="thin"/>
      <bottom/>
      <diagonal/>
    </border>
    <border diagonalUp="false" diagonalDown="false">
      <left style="thin"/>
      <right/>
      <top/>
      <bottom/>
      <diagonal/>
    </border>
    <border diagonalUp="false" diagonalDown="false">
      <left/>
      <right style="thin"/>
      <top/>
      <bottom/>
      <diagonal/>
    </border>
    <border diagonalUp="false" diagonalDown="false">
      <left style="thin"/>
      <right/>
      <top/>
      <bottom style="thin"/>
      <diagonal/>
    </border>
    <border diagonalUp="false" diagonalDown="false">
      <left/>
      <right/>
      <top/>
      <bottom style="thin"/>
      <diagonal/>
    </border>
    <border diagonalUp="false" diagonalDown="false">
      <left/>
      <right style="thin"/>
      <top/>
      <bottom style="thin"/>
      <diagonal/>
    </border>
  </borders>
  <cellStyleXfs count="22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  <xf numFmtId="164" fontId="9" fillId="0" borderId="0" applyFont="true" applyBorder="false" applyAlignment="true" applyProtection="false">
      <alignment horizontal="general" vertical="bottom" textRotation="0" wrapText="false" indent="0" shrinkToFit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</cellStyleXfs>
  <cellXfs count="38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0" xfId="21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5" fillId="0" borderId="0" xfId="21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0" xfId="21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6" fillId="0" borderId="0" xfId="21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7" fillId="0" borderId="0" xfId="21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8" fillId="0" borderId="0" xfId="2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9" fillId="0" borderId="0" xfId="20" applyFont="fals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7" fillId="0" borderId="0" xfId="21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0" xfId="21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4" fillId="2" borderId="1" xfId="21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5" fontId="7" fillId="3" borderId="2" xfId="21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4" fillId="2" borderId="3" xfId="21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6" fontId="7" fillId="3" borderId="2" xfId="21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4" xfId="21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6" fontId="4" fillId="0" borderId="0" xfId="21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5" xfId="21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5" fontId="4" fillId="0" borderId="0" xfId="21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7" fillId="0" borderId="4" xfId="21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7" fontId="4" fillId="0" borderId="0" xfId="21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6" xfId="21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7" fontId="4" fillId="0" borderId="7" xfId="21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8" xfId="21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4" fillId="2" borderId="4" xfId="21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5" fontId="7" fillId="3" borderId="0" xfId="21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4" fillId="2" borderId="5" xfId="21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7" fillId="0" borderId="0" xfId="21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4" fillId="0" borderId="7" xfId="21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10" fillId="0" borderId="0" xfId="21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11" fillId="0" borderId="0" xfId="2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12" fillId="0" borderId="0" xfId="21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13" fillId="0" borderId="0" xfId="21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14" fillId="0" borderId="0" xfId="21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15" fillId="0" borderId="0" xfId="21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8" fontId="7" fillId="0" borderId="0" xfId="21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0" xfId="21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14" fillId="0" borderId="0" xfId="21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9" fontId="7" fillId="0" borderId="0" xfId="21" applyFont="true" applyBorder="false" applyAlignment="false" applyProtection="false">
      <alignment horizontal="general" vertical="bottom" textRotation="0" wrapText="false" indent="0" shrinkToFit="false"/>
      <protection locked="true" hidden="false"/>
    </xf>
  </cellXfs>
  <cellStyles count="8">
    <cellStyle name="Normal" xfId="0" builtinId="0" customBuiltin="false"/>
    <cellStyle name="Comma" xfId="15" builtinId="3" customBuiltin="false"/>
    <cellStyle name="Comma [0]" xfId="16" builtinId="6" customBuiltin="false"/>
    <cellStyle name="Currency" xfId="17" builtinId="4" customBuiltin="false"/>
    <cellStyle name="Currency [0]" xfId="18" builtinId="7" customBuiltin="false"/>
    <cellStyle name="Percent" xfId="19" builtinId="5" customBuiltin="false"/>
    <cellStyle name="Excel Built-in Explanatory Text" xfId="21" builtinId="53" customBuiltin="true"/>
    <cellStyle name="*unknown*" xfId="20" builtinId="8" customBuiltin="false"/>
  </cellStyles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C0C0C0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CCCCFF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D8FFFF"/>
      <rgbColor rgb="FFCCFFCC"/>
      <rgbColor rgb="FFFFFF99"/>
      <rgbColor rgb="FF99CCFF"/>
      <rgbColor rgb="FFFF99CC"/>
      <rgbColor rgb="FFCC99FF"/>
      <rgbColor rgb="FFFFCC99"/>
      <rgbColor rgb="FF3366FF"/>
      <rgbColor rgb="FF33CCCC"/>
      <rgbColor rgb="FF99CC00"/>
      <rgbColor rgb="FFFFCC00"/>
      <rgbColor rgb="FFFF9900"/>
      <rgbColor rgb="FFFF6600"/>
      <rgbColor rgb="FF666699"/>
      <rgbColor rgb="FF969696"/>
      <rgbColor rgb="FF003366"/>
      <rgbColor rgb="FF339966"/>
      <rgbColor rgb="FF003300"/>
      <rgbColor rgb="FF333300"/>
      <rgbColor rgb="FF993300"/>
      <rgbColor rgb="FF993366"/>
      <rgbColor rgb="FF333399"/>
      <rgbColor rgb="FF333333"/>
    </indexedColors>
  </colors>
</styleSheet>
</file>

<file path=xl/_rels/workbook.xml.rels><?xml version="1.0" encoding="UTF-8"?>
<Relationships xmlns="http://schemas.openxmlformats.org/package/2006/relationships"><Relationship Id="rId1" Type="http://schemas.microsoft.com/office/2006/relationships/vbaProject" Target="vbaProject.bin"/><Relationship Id="rId2" Type="http://schemas.openxmlformats.org/officeDocument/2006/relationships/styles" Target="styles.xml"/><Relationship Id="rId3" Type="http://schemas.openxmlformats.org/officeDocument/2006/relationships/worksheet" Target="worksheets/sheet1.xml"/><Relationship Id="rId4" Type="http://schemas.openxmlformats.org/officeDocument/2006/relationships/worksheet" Target="worksheets/sheet2.xml"/><Relationship Id="rId5" Type="http://schemas.openxmlformats.org/officeDocument/2006/relationships/worksheet" Target="worksheets/sheet3.xml"/><Relationship Id="rId6" Type="http://schemas.openxmlformats.org/officeDocument/2006/relationships/worksheet" Target="worksheets/sheet4.xml"/><Relationship Id="rId7" Type="http://schemas.openxmlformats.org/officeDocument/2006/relationships/sharedStrings" Target="sharedStrings.xml"/>
</Relationships>
</file>

<file path=xl/worksheets/_rels/sheet1.xml.rels><?xml version="1.0" encoding="UTF-8"?>
<Relationships xmlns="http://schemas.openxmlformats.org/package/2006/relationships"><Relationship Id="rId1" Type="http://schemas.openxmlformats.org/officeDocument/2006/relationships/hyperlink" Target="http://www.x-eng.com/" TargetMode="External"/>
</Relationships>
</file>

<file path=xl/worksheets/_rels/sheet2.xml.rels><?xml version="1.0" encoding="UTF-8"?>
<Relationships xmlns="http://schemas.openxmlformats.org/package/2006/relationships"><Relationship Id="rId1" Type="http://schemas.openxmlformats.org/officeDocument/2006/relationships/hyperlink" Target="http://www.x-eng.com/" TargetMode="External"/><Relationship Id="rId2" Type="http://schemas.openxmlformats.org/officeDocument/2006/relationships/hyperlink" Target="mailto:magnus@x-eng.com" TargetMode="External"/>
</Relationships>
</file>

<file path=xl/worksheets/sheet1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J29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H40" activeCellId="1" sqref="A41:B46 H40"/>
    </sheetView>
  </sheetViews>
  <sheetFormatPr defaultRowHeight="12.75" zeroHeight="false" outlineLevelRow="0" outlineLevelCol="0"/>
  <cols>
    <col collapsed="false" customWidth="true" hidden="false" outlineLevel="0" max="1" min="1" style="1" width="2.57"/>
    <col collapsed="false" customWidth="true" hidden="false" outlineLevel="0" max="2" min="2" style="1" width="20.98"/>
    <col collapsed="false" customWidth="true" hidden="false" outlineLevel="0" max="4" min="3" style="1" width="9.13"/>
    <col collapsed="false" customWidth="true" hidden="false" outlineLevel="0" max="5" min="5" style="1" width="4.71"/>
    <col collapsed="false" customWidth="true" hidden="false" outlineLevel="0" max="6" min="6" style="1" width="20.71"/>
    <col collapsed="false" customWidth="true" hidden="false" outlineLevel="0" max="256" min="7" style="1" width="9.13"/>
    <col collapsed="false" customWidth="true" hidden="false" outlineLevel="0" max="257" min="257" style="1" width="2.57"/>
    <col collapsed="false" customWidth="true" hidden="false" outlineLevel="0" max="258" min="258" style="1" width="20.98"/>
    <col collapsed="false" customWidth="true" hidden="false" outlineLevel="0" max="260" min="259" style="1" width="9.13"/>
    <col collapsed="false" customWidth="true" hidden="false" outlineLevel="0" max="261" min="261" style="1" width="4.71"/>
    <col collapsed="false" customWidth="true" hidden="false" outlineLevel="0" max="262" min="262" style="1" width="20.71"/>
    <col collapsed="false" customWidth="true" hidden="false" outlineLevel="0" max="512" min="263" style="1" width="9.13"/>
    <col collapsed="false" customWidth="true" hidden="false" outlineLevel="0" max="513" min="513" style="1" width="2.57"/>
    <col collapsed="false" customWidth="true" hidden="false" outlineLevel="0" max="514" min="514" style="1" width="20.98"/>
    <col collapsed="false" customWidth="true" hidden="false" outlineLevel="0" max="516" min="515" style="1" width="9.13"/>
    <col collapsed="false" customWidth="true" hidden="false" outlineLevel="0" max="517" min="517" style="1" width="4.71"/>
    <col collapsed="false" customWidth="true" hidden="false" outlineLevel="0" max="518" min="518" style="1" width="20.71"/>
    <col collapsed="false" customWidth="true" hidden="false" outlineLevel="0" max="768" min="519" style="1" width="9.13"/>
    <col collapsed="false" customWidth="true" hidden="false" outlineLevel="0" max="769" min="769" style="1" width="2.57"/>
    <col collapsed="false" customWidth="true" hidden="false" outlineLevel="0" max="770" min="770" style="1" width="20.98"/>
    <col collapsed="false" customWidth="true" hidden="false" outlineLevel="0" max="772" min="771" style="1" width="9.13"/>
    <col collapsed="false" customWidth="true" hidden="false" outlineLevel="0" max="773" min="773" style="1" width="4.71"/>
    <col collapsed="false" customWidth="true" hidden="false" outlineLevel="0" max="774" min="774" style="1" width="20.71"/>
    <col collapsed="false" customWidth="true" hidden="false" outlineLevel="0" max="1025" min="775" style="1" width="9.13"/>
  </cols>
  <sheetData>
    <row r="1" customFormat="false" ht="18" hidden="false" customHeight="false" outlineLevel="0" collapsed="false">
      <c r="B1" s="2" t="s">
        <v>0</v>
      </c>
    </row>
    <row r="2" s="3" customFormat="true" ht="12.75" hidden="false" customHeight="false" outlineLevel="0" collapsed="false">
      <c r="B2" s="4" t="s">
        <v>1</v>
      </c>
      <c r="D2" s="4" t="s">
        <v>2</v>
      </c>
    </row>
    <row r="3" s="3" customFormat="true" ht="12.75" hidden="false" customHeight="false" outlineLevel="0" collapsed="false">
      <c r="B3" s="4" t="s">
        <v>3</v>
      </c>
      <c r="D3" s="4" t="s">
        <v>4</v>
      </c>
      <c r="H3" s="5"/>
      <c r="I3" s="5"/>
    </row>
    <row r="4" customFormat="false" ht="12.75" hidden="false" customHeight="false" outlineLevel="0" collapsed="false">
      <c r="B4" s="6" t="s">
        <v>5</v>
      </c>
      <c r="D4" s="4" t="s">
        <v>6</v>
      </c>
      <c r="H4" s="5"/>
      <c r="I4" s="5"/>
      <c r="J4" s="3"/>
    </row>
    <row r="5" customFormat="false" ht="12.75" hidden="false" customHeight="false" outlineLevel="0" collapsed="false">
      <c r="B5" s="7"/>
      <c r="H5" s="5"/>
      <c r="I5" s="5"/>
      <c r="J5" s="3"/>
    </row>
    <row r="6" customFormat="false" ht="12.75" hidden="false" customHeight="false" outlineLevel="0" collapsed="false">
      <c r="B6" s="8" t="s">
        <v>7</v>
      </c>
      <c r="C6" s="9"/>
      <c r="D6" s="9"/>
      <c r="E6" s="9"/>
      <c r="F6" s="8" t="s">
        <v>8</v>
      </c>
      <c r="G6" s="9"/>
      <c r="H6" s="9"/>
    </row>
    <row r="7" customFormat="false" ht="12.75" hidden="false" customHeight="false" outlineLevel="0" collapsed="false">
      <c r="A7" s="9"/>
      <c r="B7" s="10" t="s">
        <v>9</v>
      </c>
      <c r="C7" s="11" t="n">
        <v>100</v>
      </c>
      <c r="D7" s="12" t="s">
        <v>10</v>
      </c>
      <c r="E7" s="9"/>
      <c r="F7" s="10" t="s">
        <v>11</v>
      </c>
      <c r="G7" s="13" t="n">
        <v>12.57</v>
      </c>
      <c r="H7" s="12" t="s">
        <v>12</v>
      </c>
      <c r="I7" s="9"/>
    </row>
    <row r="8" customFormat="false" ht="12.75" hidden="false" customHeight="false" outlineLevel="0" collapsed="false">
      <c r="A8" s="9"/>
      <c r="B8" s="14" t="s">
        <v>13</v>
      </c>
      <c r="C8" s="15" t="n">
        <f aca="false">PSAT_T(C7)</f>
        <v>101.41797792131</v>
      </c>
      <c r="D8" s="16" t="s">
        <v>12</v>
      </c>
      <c r="E8" s="9"/>
      <c r="F8" s="14" t="s">
        <v>14</v>
      </c>
      <c r="G8" s="17" t="n">
        <f aca="false">TSAT_P(G7)</f>
        <v>50.3541843032366</v>
      </c>
      <c r="H8" s="16" t="s">
        <v>10</v>
      </c>
      <c r="I8" s="9"/>
    </row>
    <row r="9" customFormat="false" ht="12.75" hidden="false" customHeight="false" outlineLevel="0" collapsed="false">
      <c r="A9" s="9"/>
      <c r="B9" s="18" t="s">
        <v>15</v>
      </c>
      <c r="C9" s="9"/>
      <c r="D9" s="16"/>
      <c r="F9" s="18" t="s">
        <v>15</v>
      </c>
      <c r="G9" s="9"/>
      <c r="H9" s="16"/>
      <c r="I9" s="9"/>
    </row>
    <row r="10" customFormat="false" ht="12.75" hidden="false" customHeight="false" outlineLevel="0" collapsed="false">
      <c r="A10" s="9"/>
      <c r="B10" s="14" t="s">
        <v>16</v>
      </c>
      <c r="C10" s="19" t="n">
        <f aca="false">HL_T(C7)</f>
        <v>419.099154997703</v>
      </c>
      <c r="D10" s="16" t="s">
        <v>17</v>
      </c>
      <c r="E10" s="9"/>
      <c r="F10" s="14" t="s">
        <v>16</v>
      </c>
      <c r="G10" s="19" t="n">
        <f aca="false">HL_P(G7)</f>
        <v>210.816807734016</v>
      </c>
      <c r="H10" s="16" t="s">
        <v>17</v>
      </c>
      <c r="I10" s="9"/>
    </row>
    <row r="11" customFormat="false" ht="12.75" hidden="false" customHeight="false" outlineLevel="0" collapsed="false">
      <c r="A11" s="9"/>
      <c r="B11" s="14" t="s">
        <v>18</v>
      </c>
      <c r="C11" s="17" t="n">
        <f aca="false">RHOL_T(C7)</f>
        <v>958.35427728589</v>
      </c>
      <c r="D11" s="16" t="s">
        <v>19</v>
      </c>
      <c r="E11" s="9"/>
      <c r="F11" s="14" t="s">
        <v>18</v>
      </c>
      <c r="G11" s="17" t="n">
        <f aca="false">RHOL_P(G7)</f>
        <v>987.848390443843</v>
      </c>
      <c r="H11" s="16" t="s">
        <v>19</v>
      </c>
      <c r="I11" s="9"/>
    </row>
    <row r="12" customFormat="false" ht="12.75" hidden="false" customHeight="false" outlineLevel="0" collapsed="false">
      <c r="A12" s="9"/>
      <c r="B12" s="14" t="s">
        <v>20</v>
      </c>
      <c r="C12" s="17" t="n">
        <f aca="false">SL_T(C7)</f>
        <v>1.30701432784134</v>
      </c>
      <c r="D12" s="16" t="s">
        <v>21</v>
      </c>
      <c r="E12" s="9"/>
      <c r="F12" s="14" t="s">
        <v>20</v>
      </c>
      <c r="G12" s="17" t="n">
        <f aca="false">SL_P(G7)</f>
        <v>0.708372506696844</v>
      </c>
      <c r="H12" s="16" t="s">
        <v>21</v>
      </c>
      <c r="I12" s="9"/>
    </row>
    <row r="13" customFormat="false" ht="12.75" hidden="false" customHeight="false" outlineLevel="0" collapsed="false">
      <c r="A13" s="9"/>
      <c r="B13" s="18" t="s">
        <v>22</v>
      </c>
      <c r="C13" s="9"/>
      <c r="D13" s="16"/>
      <c r="F13" s="18" t="s">
        <v>22</v>
      </c>
      <c r="G13" s="9"/>
      <c r="H13" s="16"/>
      <c r="I13" s="9"/>
    </row>
    <row r="14" customFormat="false" ht="12.75" hidden="false" customHeight="false" outlineLevel="0" collapsed="false">
      <c r="A14" s="9"/>
      <c r="B14" s="14" t="s">
        <v>23</v>
      </c>
      <c r="C14" s="19" t="n">
        <f aca="false">HV_T(C7)</f>
        <v>2675.57202922083</v>
      </c>
      <c r="D14" s="16" t="s">
        <v>17</v>
      </c>
      <c r="E14" s="9"/>
      <c r="F14" s="14" t="s">
        <v>23</v>
      </c>
      <c r="G14" s="19" t="n">
        <f aca="false">HV_P(G7)</f>
        <v>2591.93557418644</v>
      </c>
      <c r="H14" s="16" t="s">
        <v>17</v>
      </c>
      <c r="I14" s="9"/>
    </row>
    <row r="15" customFormat="false" ht="12.75" hidden="false" customHeight="false" outlineLevel="0" collapsed="false">
      <c r="A15" s="9"/>
      <c r="B15" s="14" t="s">
        <v>24</v>
      </c>
      <c r="C15" s="17" t="n">
        <f aca="false">RHOV_T(C7)</f>
        <v>0.598135992525703</v>
      </c>
      <c r="D15" s="16" t="s">
        <v>19</v>
      </c>
      <c r="E15" s="9"/>
      <c r="F15" s="14" t="s">
        <v>24</v>
      </c>
      <c r="G15" s="17" t="n">
        <f aca="false">RHOV_P(G7)</f>
        <v>0.0845237743927298</v>
      </c>
      <c r="H15" s="16" t="s">
        <v>19</v>
      </c>
      <c r="I15" s="9"/>
    </row>
    <row r="16" customFormat="false" ht="12.75" hidden="false" customHeight="false" outlineLevel="0" collapsed="false">
      <c r="A16" s="9"/>
      <c r="B16" s="14" t="s">
        <v>25</v>
      </c>
      <c r="C16" s="17" t="n">
        <f aca="false">SV_T(C7)</f>
        <v>7.35407705095841</v>
      </c>
      <c r="D16" s="16" t="s">
        <v>21</v>
      </c>
      <c r="E16" s="9"/>
      <c r="F16" s="14" t="s">
        <v>26</v>
      </c>
      <c r="G16" s="17" t="n">
        <f aca="false">SV_P(G7)</f>
        <v>8.06877333231276</v>
      </c>
      <c r="H16" s="16" t="s">
        <v>21</v>
      </c>
      <c r="I16" s="9"/>
    </row>
    <row r="17" customFormat="false" ht="12.75" hidden="false" customHeight="false" outlineLevel="0" collapsed="false">
      <c r="A17" s="9"/>
      <c r="B17" s="20" t="s">
        <v>27</v>
      </c>
      <c r="C17" s="21" t="n">
        <f aca="false">C14-C10</f>
        <v>2256.47287422313</v>
      </c>
      <c r="D17" s="22" t="s">
        <v>17</v>
      </c>
      <c r="E17" s="9"/>
      <c r="F17" s="20" t="s">
        <v>27</v>
      </c>
      <c r="G17" s="21" t="n">
        <f aca="false">G14-G10</f>
        <v>2381.11876645242</v>
      </c>
      <c r="H17" s="22" t="s">
        <v>17</v>
      </c>
      <c r="I17" s="9"/>
    </row>
    <row r="18" customFormat="false" ht="12.75" hidden="false" customHeight="false" outlineLevel="0" collapsed="false">
      <c r="A18" s="9"/>
      <c r="I18" s="9"/>
    </row>
    <row r="19" customFormat="false" ht="12.75" hidden="false" customHeight="false" outlineLevel="0" collapsed="false">
      <c r="A19" s="9"/>
      <c r="B19" s="8" t="s">
        <v>28</v>
      </c>
      <c r="C19" s="9"/>
      <c r="D19" s="9"/>
      <c r="E19" s="9"/>
      <c r="F19" s="8" t="s">
        <v>29</v>
      </c>
      <c r="G19" s="9"/>
      <c r="H19" s="9"/>
      <c r="I19" s="9"/>
    </row>
    <row r="20" customFormat="false" ht="12.75" hidden="false" customHeight="false" outlineLevel="0" collapsed="false">
      <c r="A20" s="9"/>
      <c r="B20" s="10" t="s">
        <v>11</v>
      </c>
      <c r="C20" s="11" t="n">
        <v>1</v>
      </c>
      <c r="D20" s="12" t="s">
        <v>12</v>
      </c>
      <c r="E20" s="9"/>
      <c r="F20" s="10" t="s">
        <v>11</v>
      </c>
      <c r="G20" s="11" t="n">
        <v>12.57</v>
      </c>
      <c r="H20" s="12" t="s">
        <v>12</v>
      </c>
      <c r="I20" s="9"/>
    </row>
    <row r="21" customFormat="false" ht="12.75" hidden="false" customHeight="false" outlineLevel="0" collapsed="false">
      <c r="A21" s="9"/>
      <c r="B21" s="23" t="s">
        <v>9</v>
      </c>
      <c r="C21" s="24" t="n">
        <v>20</v>
      </c>
      <c r="D21" s="25" t="s">
        <v>10</v>
      </c>
      <c r="E21" s="9"/>
      <c r="F21" s="23" t="s">
        <v>16</v>
      </c>
      <c r="G21" s="24" t="n">
        <v>2788</v>
      </c>
      <c r="H21" s="25" t="s">
        <v>17</v>
      </c>
      <c r="I21" s="9"/>
    </row>
    <row r="22" customFormat="false" ht="12.75" hidden="false" customHeight="false" outlineLevel="0" collapsed="false">
      <c r="A22" s="9"/>
      <c r="B22" s="14" t="s">
        <v>16</v>
      </c>
      <c r="C22" s="19" t="n">
        <f aca="false">H_PT(C20,C21)</f>
        <v>2538.18548379391</v>
      </c>
      <c r="D22" s="16" t="s">
        <v>17</v>
      </c>
      <c r="E22" s="9"/>
      <c r="F22" s="14" t="s">
        <v>9</v>
      </c>
      <c r="G22" s="19" t="n">
        <f aca="false">T_PH(G20,G21)</f>
        <v>152.685665598747</v>
      </c>
      <c r="H22" s="16" t="s">
        <v>10</v>
      </c>
      <c r="I22" s="9"/>
    </row>
    <row r="23" customFormat="false" ht="12.75" hidden="false" customHeight="false" outlineLevel="0" collapsed="false">
      <c r="A23" s="9"/>
      <c r="B23" s="14" t="s">
        <v>18</v>
      </c>
      <c r="C23" s="17" t="n">
        <f aca="false">RHO_PT(C20,C21)</f>
        <v>0.00739523693872489</v>
      </c>
      <c r="D23" s="16" t="s">
        <v>19</v>
      </c>
      <c r="E23" s="9"/>
      <c r="F23" s="14" t="s">
        <v>18</v>
      </c>
      <c r="G23" s="17" t="n">
        <f aca="false">RHO_PH(G20,G21)</f>
        <v>0.0640220986240443</v>
      </c>
      <c r="H23" s="16" t="s">
        <v>19</v>
      </c>
      <c r="I23" s="9"/>
    </row>
    <row r="24" customFormat="false" ht="12.75" hidden="false" customHeight="false" outlineLevel="0" collapsed="false">
      <c r="A24" s="9"/>
      <c r="B24" s="14" t="s">
        <v>20</v>
      </c>
      <c r="C24" s="17" t="n">
        <f aca="false">S_PT(C20,C21)</f>
        <v>9.0604341729713</v>
      </c>
      <c r="D24" s="16" t="s">
        <v>21</v>
      </c>
      <c r="E24" s="9"/>
      <c r="F24" s="14" t="s">
        <v>20</v>
      </c>
      <c r="G24" s="17" t="n">
        <f aca="false">S_PH(G20,G21)</f>
        <v>8.59542341318828</v>
      </c>
      <c r="H24" s="16" t="s">
        <v>21</v>
      </c>
      <c r="I24" s="9"/>
    </row>
    <row r="25" customFormat="false" ht="12.75" hidden="false" customHeight="false" outlineLevel="0" collapsed="false">
      <c r="A25" s="9"/>
      <c r="B25" s="14" t="s">
        <v>30</v>
      </c>
      <c r="C25" s="1" t="n">
        <f aca="false">X_PH(C20,C22)*100</f>
        <v>100</v>
      </c>
      <c r="D25" s="16" t="s">
        <v>31</v>
      </c>
      <c r="F25" s="14" t="s">
        <v>30</v>
      </c>
      <c r="G25" s="1" t="n">
        <f aca="false">X_PH(G20,G21)*100</f>
        <v>100</v>
      </c>
      <c r="H25" s="16" t="s">
        <v>31</v>
      </c>
      <c r="I25" s="9"/>
    </row>
    <row r="26" customFormat="false" ht="12.75" hidden="false" customHeight="false" outlineLevel="0" collapsed="false">
      <c r="A26" s="9"/>
      <c r="B26" s="14" t="s">
        <v>32</v>
      </c>
      <c r="C26" s="9" t="n">
        <f aca="false">REGION_PT(C20/10,C21+273.15)</f>
        <v>1</v>
      </c>
      <c r="D26" s="16"/>
      <c r="E26" s="9"/>
      <c r="F26" s="14" t="s">
        <v>32</v>
      </c>
      <c r="G26" s="9" t="n">
        <f aca="false">REGION_PH(G20/10,G21)</f>
        <v>2</v>
      </c>
      <c r="H26" s="16"/>
      <c r="I26" s="9"/>
    </row>
    <row r="27" customFormat="false" ht="12.75" hidden="false" customHeight="false" outlineLevel="0" collapsed="false">
      <c r="A27" s="9"/>
      <c r="B27" s="14" t="s">
        <v>33</v>
      </c>
      <c r="C27" s="26" t="str">
        <f aca="false">IF(C26=2,"Steam",IF(C26=1,"Liquid",IF(C26=4,"Mixture","")))</f>
        <v>Liquid</v>
      </c>
      <c r="D27" s="16"/>
      <c r="E27" s="9"/>
      <c r="F27" s="14" t="s">
        <v>33</v>
      </c>
      <c r="G27" s="26" t="str">
        <f aca="false">IF(G26=2,"Steam",IF(G26=1,"Liquid",IF(G26=4,"Mixture","")))</f>
        <v>Steam</v>
      </c>
      <c r="H27" s="16"/>
      <c r="I27" s="9"/>
    </row>
    <row r="28" customFormat="false" ht="12.75" hidden="false" customHeight="false" outlineLevel="0" collapsed="false">
      <c r="B28" s="14" t="s">
        <v>34</v>
      </c>
      <c r="C28" s="9" t="n">
        <f aca="false">CP_PT(C20,C21)</f>
        <v>1.87432544104745</v>
      </c>
      <c r="D28" s="16" t="s">
        <v>17</v>
      </c>
      <c r="F28" s="14" t="s">
        <v>34</v>
      </c>
      <c r="G28" s="9" t="n">
        <f aca="false">CP_PH(G20,G21)</f>
        <v>1.92294619184134</v>
      </c>
      <c r="H28" s="16" t="s">
        <v>17</v>
      </c>
    </row>
    <row r="29" customFormat="false" ht="12.75" hidden="false" customHeight="false" outlineLevel="0" collapsed="false">
      <c r="B29" s="20" t="s">
        <v>35</v>
      </c>
      <c r="C29" s="27" t="n">
        <f aca="false">W_PT(C20,C21)</f>
        <v>423.847638254217</v>
      </c>
      <c r="D29" s="22" t="s">
        <v>36</v>
      </c>
      <c r="F29" s="20" t="s">
        <v>35</v>
      </c>
      <c r="G29" s="27" t="n">
        <f aca="false">W_PH(G20,G21)</f>
        <v>508.560687210867</v>
      </c>
      <c r="H29" s="22" t="s">
        <v>36</v>
      </c>
    </row>
  </sheetData>
  <hyperlinks>
    <hyperlink ref="B4" r:id="rId1" display="www.x-eng.com"/>
  </hyperlinks>
  <printOptions headings="false" gridLines="false" gridLinesSet="true" horizontalCentered="false" verticalCentered="false"/>
  <pageMargins left="0.75" right="0.75" top="1" bottom="1" header="0.511805555555555" footer="0.511805555555555"/>
  <pageSetup paperSize="9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2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M147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D38" activeCellId="1" sqref="A41:B46 D38"/>
    </sheetView>
  </sheetViews>
  <sheetFormatPr defaultRowHeight="12.75" zeroHeight="false" outlineLevelRow="1" outlineLevelCol="0"/>
  <cols>
    <col collapsed="false" customWidth="true" hidden="false" outlineLevel="0" max="1" min="1" style="1" width="24.15"/>
    <col collapsed="false" customWidth="true" hidden="false" outlineLevel="0" max="2" min="2" style="1" width="4.71"/>
    <col collapsed="false" customWidth="true" hidden="false" outlineLevel="0" max="3" min="3" style="1" width="7.71"/>
    <col collapsed="false" customWidth="true" hidden="false" outlineLevel="0" max="4" min="4" style="1" width="4.71"/>
    <col collapsed="false" customWidth="true" hidden="false" outlineLevel="0" max="5" min="5" style="1" width="8.29"/>
    <col collapsed="false" customWidth="true" hidden="false" outlineLevel="0" max="6" min="6" style="5" width="10.42"/>
    <col collapsed="false" customWidth="true" hidden="false" outlineLevel="0" max="7" min="7" style="5" width="9.13"/>
    <col collapsed="false" customWidth="true" hidden="false" outlineLevel="0" max="8" min="8" style="3" width="7.57"/>
    <col collapsed="false" customWidth="true" hidden="false" outlineLevel="0" max="256" min="9" style="1" width="9.13"/>
    <col collapsed="false" customWidth="true" hidden="false" outlineLevel="0" max="257" min="257" style="1" width="24.15"/>
    <col collapsed="false" customWidth="true" hidden="false" outlineLevel="0" max="258" min="258" style="1" width="4.71"/>
    <col collapsed="false" customWidth="true" hidden="false" outlineLevel="0" max="259" min="259" style="1" width="7.71"/>
    <col collapsed="false" customWidth="true" hidden="false" outlineLevel="0" max="260" min="260" style="1" width="4.71"/>
    <col collapsed="false" customWidth="true" hidden="false" outlineLevel="0" max="261" min="261" style="1" width="8.29"/>
    <col collapsed="false" customWidth="true" hidden="false" outlineLevel="0" max="262" min="262" style="1" width="10.42"/>
    <col collapsed="false" customWidth="true" hidden="false" outlineLevel="0" max="263" min="263" style="1" width="9.13"/>
    <col collapsed="false" customWidth="true" hidden="false" outlineLevel="0" max="264" min="264" style="1" width="7.57"/>
    <col collapsed="false" customWidth="true" hidden="false" outlineLevel="0" max="512" min="265" style="1" width="9.13"/>
    <col collapsed="false" customWidth="true" hidden="false" outlineLevel="0" max="513" min="513" style="1" width="24.15"/>
    <col collapsed="false" customWidth="true" hidden="false" outlineLevel="0" max="514" min="514" style="1" width="4.71"/>
    <col collapsed="false" customWidth="true" hidden="false" outlineLevel="0" max="515" min="515" style="1" width="7.71"/>
    <col collapsed="false" customWidth="true" hidden="false" outlineLevel="0" max="516" min="516" style="1" width="4.71"/>
    <col collapsed="false" customWidth="true" hidden="false" outlineLevel="0" max="517" min="517" style="1" width="8.29"/>
    <col collapsed="false" customWidth="true" hidden="false" outlineLevel="0" max="518" min="518" style="1" width="10.42"/>
    <col collapsed="false" customWidth="true" hidden="false" outlineLevel="0" max="519" min="519" style="1" width="9.13"/>
    <col collapsed="false" customWidth="true" hidden="false" outlineLevel="0" max="520" min="520" style="1" width="7.57"/>
    <col collapsed="false" customWidth="true" hidden="false" outlineLevel="0" max="768" min="521" style="1" width="9.13"/>
    <col collapsed="false" customWidth="true" hidden="false" outlineLevel="0" max="769" min="769" style="1" width="24.15"/>
    <col collapsed="false" customWidth="true" hidden="false" outlineLevel="0" max="770" min="770" style="1" width="4.71"/>
    <col collapsed="false" customWidth="true" hidden="false" outlineLevel="0" max="771" min="771" style="1" width="7.71"/>
    <col collapsed="false" customWidth="true" hidden="false" outlineLevel="0" max="772" min="772" style="1" width="4.71"/>
    <col collapsed="false" customWidth="true" hidden="false" outlineLevel="0" max="773" min="773" style="1" width="8.29"/>
    <col collapsed="false" customWidth="true" hidden="false" outlineLevel="0" max="774" min="774" style="1" width="10.42"/>
    <col collapsed="false" customWidth="true" hidden="false" outlineLevel="0" max="775" min="775" style="1" width="9.13"/>
    <col collapsed="false" customWidth="true" hidden="false" outlineLevel="0" max="776" min="776" style="1" width="7.57"/>
    <col collapsed="false" customWidth="true" hidden="false" outlineLevel="0" max="1025" min="777" style="1" width="9.13"/>
  </cols>
  <sheetData>
    <row r="1" s="28" customFormat="true" ht="18" hidden="false" customHeight="false" outlineLevel="0" collapsed="false">
      <c r="A1" s="2" t="s">
        <v>0</v>
      </c>
      <c r="D1" s="3" t="s">
        <v>37</v>
      </c>
      <c r="E1" s="29" t="s">
        <v>38</v>
      </c>
      <c r="F1" s="2"/>
      <c r="G1" s="2"/>
    </row>
    <row r="2" s="30" customFormat="true" ht="11.25" hidden="false" customHeight="false" outlineLevel="0" collapsed="false">
      <c r="A2" s="30" t="s">
        <v>39</v>
      </c>
    </row>
    <row r="3" s="4" customFormat="true" ht="11.25" hidden="false" customHeight="false" outlineLevel="0" collapsed="false">
      <c r="A3" s="4" t="s">
        <v>40</v>
      </c>
    </row>
    <row r="4" s="4" customFormat="true" ht="11.25" hidden="false" customHeight="false" outlineLevel="0" collapsed="false">
      <c r="A4" s="4" t="s">
        <v>41</v>
      </c>
      <c r="F4" s="6" t="s">
        <v>42</v>
      </c>
    </row>
    <row r="5" s="4" customFormat="true" ht="11.25" hidden="false" customHeight="false" outlineLevel="0" collapsed="false">
      <c r="A5" s="4" t="s">
        <v>4</v>
      </c>
    </row>
    <row r="6" customFormat="false" ht="12.75" hidden="false" customHeight="false" outlineLevel="0" collapsed="false">
      <c r="A6" s="30" t="s">
        <v>6</v>
      </c>
      <c r="B6" s="3"/>
      <c r="C6" s="3"/>
      <c r="D6" s="3"/>
      <c r="E6" s="3"/>
      <c r="F6" s="3"/>
      <c r="G6" s="3"/>
    </row>
    <row r="7" customFormat="false" ht="12.75" hidden="false" customHeight="false" outlineLevel="0" collapsed="false">
      <c r="A7" s="30"/>
      <c r="B7" s="3"/>
      <c r="C7" s="3"/>
      <c r="D7" s="3"/>
      <c r="E7" s="3"/>
      <c r="F7" s="3"/>
      <c r="G7" s="3"/>
    </row>
    <row r="8" s="32" customFormat="true" ht="15" hidden="false" customHeight="false" outlineLevel="0" collapsed="false">
      <c r="A8" s="31" t="s">
        <v>9</v>
      </c>
      <c r="F8" s="33"/>
      <c r="G8" s="33"/>
    </row>
    <row r="9" s="4" customFormat="true" ht="12.75" hidden="false" customHeight="false" outlineLevel="1" collapsed="false">
      <c r="A9" s="5" t="s">
        <v>43</v>
      </c>
      <c r="B9" s="3" t="n">
        <v>100</v>
      </c>
      <c r="C9" s="3" t="s">
        <v>12</v>
      </c>
      <c r="D9" s="3"/>
      <c r="E9" s="3"/>
      <c r="F9" s="5" t="n">
        <f aca="false">TSAT_P(B9)</f>
        <v>99.6059186113376</v>
      </c>
      <c r="G9" s="5" t="s">
        <v>10</v>
      </c>
      <c r="H9" s="3" t="s">
        <v>14</v>
      </c>
    </row>
    <row r="10" s="4" customFormat="true" ht="12.75" hidden="false" customHeight="false" outlineLevel="1" collapsed="false">
      <c r="A10" s="5" t="s">
        <v>44</v>
      </c>
      <c r="B10" s="3" t="n">
        <v>100</v>
      </c>
      <c r="C10" s="3" t="s">
        <v>12</v>
      </c>
      <c r="D10" s="3" t="n">
        <v>100</v>
      </c>
      <c r="E10" s="3" t="s">
        <v>17</v>
      </c>
      <c r="F10" s="5" t="n">
        <f aca="false">T_PH(B10,D10)</f>
        <v>23.8448190753248</v>
      </c>
      <c r="G10" s="5" t="s">
        <v>10</v>
      </c>
      <c r="H10" s="3" t="s">
        <v>45</v>
      </c>
    </row>
    <row r="11" s="4" customFormat="true" ht="12.75" hidden="false" customHeight="false" outlineLevel="1" collapsed="false">
      <c r="A11" s="5" t="s">
        <v>46</v>
      </c>
      <c r="B11" s="3" t="n">
        <v>100</v>
      </c>
      <c r="C11" s="3" t="s">
        <v>12</v>
      </c>
      <c r="D11" s="3" t="n">
        <v>1</v>
      </c>
      <c r="E11" s="3" t="s">
        <v>47</v>
      </c>
      <c r="F11" s="5" t="n">
        <f aca="false">T_PS(B11,D11)</f>
        <v>73.7085942144087</v>
      </c>
      <c r="G11" s="5" t="s">
        <v>10</v>
      </c>
      <c r="H11" s="3" t="s">
        <v>48</v>
      </c>
    </row>
    <row r="12" s="4" customFormat="true" ht="12.75" hidden="false" customHeight="false" outlineLevel="1" collapsed="false">
      <c r="A12" s="5" t="s">
        <v>49</v>
      </c>
      <c r="B12" s="3" t="n">
        <v>100</v>
      </c>
      <c r="C12" s="3" t="s">
        <v>17</v>
      </c>
      <c r="D12" s="3" t="n">
        <v>0.2</v>
      </c>
      <c r="E12" s="3" t="s">
        <v>47</v>
      </c>
      <c r="F12" s="5" t="n">
        <f aca="false">T_HS(B12,D12)</f>
        <v>13.8493351118726</v>
      </c>
      <c r="G12" s="5" t="s">
        <v>10</v>
      </c>
      <c r="H12" s="3" t="s">
        <v>50</v>
      </c>
    </row>
    <row r="13" s="32" customFormat="true" ht="15" hidden="false" customHeight="false" outlineLevel="0" collapsed="false">
      <c r="A13" s="31" t="s">
        <v>11</v>
      </c>
      <c r="F13" s="33"/>
      <c r="G13" s="33"/>
    </row>
    <row r="14" s="4" customFormat="true" ht="12.75" hidden="false" customHeight="false" outlineLevel="1" collapsed="false">
      <c r="A14" s="5" t="s">
        <v>51</v>
      </c>
      <c r="B14" s="3" t="n">
        <v>100</v>
      </c>
      <c r="C14" s="3" t="s">
        <v>10</v>
      </c>
      <c r="D14" s="3"/>
      <c r="E14" s="3"/>
      <c r="F14" s="5" t="n">
        <f aca="false">PSAT_T(B14)</f>
        <v>101.41797792131</v>
      </c>
      <c r="G14" s="5" t="s">
        <v>52</v>
      </c>
      <c r="H14" s="3" t="s">
        <v>13</v>
      </c>
    </row>
    <row r="15" s="4" customFormat="true" ht="12.75" hidden="false" customHeight="false" outlineLevel="1" collapsed="false">
      <c r="A15" s="5" t="s">
        <v>53</v>
      </c>
      <c r="B15" s="3" t="n">
        <v>84</v>
      </c>
      <c r="C15" s="3" t="s">
        <v>17</v>
      </c>
      <c r="D15" s="3" t="n">
        <v>0.296</v>
      </c>
      <c r="E15" s="3" t="s">
        <v>47</v>
      </c>
      <c r="F15" s="5" t="n">
        <f aca="false">P_HS(B15,D15)</f>
        <v>229.549826928091</v>
      </c>
      <c r="G15" s="5" t="s">
        <v>52</v>
      </c>
      <c r="H15" s="3" t="s">
        <v>54</v>
      </c>
    </row>
    <row r="16" s="4" customFormat="true" ht="12.75" hidden="false" customHeight="false" outlineLevel="1" collapsed="false">
      <c r="A16" s="5" t="s">
        <v>55</v>
      </c>
      <c r="B16" s="3" t="n">
        <v>2000</v>
      </c>
      <c r="C16" s="3" t="s">
        <v>17</v>
      </c>
      <c r="D16" s="3" t="n">
        <v>5</v>
      </c>
      <c r="E16" s="3" t="s">
        <v>19</v>
      </c>
      <c r="F16" s="5" t="n">
        <f aca="false">P_HRHO(B16,D16)</f>
        <v>604.646887793206</v>
      </c>
      <c r="G16" s="5" t="s">
        <v>52</v>
      </c>
      <c r="H16" s="3" t="s">
        <v>56</v>
      </c>
    </row>
    <row r="17" s="32" customFormat="true" ht="15" hidden="false" customHeight="false" outlineLevel="0" collapsed="false">
      <c r="A17" s="31" t="s">
        <v>16</v>
      </c>
      <c r="F17" s="33"/>
      <c r="G17" s="33"/>
    </row>
    <row r="18" s="4" customFormat="true" ht="12.75" hidden="false" customHeight="false" outlineLevel="1" collapsed="false">
      <c r="A18" s="5" t="s">
        <v>57</v>
      </c>
      <c r="B18" s="3" t="n">
        <v>100</v>
      </c>
      <c r="C18" s="3" t="s">
        <v>12</v>
      </c>
      <c r="D18" s="3"/>
      <c r="E18" s="3"/>
      <c r="F18" s="5" t="n">
        <f aca="false">HV_P(B18)</f>
        <v>2674.94964083215</v>
      </c>
      <c r="G18" s="5" t="s">
        <v>17</v>
      </c>
      <c r="H18" s="3" t="s">
        <v>58</v>
      </c>
    </row>
    <row r="19" s="4" customFormat="true" ht="12.75" hidden="false" customHeight="false" outlineLevel="1" collapsed="false">
      <c r="A19" s="5" t="s">
        <v>59</v>
      </c>
      <c r="B19" s="3" t="n">
        <v>100</v>
      </c>
      <c r="C19" s="3" t="s">
        <v>12</v>
      </c>
      <c r="D19" s="3"/>
      <c r="E19" s="3"/>
      <c r="F19" s="5" t="n">
        <f aca="false">HL_P(B19)</f>
        <v>417.436485816232</v>
      </c>
      <c r="G19" s="5" t="s">
        <v>17</v>
      </c>
      <c r="H19" s="3" t="s">
        <v>60</v>
      </c>
    </row>
    <row r="20" s="4" customFormat="true" ht="12.75" hidden="false" customHeight="false" outlineLevel="1" collapsed="false">
      <c r="A20" s="5" t="s">
        <v>61</v>
      </c>
      <c r="B20" s="3" t="n">
        <v>100</v>
      </c>
      <c r="C20" s="3" t="s">
        <v>10</v>
      </c>
      <c r="D20" s="3"/>
      <c r="E20" s="3"/>
      <c r="F20" s="5" t="n">
        <f aca="false">HV_T(B20)</f>
        <v>2675.57202922083</v>
      </c>
      <c r="G20" s="5" t="s">
        <v>17</v>
      </c>
      <c r="H20" s="3" t="s">
        <v>58</v>
      </c>
    </row>
    <row r="21" s="4" customFormat="true" ht="12.75" hidden="false" customHeight="false" outlineLevel="1" collapsed="false">
      <c r="A21" s="5" t="s">
        <v>62</v>
      </c>
      <c r="B21" s="3" t="n">
        <v>100</v>
      </c>
      <c r="C21" s="3" t="s">
        <v>10</v>
      </c>
      <c r="D21" s="3"/>
      <c r="E21" s="3"/>
      <c r="F21" s="5" t="n">
        <f aca="false">HL_T(B21)</f>
        <v>419.099154997703</v>
      </c>
      <c r="G21" s="5" t="s">
        <v>17</v>
      </c>
      <c r="H21" s="3" t="s">
        <v>60</v>
      </c>
    </row>
    <row r="22" s="4" customFormat="true" ht="12.75" hidden="false" customHeight="false" outlineLevel="1" collapsed="false">
      <c r="A22" s="5" t="s">
        <v>63</v>
      </c>
      <c r="B22" s="3" t="n">
        <v>100</v>
      </c>
      <c r="C22" s="3" t="s">
        <v>12</v>
      </c>
      <c r="D22" s="3" t="n">
        <v>20</v>
      </c>
      <c r="E22" s="3" t="s">
        <v>10</v>
      </c>
      <c r="F22" s="5" t="n">
        <f aca="false">H_PT(B22,D22)</f>
        <v>84.0118111671364</v>
      </c>
      <c r="G22" s="5" t="s">
        <v>17</v>
      </c>
      <c r="H22" s="3" t="s">
        <v>64</v>
      </c>
    </row>
    <row r="23" s="4" customFormat="true" ht="12.75" hidden="false" customHeight="false" outlineLevel="1" collapsed="false">
      <c r="A23" s="5" t="s">
        <v>65</v>
      </c>
      <c r="B23" s="3" t="n">
        <v>100</v>
      </c>
      <c r="C23" s="3" t="s">
        <v>12</v>
      </c>
      <c r="D23" s="3" t="n">
        <v>1</v>
      </c>
      <c r="E23" s="3" t="s">
        <v>47</v>
      </c>
      <c r="F23" s="5" t="n">
        <f aca="false">H_PS(B23,D23)</f>
        <v>308.610717082946</v>
      </c>
      <c r="G23" s="5" t="s">
        <v>17</v>
      </c>
      <c r="H23" s="3" t="s">
        <v>66</v>
      </c>
    </row>
    <row r="24" s="4" customFormat="true" ht="12.75" hidden="false" customHeight="false" outlineLevel="1" collapsed="false">
      <c r="A24" s="5" t="s">
        <v>67</v>
      </c>
      <c r="B24" s="3" t="n">
        <v>100</v>
      </c>
      <c r="C24" s="3" t="s">
        <v>12</v>
      </c>
      <c r="D24" s="3" t="n">
        <v>0.5</v>
      </c>
      <c r="E24" s="3"/>
      <c r="F24" s="5" t="n">
        <f aca="false">H_PX(B24,D24)</f>
        <v>1546.19306332419</v>
      </c>
      <c r="G24" s="5" t="s">
        <v>17</v>
      </c>
      <c r="H24" s="3" t="s">
        <v>68</v>
      </c>
    </row>
    <row r="25" s="4" customFormat="true" ht="12.75" hidden="false" customHeight="false" outlineLevel="1" collapsed="false">
      <c r="A25" s="5" t="s">
        <v>69</v>
      </c>
      <c r="B25" s="3" t="n">
        <v>100</v>
      </c>
      <c r="C25" s="3" t="s">
        <v>10</v>
      </c>
      <c r="D25" s="3" t="n">
        <v>0.5</v>
      </c>
      <c r="E25" s="3"/>
      <c r="F25" s="5" t="n">
        <f aca="false">H_TX(B25,D25)</f>
        <v>1547.33559210927</v>
      </c>
      <c r="G25" s="5" t="s">
        <v>17</v>
      </c>
      <c r="H25" s="3" t="s">
        <v>70</v>
      </c>
    </row>
    <row r="26" s="4" customFormat="true" ht="12.75" hidden="false" customHeight="false" outlineLevel="1" collapsed="false">
      <c r="A26" s="5" t="s">
        <v>71</v>
      </c>
      <c r="B26" s="3" t="n">
        <v>100</v>
      </c>
      <c r="C26" s="3" t="s">
        <v>12</v>
      </c>
      <c r="D26" s="3" t="n">
        <v>2</v>
      </c>
      <c r="E26" s="3" t="s">
        <v>19</v>
      </c>
      <c r="F26" s="5" t="n">
        <f aca="false">H_PRHO(B26,D26)</f>
        <v>1082.77339076002</v>
      </c>
      <c r="G26" s="5" t="s">
        <v>17</v>
      </c>
      <c r="H26" s="3" t="s">
        <v>72</v>
      </c>
    </row>
    <row r="27" s="32" customFormat="true" ht="15" hidden="false" customHeight="false" outlineLevel="0" collapsed="false">
      <c r="A27" s="31" t="s">
        <v>73</v>
      </c>
      <c r="F27" s="33"/>
      <c r="G27" s="33"/>
    </row>
    <row r="28" s="4" customFormat="true" ht="12.75" hidden="false" customHeight="false" outlineLevel="1" collapsed="false">
      <c r="A28" s="5" t="s">
        <v>74</v>
      </c>
      <c r="B28" s="3" t="n">
        <v>100</v>
      </c>
      <c r="C28" s="3" t="s">
        <v>12</v>
      </c>
      <c r="D28" s="3"/>
      <c r="E28" s="3"/>
      <c r="F28" s="5" t="n">
        <f aca="false">VV_P(B28)</f>
        <v>1.69402252290268</v>
      </c>
      <c r="G28" s="5" t="s">
        <v>75</v>
      </c>
      <c r="H28" s="3" t="s">
        <v>76</v>
      </c>
    </row>
    <row r="29" s="4" customFormat="true" ht="12.75" hidden="false" customHeight="false" outlineLevel="1" collapsed="false">
      <c r="A29" s="5" t="s">
        <v>77</v>
      </c>
      <c r="B29" s="3" t="n">
        <v>100</v>
      </c>
      <c r="C29" s="3" t="s">
        <v>12</v>
      </c>
      <c r="D29" s="3"/>
      <c r="E29" s="3"/>
      <c r="F29" s="5" t="n">
        <f aca="false">VL_P(B29)</f>
        <v>0.00104314783915518</v>
      </c>
      <c r="G29" s="5" t="s">
        <v>75</v>
      </c>
      <c r="H29" s="3" t="s">
        <v>78</v>
      </c>
    </row>
    <row r="30" s="4" customFormat="true" ht="12.75" hidden="false" customHeight="false" outlineLevel="1" collapsed="false">
      <c r="A30" s="5" t="s">
        <v>79</v>
      </c>
      <c r="B30" s="3" t="n">
        <v>100</v>
      </c>
      <c r="C30" s="3" t="s">
        <v>10</v>
      </c>
      <c r="D30" s="3"/>
      <c r="E30" s="3"/>
      <c r="F30" s="5" t="n">
        <f aca="false">VV_T(B30)</f>
        <v>1.67186060109404</v>
      </c>
      <c r="G30" s="5" t="s">
        <v>75</v>
      </c>
      <c r="H30" s="3" t="s">
        <v>76</v>
      </c>
    </row>
    <row r="31" s="4" customFormat="true" ht="12.75" hidden="false" customHeight="false" outlineLevel="1" collapsed="false">
      <c r="A31" s="5" t="s">
        <v>80</v>
      </c>
      <c r="B31" s="3" t="n">
        <v>100</v>
      </c>
      <c r="C31" s="3" t="s">
        <v>10</v>
      </c>
      <c r="D31" s="3"/>
      <c r="E31" s="3"/>
      <c r="F31" s="5" t="n">
        <f aca="false">VL_T(B31)</f>
        <v>0.00104345545661053</v>
      </c>
      <c r="G31" s="5" t="s">
        <v>75</v>
      </c>
      <c r="H31" s="3" t="s">
        <v>78</v>
      </c>
    </row>
    <row r="32" s="4" customFormat="true" ht="12.75" hidden="false" customHeight="false" outlineLevel="1" collapsed="false">
      <c r="A32" s="5" t="s">
        <v>81</v>
      </c>
      <c r="B32" s="3" t="n">
        <v>100</v>
      </c>
      <c r="C32" s="3" t="s">
        <v>12</v>
      </c>
      <c r="D32" s="3" t="n">
        <v>100</v>
      </c>
      <c r="E32" s="3" t="s">
        <v>10</v>
      </c>
      <c r="F32" s="5" t="n">
        <f aca="false">V_PT(B32,D32)</f>
        <v>1.69595940739822</v>
      </c>
      <c r="G32" s="5" t="s">
        <v>75</v>
      </c>
      <c r="H32" s="3" t="s">
        <v>82</v>
      </c>
    </row>
    <row r="33" s="4" customFormat="true" ht="12.75" hidden="false" customHeight="false" outlineLevel="1" collapsed="false">
      <c r="A33" s="5" t="s">
        <v>83</v>
      </c>
      <c r="B33" s="3" t="n">
        <v>100</v>
      </c>
      <c r="C33" s="3" t="s">
        <v>12</v>
      </c>
      <c r="D33" s="3" t="n">
        <v>1000</v>
      </c>
      <c r="E33" s="3" t="s">
        <v>17</v>
      </c>
      <c r="F33" s="5" t="n">
        <f aca="false">V_PH(B33,D33)</f>
        <v>0.437925658129864</v>
      </c>
      <c r="G33" s="5" t="s">
        <v>75</v>
      </c>
      <c r="H33" s="3" t="s">
        <v>84</v>
      </c>
    </row>
    <row r="34" s="4" customFormat="true" ht="12.75" hidden="false" customHeight="false" outlineLevel="1" collapsed="false">
      <c r="A34" s="5" t="s">
        <v>85</v>
      </c>
      <c r="B34" s="3" t="n">
        <v>100</v>
      </c>
      <c r="C34" s="3" t="s">
        <v>12</v>
      </c>
      <c r="D34" s="3" t="n">
        <v>5</v>
      </c>
      <c r="E34" s="3" t="s">
        <v>47</v>
      </c>
      <c r="F34" s="5" t="n">
        <f aca="false">V_PS(B34,D34)</f>
        <v>1.03463539018629</v>
      </c>
      <c r="G34" s="5" t="s">
        <v>75</v>
      </c>
      <c r="H34" s="3" t="s">
        <v>86</v>
      </c>
    </row>
    <row r="35" s="32" customFormat="true" ht="15" hidden="false" customHeight="false" outlineLevel="0" collapsed="false">
      <c r="A35" s="31" t="s">
        <v>18</v>
      </c>
      <c r="F35" s="33"/>
      <c r="G35" s="33"/>
    </row>
    <row r="36" s="4" customFormat="true" ht="12.75" hidden="false" customHeight="false" outlineLevel="1" collapsed="false">
      <c r="A36" s="5" t="s">
        <v>87</v>
      </c>
      <c r="B36" s="3" t="n">
        <v>100</v>
      </c>
      <c r="C36" s="3" t="s">
        <v>12</v>
      </c>
      <c r="D36" s="3"/>
      <c r="E36" s="3"/>
      <c r="F36" s="5" t="n">
        <f aca="false">RHOV_P(B36)</f>
        <v>0.590310923544578</v>
      </c>
      <c r="G36" s="5" t="s">
        <v>19</v>
      </c>
      <c r="H36" s="3" t="s">
        <v>88</v>
      </c>
    </row>
    <row r="37" s="4" customFormat="true" ht="12.75" hidden="false" customHeight="false" outlineLevel="1" collapsed="false">
      <c r="A37" s="5" t="s">
        <v>89</v>
      </c>
      <c r="B37" s="3" t="n">
        <v>100</v>
      </c>
      <c r="C37" s="3" t="s">
        <v>12</v>
      </c>
      <c r="D37" s="3"/>
      <c r="E37" s="3"/>
      <c r="F37" s="5" t="n">
        <f aca="false">RHOL_P(B37)</f>
        <v>958.636889676033</v>
      </c>
      <c r="G37" s="5" t="s">
        <v>19</v>
      </c>
      <c r="H37" s="3" t="s">
        <v>90</v>
      </c>
    </row>
    <row r="38" s="4" customFormat="true" ht="12.75" hidden="false" customHeight="false" outlineLevel="1" collapsed="false">
      <c r="A38" s="5" t="s">
        <v>91</v>
      </c>
      <c r="B38" s="3" t="n">
        <v>100</v>
      </c>
      <c r="C38" s="3" t="s">
        <v>10</v>
      </c>
      <c r="D38" s="3"/>
      <c r="E38" s="3"/>
      <c r="F38" s="5" t="n">
        <f aca="false">RHOV_T(B38)</f>
        <v>0.598135992525703</v>
      </c>
      <c r="G38" s="5" t="s">
        <v>19</v>
      </c>
      <c r="H38" s="3" t="s">
        <v>88</v>
      </c>
    </row>
    <row r="39" s="4" customFormat="true" ht="12.75" hidden="false" customHeight="false" outlineLevel="1" collapsed="false">
      <c r="A39" s="5" t="s">
        <v>92</v>
      </c>
      <c r="B39" s="3" t="n">
        <v>100</v>
      </c>
      <c r="C39" s="3" t="s">
        <v>10</v>
      </c>
      <c r="D39" s="3"/>
      <c r="E39" s="3"/>
      <c r="F39" s="5" t="n">
        <f aca="false">RHOL_T(B39)</f>
        <v>958.35427728589</v>
      </c>
      <c r="G39" s="5" t="s">
        <v>19</v>
      </c>
      <c r="H39" s="3" t="s">
        <v>90</v>
      </c>
    </row>
    <row r="40" s="4" customFormat="true" ht="12.75" hidden="false" customHeight="false" outlineLevel="1" collapsed="false">
      <c r="A40" s="5" t="s">
        <v>93</v>
      </c>
      <c r="B40" s="3" t="n">
        <v>100</v>
      </c>
      <c r="C40" s="3" t="s">
        <v>12</v>
      </c>
      <c r="D40" s="3" t="n">
        <v>100</v>
      </c>
      <c r="E40" s="3" t="s">
        <v>10</v>
      </c>
      <c r="F40" s="5" t="n">
        <f aca="false">RHO_PT(B40,D40)</f>
        <v>0.589636754062471</v>
      </c>
      <c r="G40" s="5" t="s">
        <v>19</v>
      </c>
      <c r="H40" s="3" t="s">
        <v>94</v>
      </c>
    </row>
    <row r="41" s="4" customFormat="true" ht="12.75" hidden="false" customHeight="false" outlineLevel="1" collapsed="false">
      <c r="A41" s="5" t="s">
        <v>95</v>
      </c>
      <c r="B41" s="3" t="n">
        <v>100</v>
      </c>
      <c r="C41" s="3" t="s">
        <v>12</v>
      </c>
      <c r="D41" s="3" t="n">
        <v>1000</v>
      </c>
      <c r="E41" s="3" t="s">
        <v>17</v>
      </c>
      <c r="F41" s="5" t="n">
        <f aca="false">RHO_PH(B41,D41)</f>
        <v>2.28349260070863</v>
      </c>
      <c r="G41" s="5" t="s">
        <v>19</v>
      </c>
      <c r="H41" s="3" t="s">
        <v>96</v>
      </c>
    </row>
    <row r="42" s="4" customFormat="true" ht="12.75" hidden="false" customHeight="false" outlineLevel="1" collapsed="false">
      <c r="A42" s="5" t="s">
        <v>97</v>
      </c>
      <c r="B42" s="3" t="n">
        <v>100</v>
      </c>
      <c r="C42" s="3" t="s">
        <v>12</v>
      </c>
      <c r="D42" s="3" t="n">
        <v>1</v>
      </c>
      <c r="E42" s="3" t="s">
        <v>47</v>
      </c>
      <c r="F42" s="5" t="n">
        <f aca="false">RHO_PS(B42,D42)</f>
        <v>975.623678848232</v>
      </c>
      <c r="G42" s="5" t="s">
        <v>19</v>
      </c>
      <c r="H42" s="3" t="s">
        <v>98</v>
      </c>
    </row>
    <row r="43" s="32" customFormat="true" ht="15" hidden="false" customHeight="false" outlineLevel="0" collapsed="false">
      <c r="A43" s="31" t="s">
        <v>99</v>
      </c>
      <c r="F43" s="33"/>
      <c r="G43" s="33"/>
    </row>
    <row r="44" s="4" customFormat="true" ht="12.75" hidden="false" customHeight="false" outlineLevel="1" collapsed="false">
      <c r="A44" s="5" t="s">
        <v>100</v>
      </c>
      <c r="B44" s="3" t="n">
        <v>1</v>
      </c>
      <c r="C44" s="3" t="s">
        <v>12</v>
      </c>
      <c r="D44" s="3"/>
      <c r="E44" s="3"/>
      <c r="F44" s="5" t="n">
        <f aca="false">SV_P(B44)</f>
        <v>8.97492979038626</v>
      </c>
      <c r="G44" s="5" t="s">
        <v>47</v>
      </c>
      <c r="H44" s="3" t="s">
        <v>101</v>
      </c>
    </row>
    <row r="45" s="4" customFormat="true" ht="12.75" hidden="false" customHeight="false" outlineLevel="1" collapsed="false">
      <c r="A45" s="5" t="s">
        <v>102</v>
      </c>
      <c r="B45" s="3" t="n">
        <v>1</v>
      </c>
      <c r="C45" s="3" t="s">
        <v>12</v>
      </c>
      <c r="D45" s="3"/>
      <c r="E45" s="3"/>
      <c r="F45" s="5" t="n">
        <f aca="false">SL_P(B45)</f>
        <v>0.105910447662535</v>
      </c>
      <c r="G45" s="5" t="s">
        <v>47</v>
      </c>
      <c r="H45" s="3" t="s">
        <v>103</v>
      </c>
    </row>
    <row r="46" s="4" customFormat="true" ht="12.75" hidden="false" customHeight="false" outlineLevel="1" collapsed="false">
      <c r="A46" s="5" t="s">
        <v>104</v>
      </c>
      <c r="B46" s="3" t="n">
        <v>0.0001</v>
      </c>
      <c r="C46" s="3" t="s">
        <v>10</v>
      </c>
      <c r="D46" s="3"/>
      <c r="E46" s="3"/>
      <c r="F46" s="5" t="n">
        <f aca="false">SV_T(B46)</f>
        <v>9.15575671588559</v>
      </c>
      <c r="G46" s="5" t="s">
        <v>47</v>
      </c>
      <c r="H46" s="3" t="s">
        <v>101</v>
      </c>
    </row>
    <row r="47" s="4" customFormat="true" ht="12.75" hidden="false" customHeight="false" outlineLevel="1" collapsed="false">
      <c r="A47" s="5" t="s">
        <v>105</v>
      </c>
      <c r="B47" s="3" t="n">
        <v>100</v>
      </c>
      <c r="C47" s="3" t="s">
        <v>10</v>
      </c>
      <c r="D47" s="3"/>
      <c r="E47" s="3"/>
      <c r="F47" s="5" t="n">
        <f aca="false">SL_T(B47)</f>
        <v>1.30701432784134</v>
      </c>
      <c r="G47" s="5" t="s">
        <v>47</v>
      </c>
      <c r="H47" s="3" t="s">
        <v>103</v>
      </c>
    </row>
    <row r="48" s="4" customFormat="true" ht="12.75" hidden="false" customHeight="false" outlineLevel="1" collapsed="false">
      <c r="A48" s="5" t="s">
        <v>106</v>
      </c>
      <c r="B48" s="3" t="n">
        <v>100</v>
      </c>
      <c r="C48" s="3" t="s">
        <v>12</v>
      </c>
      <c r="D48" s="3" t="n">
        <v>20</v>
      </c>
      <c r="E48" s="3" t="s">
        <v>10</v>
      </c>
      <c r="F48" s="5" t="n">
        <f aca="false">S_PT(B48,D48)</f>
        <v>0.29648292080641</v>
      </c>
      <c r="G48" s="5" t="s">
        <v>47</v>
      </c>
      <c r="H48" s="3" t="s">
        <v>107</v>
      </c>
    </row>
    <row r="49" s="4" customFormat="true" ht="12.75" hidden="false" customHeight="false" outlineLevel="1" collapsed="false">
      <c r="A49" s="5" t="s">
        <v>108</v>
      </c>
      <c r="B49" s="3" t="n">
        <v>100</v>
      </c>
      <c r="C49" s="3" t="s">
        <v>12</v>
      </c>
      <c r="D49" s="3" t="n">
        <f aca="false">F22</f>
        <v>84.0118111671364</v>
      </c>
      <c r="E49" s="3" t="s">
        <v>17</v>
      </c>
      <c r="F49" s="5" t="n">
        <f aca="false">S_PH(B49,D49)</f>
        <v>0.29681384467643</v>
      </c>
      <c r="G49" s="5" t="s">
        <v>47</v>
      </c>
      <c r="H49" s="3" t="s">
        <v>109</v>
      </c>
    </row>
    <row r="50" s="32" customFormat="true" ht="15" hidden="false" customHeight="false" outlineLevel="0" collapsed="false">
      <c r="A50" s="31" t="s">
        <v>110</v>
      </c>
      <c r="F50" s="33"/>
      <c r="G50" s="33"/>
    </row>
    <row r="51" s="4" customFormat="true" ht="12.75" hidden="false" customHeight="false" outlineLevel="1" collapsed="false">
      <c r="A51" s="5" t="s">
        <v>111</v>
      </c>
      <c r="B51" s="3" t="n">
        <v>100</v>
      </c>
      <c r="C51" s="3" t="s">
        <v>12</v>
      </c>
      <c r="D51" s="3"/>
      <c r="E51" s="3"/>
      <c r="F51" s="5" t="n">
        <f aca="false">UV_P(B51)</f>
        <v>2505.54738854188</v>
      </c>
      <c r="G51" s="5" t="s">
        <v>17</v>
      </c>
      <c r="H51" s="3" t="s">
        <v>112</v>
      </c>
    </row>
    <row r="52" s="4" customFormat="true" ht="12.75" hidden="false" customHeight="false" outlineLevel="1" collapsed="false">
      <c r="A52" s="5" t="s">
        <v>113</v>
      </c>
      <c r="B52" s="3" t="n">
        <v>100</v>
      </c>
      <c r="C52" s="3" t="s">
        <v>12</v>
      </c>
      <c r="D52" s="3"/>
      <c r="E52" s="3"/>
      <c r="F52" s="5" t="n">
        <f aca="false">UL_P(B52)</f>
        <v>417.332171032316</v>
      </c>
      <c r="G52" s="5" t="s">
        <v>17</v>
      </c>
      <c r="H52" s="3" t="s">
        <v>114</v>
      </c>
    </row>
    <row r="53" s="4" customFormat="true" ht="12.75" hidden="false" customHeight="false" outlineLevel="1" collapsed="false">
      <c r="A53" s="5" t="s">
        <v>115</v>
      </c>
      <c r="B53" s="3" t="n">
        <v>100</v>
      </c>
      <c r="C53" s="3" t="s">
        <v>10</v>
      </c>
      <c r="D53" s="3"/>
      <c r="E53" s="3"/>
      <c r="F53" s="5" t="n">
        <f aca="false">UV_T(B53)</f>
        <v>2506.01530769157</v>
      </c>
      <c r="G53" s="5" t="s">
        <v>17</v>
      </c>
      <c r="H53" s="3" t="s">
        <v>112</v>
      </c>
    </row>
    <row r="54" s="4" customFormat="true" ht="12.75" hidden="false" customHeight="false" outlineLevel="1" collapsed="false">
      <c r="A54" s="5" t="s">
        <v>116</v>
      </c>
      <c r="B54" s="3" t="n">
        <v>100</v>
      </c>
      <c r="C54" s="3" t="s">
        <v>10</v>
      </c>
      <c r="D54" s="3"/>
      <c r="E54" s="3"/>
      <c r="F54" s="5" t="n">
        <f aca="false">UL_T(B54)</f>
        <v>418.993329855243</v>
      </c>
      <c r="G54" s="5" t="s">
        <v>17</v>
      </c>
      <c r="H54" s="3" t="s">
        <v>114</v>
      </c>
    </row>
    <row r="55" s="4" customFormat="true" ht="12.75" hidden="false" customHeight="false" outlineLevel="1" collapsed="false">
      <c r="A55" s="5" t="s">
        <v>117</v>
      </c>
      <c r="B55" s="3" t="n">
        <v>100</v>
      </c>
      <c r="C55" s="3" t="s">
        <v>12</v>
      </c>
      <c r="D55" s="3" t="n">
        <v>100</v>
      </c>
      <c r="E55" s="3" t="s">
        <v>10</v>
      </c>
      <c r="F55" s="5" t="n">
        <f aca="false">U_PT(B55,D55)</f>
        <v>2506.17142646601</v>
      </c>
      <c r="G55" s="5" t="s">
        <v>17</v>
      </c>
      <c r="H55" s="3" t="s">
        <v>118</v>
      </c>
    </row>
    <row r="56" s="4" customFormat="true" ht="12.75" hidden="false" customHeight="false" outlineLevel="1" collapsed="false">
      <c r="A56" s="5" t="s">
        <v>119</v>
      </c>
      <c r="B56" s="3" t="n">
        <v>100</v>
      </c>
      <c r="C56" s="3" t="s">
        <v>12</v>
      </c>
      <c r="D56" s="3" t="n">
        <v>1000</v>
      </c>
      <c r="E56" s="3" t="s">
        <v>17</v>
      </c>
      <c r="F56" s="5" t="n">
        <f aca="false">U_PH(B56,D56)</f>
        <v>956.207434187014</v>
      </c>
      <c r="G56" s="5" t="s">
        <v>17</v>
      </c>
      <c r="H56" s="3" t="s">
        <v>120</v>
      </c>
    </row>
    <row r="57" s="4" customFormat="true" ht="12.75" hidden="false" customHeight="false" outlineLevel="1" collapsed="false">
      <c r="A57" s="5" t="s">
        <v>121</v>
      </c>
      <c r="B57" s="3" t="n">
        <v>100</v>
      </c>
      <c r="C57" s="3" t="s">
        <v>12</v>
      </c>
      <c r="D57" s="3" t="n">
        <v>1</v>
      </c>
      <c r="E57" s="3" t="s">
        <v>47</v>
      </c>
      <c r="F57" s="5" t="n">
        <f aca="false">U_PS(B57,D57)</f>
        <v>308.508218545684</v>
      </c>
      <c r="G57" s="5" t="s">
        <v>17</v>
      </c>
      <c r="H57" s="3" t="s">
        <v>122</v>
      </c>
    </row>
    <row r="58" s="32" customFormat="true" ht="15" hidden="false" customHeight="false" outlineLevel="0" collapsed="false">
      <c r="A58" s="31" t="s">
        <v>123</v>
      </c>
      <c r="F58" s="33"/>
      <c r="G58" s="33"/>
    </row>
    <row r="59" s="4" customFormat="true" ht="12.75" hidden="false" customHeight="false" outlineLevel="1" collapsed="false">
      <c r="A59" s="5" t="s">
        <v>124</v>
      </c>
      <c r="B59" s="3" t="n">
        <v>100</v>
      </c>
      <c r="C59" s="3" t="s">
        <v>12</v>
      </c>
      <c r="D59" s="3"/>
      <c r="E59" s="3"/>
      <c r="F59" s="5" t="n">
        <f aca="false">CPV_P(B59)</f>
        <v>2.07593802520444</v>
      </c>
      <c r="G59" s="5" t="s">
        <v>125</v>
      </c>
      <c r="H59" s="3" t="s">
        <v>126</v>
      </c>
    </row>
    <row r="60" s="4" customFormat="true" ht="12.75" hidden="false" customHeight="false" outlineLevel="1" collapsed="false">
      <c r="A60" s="5" t="s">
        <v>127</v>
      </c>
      <c r="B60" s="3" t="n">
        <v>100</v>
      </c>
      <c r="C60" s="3" t="s">
        <v>12</v>
      </c>
      <c r="D60" s="3"/>
      <c r="E60" s="3"/>
      <c r="F60" s="5" t="n">
        <f aca="false">CPL_P(B60)</f>
        <v>4.21614943083875</v>
      </c>
      <c r="G60" s="5" t="s">
        <v>125</v>
      </c>
      <c r="H60" s="3" t="s">
        <v>128</v>
      </c>
    </row>
    <row r="61" s="4" customFormat="true" ht="12.75" hidden="false" customHeight="false" outlineLevel="1" collapsed="false">
      <c r="A61" s="5" t="s">
        <v>129</v>
      </c>
      <c r="B61" s="3" t="n">
        <v>100</v>
      </c>
      <c r="C61" s="3" t="s">
        <v>10</v>
      </c>
      <c r="D61" s="3"/>
      <c r="E61" s="3"/>
      <c r="F61" s="5" t="n">
        <f aca="false">CPV_T(B61)</f>
        <v>2.07749186848227</v>
      </c>
      <c r="G61" s="5" t="s">
        <v>125</v>
      </c>
      <c r="H61" s="3" t="s">
        <v>126</v>
      </c>
    </row>
    <row r="62" s="4" customFormat="true" ht="12.75" hidden="false" customHeight="false" outlineLevel="1" collapsed="false">
      <c r="A62" s="5" t="s">
        <v>130</v>
      </c>
      <c r="B62" s="3" t="n">
        <v>100</v>
      </c>
      <c r="C62" s="3" t="s">
        <v>10</v>
      </c>
      <c r="D62" s="3"/>
      <c r="E62" s="3"/>
      <c r="F62" s="5" t="n">
        <f aca="false">CPL_T(B62)</f>
        <v>4.21664511892358</v>
      </c>
      <c r="G62" s="5" t="s">
        <v>125</v>
      </c>
      <c r="H62" s="3" t="s">
        <v>128</v>
      </c>
    </row>
    <row r="63" s="4" customFormat="true" ht="12.75" hidden="false" customHeight="false" outlineLevel="1" collapsed="false">
      <c r="A63" s="5" t="s">
        <v>131</v>
      </c>
      <c r="B63" s="3" t="n">
        <v>100</v>
      </c>
      <c r="C63" s="3" t="s">
        <v>12</v>
      </c>
      <c r="D63" s="3" t="n">
        <v>100</v>
      </c>
      <c r="E63" s="3" t="s">
        <v>10</v>
      </c>
      <c r="F63" s="5" t="n">
        <f aca="false">CP_PT(B63,D63)</f>
        <v>2.07410855458011</v>
      </c>
      <c r="G63" s="5" t="s">
        <v>125</v>
      </c>
      <c r="H63" s="3" t="s">
        <v>132</v>
      </c>
    </row>
    <row r="64" s="4" customFormat="true" ht="12.75" hidden="false" customHeight="false" outlineLevel="1" collapsed="false">
      <c r="A64" s="5" t="s">
        <v>133</v>
      </c>
      <c r="B64" s="3" t="n">
        <v>100</v>
      </c>
      <c r="C64" s="3" t="s">
        <v>12</v>
      </c>
      <c r="D64" s="3" t="n">
        <v>200</v>
      </c>
      <c r="E64" s="3" t="s">
        <v>17</v>
      </c>
      <c r="F64" s="5" t="n">
        <f aca="false">CP_PH(B64,D64)</f>
        <v>4.17913573168802</v>
      </c>
      <c r="G64" s="5" t="s">
        <v>125</v>
      </c>
      <c r="H64" s="3" t="s">
        <v>134</v>
      </c>
    </row>
    <row r="65" s="4" customFormat="true" ht="12.75" hidden="false" customHeight="false" outlineLevel="1" collapsed="false">
      <c r="A65" s="5" t="s">
        <v>135</v>
      </c>
      <c r="B65" s="3" t="n">
        <v>100</v>
      </c>
      <c r="C65" s="3" t="s">
        <v>12</v>
      </c>
      <c r="D65" s="3" t="n">
        <v>1</v>
      </c>
      <c r="E65" s="3" t="s">
        <v>47</v>
      </c>
      <c r="F65" s="5" t="n">
        <f aca="false">CP_PS(B65,D65)</f>
        <v>4.19060703790129</v>
      </c>
      <c r="G65" s="5" t="s">
        <v>125</v>
      </c>
      <c r="H65" s="3" t="s">
        <v>136</v>
      </c>
    </row>
    <row r="66" s="32" customFormat="true" ht="15" hidden="false" customHeight="false" outlineLevel="0" collapsed="false">
      <c r="A66" s="31" t="s">
        <v>137</v>
      </c>
      <c r="F66" s="33"/>
      <c r="G66" s="33"/>
    </row>
    <row r="67" s="4" customFormat="true" ht="12.75" hidden="false" customHeight="false" outlineLevel="1" collapsed="false">
      <c r="A67" s="5" t="s">
        <v>138</v>
      </c>
      <c r="B67" s="3" t="n">
        <v>100</v>
      </c>
      <c r="C67" s="3" t="s">
        <v>12</v>
      </c>
      <c r="D67" s="3"/>
      <c r="E67" s="3"/>
      <c r="F67" s="5" t="n">
        <f aca="false">CVV_P(B67)</f>
        <v>1.5526969793308</v>
      </c>
      <c r="G67" s="5" t="s">
        <v>125</v>
      </c>
      <c r="H67" s="3" t="s">
        <v>139</v>
      </c>
    </row>
    <row r="68" s="4" customFormat="true" ht="12.75" hidden="false" customHeight="false" outlineLevel="1" collapsed="false">
      <c r="A68" s="5" t="s">
        <v>140</v>
      </c>
      <c r="B68" s="3" t="n">
        <v>100</v>
      </c>
      <c r="C68" s="3" t="s">
        <v>12</v>
      </c>
      <c r="D68" s="3"/>
      <c r="E68" s="3"/>
      <c r="F68" s="5" t="n">
        <f aca="false">CVL_P(B68)</f>
        <v>3.7696996827335</v>
      </c>
      <c r="G68" s="5" t="s">
        <v>125</v>
      </c>
      <c r="H68" s="3" t="s">
        <v>141</v>
      </c>
    </row>
    <row r="69" s="4" customFormat="true" ht="12.75" hidden="false" customHeight="false" outlineLevel="1" collapsed="false">
      <c r="A69" s="5" t="s">
        <v>142</v>
      </c>
      <c r="B69" s="3" t="n">
        <v>100</v>
      </c>
      <c r="C69" s="3" t="s">
        <v>10</v>
      </c>
      <c r="D69" s="3"/>
      <c r="E69" s="3"/>
      <c r="F69" s="5" t="n">
        <f aca="false">CVV_T(B69)</f>
        <v>1.55369869603451</v>
      </c>
      <c r="G69" s="5" t="s">
        <v>125</v>
      </c>
      <c r="H69" s="3" t="s">
        <v>139</v>
      </c>
    </row>
    <row r="70" s="4" customFormat="true" ht="12.75" hidden="false" customHeight="false" outlineLevel="1" collapsed="false">
      <c r="A70" s="5" t="s">
        <v>143</v>
      </c>
      <c r="B70" s="3" t="n">
        <v>100</v>
      </c>
      <c r="C70" s="3" t="s">
        <v>10</v>
      </c>
      <c r="D70" s="3"/>
      <c r="E70" s="3"/>
      <c r="F70" s="5" t="n">
        <f aca="false">CVL_T(B70)</f>
        <v>3.76770022014275</v>
      </c>
      <c r="G70" s="5" t="s">
        <v>125</v>
      </c>
      <c r="H70" s="3" t="s">
        <v>141</v>
      </c>
    </row>
    <row r="71" s="4" customFormat="true" ht="12.75" hidden="false" customHeight="false" outlineLevel="1" collapsed="false">
      <c r="A71" s="5" t="s">
        <v>144</v>
      </c>
      <c r="B71" s="3" t="n">
        <v>100</v>
      </c>
      <c r="C71" s="3" t="s">
        <v>12</v>
      </c>
      <c r="D71" s="3" t="n">
        <v>100</v>
      </c>
      <c r="E71" s="3" t="s">
        <v>10</v>
      </c>
      <c r="F71" s="5" t="n">
        <f aca="false">CV_PT(B71,D71)</f>
        <v>1.55139724946449</v>
      </c>
      <c r="G71" s="5" t="s">
        <v>125</v>
      </c>
      <c r="H71" s="3" t="s">
        <v>145</v>
      </c>
    </row>
    <row r="72" s="4" customFormat="true" ht="12.75" hidden="false" customHeight="false" outlineLevel="1" collapsed="false">
      <c r="A72" s="5" t="s">
        <v>146</v>
      </c>
      <c r="B72" s="3" t="n">
        <v>0.0001</v>
      </c>
      <c r="C72" s="3" t="s">
        <v>12</v>
      </c>
      <c r="D72" s="3" t="n">
        <v>200</v>
      </c>
      <c r="E72" s="3" t="s">
        <v>17</v>
      </c>
      <c r="F72" s="5" t="n">
        <f aca="false">CV_PH(B72,D72)</f>
        <v>2015</v>
      </c>
      <c r="G72" s="5" t="s">
        <v>125</v>
      </c>
      <c r="H72" s="3" t="s">
        <v>147</v>
      </c>
    </row>
    <row r="73" s="4" customFormat="true" ht="12.75" hidden="false" customHeight="false" outlineLevel="1" collapsed="false">
      <c r="A73" s="5" t="s">
        <v>148</v>
      </c>
      <c r="B73" s="3" t="n">
        <v>100</v>
      </c>
      <c r="C73" s="3" t="s">
        <v>12</v>
      </c>
      <c r="D73" s="3" t="n">
        <v>1</v>
      </c>
      <c r="E73" s="3" t="s">
        <v>47</v>
      </c>
      <c r="F73" s="5" t="n">
        <f aca="false">CV_PS(B73,D73)</f>
        <v>3.90291946811366</v>
      </c>
      <c r="G73" s="5" t="s">
        <v>125</v>
      </c>
      <c r="H73" s="3" t="s">
        <v>149</v>
      </c>
    </row>
    <row r="74" s="32" customFormat="true" ht="15" hidden="false" customHeight="false" outlineLevel="0" collapsed="false">
      <c r="A74" s="31" t="s">
        <v>150</v>
      </c>
      <c r="F74" s="33"/>
      <c r="G74" s="33"/>
    </row>
    <row r="75" s="4" customFormat="true" ht="12.75" hidden="false" customHeight="false" outlineLevel="1" collapsed="false">
      <c r="A75" s="5" t="s">
        <v>151</v>
      </c>
      <c r="B75" s="3" t="n">
        <v>100</v>
      </c>
      <c r="C75" s="3" t="s">
        <v>12</v>
      </c>
      <c r="D75" s="3"/>
      <c r="E75" s="3"/>
      <c r="F75" s="5" t="n">
        <f aca="false">WV_P(B75)</f>
        <v>472.054157106048</v>
      </c>
      <c r="G75" s="5" t="s">
        <v>36</v>
      </c>
      <c r="H75" s="3" t="s">
        <v>152</v>
      </c>
    </row>
    <row r="76" s="4" customFormat="true" ht="12.75" hidden="false" customHeight="false" outlineLevel="1" collapsed="false">
      <c r="A76" s="5" t="s">
        <v>153</v>
      </c>
      <c r="B76" s="3" t="n">
        <v>100</v>
      </c>
      <c r="C76" s="3" t="s">
        <v>12</v>
      </c>
      <c r="D76" s="3"/>
      <c r="E76" s="3"/>
      <c r="F76" s="5" t="n">
        <f aca="false">WL_P(B76)</f>
        <v>1545.45194753397</v>
      </c>
      <c r="G76" s="5" t="s">
        <v>36</v>
      </c>
      <c r="H76" s="3" t="s">
        <v>154</v>
      </c>
    </row>
    <row r="77" s="4" customFormat="true" ht="12.75" hidden="false" customHeight="false" outlineLevel="1" collapsed="false">
      <c r="A77" s="5" t="s">
        <v>155</v>
      </c>
      <c r="B77" s="3" t="n">
        <v>100</v>
      </c>
      <c r="C77" s="3" t="s">
        <v>10</v>
      </c>
      <c r="D77" s="3"/>
      <c r="E77" s="3"/>
      <c r="F77" s="5" t="n">
        <f aca="false">WV_T(B77)</f>
        <v>472.255949238944</v>
      </c>
      <c r="G77" s="5" t="s">
        <v>36</v>
      </c>
      <c r="H77" s="3" t="s">
        <v>152</v>
      </c>
    </row>
    <row r="78" s="4" customFormat="true" ht="12.75" hidden="false" customHeight="false" outlineLevel="1" collapsed="false">
      <c r="A78" s="5" t="s">
        <v>156</v>
      </c>
      <c r="B78" s="3" t="n">
        <v>100</v>
      </c>
      <c r="C78" s="3" t="s">
        <v>10</v>
      </c>
      <c r="D78" s="3"/>
      <c r="E78" s="3"/>
      <c r="F78" s="5" t="n">
        <f aca="false">WL_T(B78)</f>
        <v>1545.09224919387</v>
      </c>
      <c r="G78" s="5" t="s">
        <v>36</v>
      </c>
      <c r="H78" s="3" t="s">
        <v>154</v>
      </c>
    </row>
    <row r="79" s="4" customFormat="true" ht="12.75" hidden="false" customHeight="false" outlineLevel="1" collapsed="false">
      <c r="A79" s="5" t="s">
        <v>157</v>
      </c>
      <c r="B79" s="3" t="n">
        <v>100</v>
      </c>
      <c r="C79" s="3" t="s">
        <v>12</v>
      </c>
      <c r="D79" s="3" t="n">
        <v>100</v>
      </c>
      <c r="E79" s="3" t="s">
        <v>10</v>
      </c>
      <c r="F79" s="5" t="n">
        <f aca="false">W_PT(B79,D79)</f>
        <v>472.337523524855</v>
      </c>
      <c r="G79" s="5" t="s">
        <v>36</v>
      </c>
      <c r="H79" s="3" t="s">
        <v>158</v>
      </c>
    </row>
    <row r="80" s="4" customFormat="true" ht="12.75" hidden="false" customHeight="false" outlineLevel="1" collapsed="false">
      <c r="A80" s="5" t="s">
        <v>159</v>
      </c>
      <c r="B80" s="3" t="n">
        <v>100</v>
      </c>
      <c r="C80" s="3" t="s">
        <v>12</v>
      </c>
      <c r="D80" s="3" t="n">
        <v>200</v>
      </c>
      <c r="E80" s="3" t="s">
        <v>17</v>
      </c>
      <c r="F80" s="5" t="n">
        <f aca="false">W_PH(B80,D80)</f>
        <v>1542.68247501147</v>
      </c>
      <c r="G80" s="5" t="s">
        <v>36</v>
      </c>
      <c r="H80" s="3" t="s">
        <v>160</v>
      </c>
    </row>
    <row r="81" s="4" customFormat="true" ht="12.75" hidden="false" customHeight="false" outlineLevel="1" collapsed="false">
      <c r="A81" s="5" t="s">
        <v>161</v>
      </c>
      <c r="B81" s="3" t="n">
        <v>100</v>
      </c>
      <c r="C81" s="3" t="s">
        <v>12</v>
      </c>
      <c r="D81" s="3" t="n">
        <v>1</v>
      </c>
      <c r="E81" s="3" t="s">
        <v>47</v>
      </c>
      <c r="F81" s="5" t="n">
        <f aca="false">W_PS(B81,D81)</f>
        <v>1557.85853553222</v>
      </c>
      <c r="G81" s="5" t="s">
        <v>36</v>
      </c>
      <c r="H81" s="3" t="s">
        <v>162</v>
      </c>
    </row>
    <row r="82" s="32" customFormat="true" ht="15" hidden="false" customHeight="false" outlineLevel="0" collapsed="false">
      <c r="A82" s="31" t="s">
        <v>163</v>
      </c>
      <c r="F82" s="33"/>
      <c r="G82" s="33"/>
    </row>
    <row r="83" s="4" customFormat="true" ht="11.25" hidden="false" customHeight="false" outlineLevel="1" collapsed="false">
      <c r="A83" s="4" t="s">
        <v>164</v>
      </c>
      <c r="F83" s="30"/>
      <c r="G83" s="30"/>
    </row>
    <row r="84" s="4" customFormat="true" ht="11.25" hidden="false" customHeight="false" outlineLevel="1" collapsed="false">
      <c r="A84" s="4" t="s">
        <v>165</v>
      </c>
      <c r="F84" s="30"/>
      <c r="G84" s="30"/>
    </row>
    <row r="85" s="4" customFormat="true" ht="12.75" hidden="false" customHeight="false" outlineLevel="1" collapsed="false">
      <c r="A85" s="5" t="s">
        <v>166</v>
      </c>
      <c r="B85" s="3" t="n">
        <v>100</v>
      </c>
      <c r="C85" s="3" t="s">
        <v>12</v>
      </c>
      <c r="D85" s="3" t="n">
        <v>100</v>
      </c>
      <c r="E85" s="3" t="s">
        <v>10</v>
      </c>
      <c r="F85" s="5" t="n">
        <f aca="false">MY_PT(B85,D85)</f>
        <v>1.22704057071965E-005</v>
      </c>
      <c r="G85" s="5" t="s">
        <v>167</v>
      </c>
      <c r="H85" s="3" t="s">
        <v>168</v>
      </c>
    </row>
    <row r="86" s="4" customFormat="true" ht="12.75" hidden="false" customHeight="false" outlineLevel="1" collapsed="false">
      <c r="A86" s="5" t="s">
        <v>169</v>
      </c>
      <c r="B86" s="3" t="n">
        <v>100</v>
      </c>
      <c r="C86" s="3" t="s">
        <v>12</v>
      </c>
      <c r="D86" s="3" t="n">
        <v>100</v>
      </c>
      <c r="E86" s="3" t="s">
        <v>17</v>
      </c>
      <c r="F86" s="34" t="n">
        <f aca="false">MY_PH(B86,D86)</f>
        <v>0.000914003770302112</v>
      </c>
      <c r="G86" s="5" t="s">
        <v>167</v>
      </c>
      <c r="H86" s="3" t="s">
        <v>170</v>
      </c>
    </row>
    <row r="87" s="4" customFormat="true" ht="12.75" hidden="false" customHeight="false" outlineLevel="1" collapsed="false">
      <c r="A87" s="5" t="s">
        <v>171</v>
      </c>
      <c r="B87" s="3" t="n">
        <v>100</v>
      </c>
      <c r="C87" s="3" t="s">
        <v>12</v>
      </c>
      <c r="D87" s="3" t="n">
        <v>1</v>
      </c>
      <c r="E87" s="3" t="s">
        <v>47</v>
      </c>
      <c r="F87" s="34" t="n">
        <f aca="false">MY_PS(B87,D87)</f>
        <v>0.000384221865647568</v>
      </c>
      <c r="G87" s="5" t="s">
        <v>167</v>
      </c>
      <c r="H87" s="3" t="s">
        <v>172</v>
      </c>
    </row>
    <row r="88" customFormat="false" ht="18" hidden="false" customHeight="false" outlineLevel="0" collapsed="false">
      <c r="A88" s="2" t="s">
        <v>173</v>
      </c>
      <c r="F88" s="34"/>
      <c r="H88" s="35"/>
      <c r="I88" s="9"/>
      <c r="J88" s="9"/>
      <c r="K88" s="9"/>
      <c r="L88" s="9"/>
      <c r="M88" s="9"/>
    </row>
    <row r="89" customFormat="false" ht="12.75" hidden="false" customHeight="false" outlineLevel="1" collapsed="false">
      <c r="A89" s="4" t="s">
        <v>174</v>
      </c>
      <c r="F89" s="34"/>
      <c r="H89" s="35"/>
      <c r="I89" s="9"/>
      <c r="J89" s="9"/>
      <c r="K89" s="9"/>
      <c r="L89" s="9"/>
      <c r="M89" s="9"/>
    </row>
    <row r="90" customFormat="false" ht="12.75" hidden="false" customHeight="false" outlineLevel="1" collapsed="false">
      <c r="A90" s="5" t="s">
        <v>175</v>
      </c>
      <c r="B90" s="3" t="n">
        <v>100</v>
      </c>
      <c r="C90" s="3" t="s">
        <v>12</v>
      </c>
      <c r="D90" s="1" t="n">
        <v>200</v>
      </c>
      <c r="E90" s="1" t="s">
        <v>10</v>
      </c>
      <c r="F90" s="34" t="n">
        <f aca="false">PR_PT(B90,D90)</f>
        <v>0.957808214385887</v>
      </c>
      <c r="G90" s="5" t="s">
        <v>176</v>
      </c>
      <c r="H90" s="35"/>
      <c r="I90" s="9"/>
      <c r="J90" s="9"/>
      <c r="K90" s="9"/>
      <c r="L90" s="9"/>
      <c r="M90" s="9"/>
    </row>
    <row r="91" customFormat="false" ht="12.75" hidden="false" customHeight="false" outlineLevel="1" collapsed="false">
      <c r="A91" s="5" t="s">
        <v>177</v>
      </c>
      <c r="B91" s="3" t="n">
        <v>100</v>
      </c>
      <c r="C91" s="3" t="s">
        <v>12</v>
      </c>
      <c r="D91" s="1" t="n">
        <v>2875.4750649489</v>
      </c>
      <c r="E91" s="1" t="s">
        <v>17</v>
      </c>
      <c r="F91" s="34" t="n">
        <f aca="false">PR_PH(B91,D91)</f>
        <v>0.957808261483562</v>
      </c>
      <c r="G91" s="5" t="s">
        <v>176</v>
      </c>
      <c r="H91" s="35"/>
      <c r="I91" s="9"/>
      <c r="J91" s="9"/>
      <c r="K91" s="9"/>
      <c r="L91" s="9"/>
      <c r="M91" s="9"/>
    </row>
    <row r="92" s="32" customFormat="true" ht="15" hidden="false" customHeight="false" outlineLevel="0" collapsed="false">
      <c r="A92" s="31" t="s">
        <v>178</v>
      </c>
      <c r="F92" s="33"/>
      <c r="G92" s="33"/>
      <c r="H92" s="36"/>
      <c r="I92" s="36"/>
      <c r="J92" s="36"/>
      <c r="K92" s="36"/>
      <c r="L92" s="36"/>
      <c r="M92" s="36"/>
    </row>
    <row r="93" s="4" customFormat="true" ht="11.25" hidden="false" customHeight="false" outlineLevel="1" collapsed="false">
      <c r="A93" s="4" t="s">
        <v>179</v>
      </c>
      <c r="F93" s="30"/>
      <c r="G93" s="30"/>
    </row>
    <row r="94" s="4" customFormat="true" ht="12.75" hidden="false" customHeight="false" outlineLevel="1" collapsed="false">
      <c r="A94" s="5" t="s">
        <v>180</v>
      </c>
      <c r="B94" s="3" t="n">
        <v>100</v>
      </c>
      <c r="C94" s="3" t="s">
        <v>12</v>
      </c>
      <c r="D94" s="3"/>
      <c r="E94" s="3"/>
      <c r="F94" s="5" t="n">
        <f aca="false">TCL_P(B94)</f>
        <v>0.677593821766432</v>
      </c>
      <c r="G94" s="5" t="s">
        <v>181</v>
      </c>
      <c r="H94" s="3" t="s">
        <v>182</v>
      </c>
    </row>
    <row r="95" s="4" customFormat="true" ht="12.75" hidden="false" customHeight="false" outlineLevel="1" collapsed="false">
      <c r="A95" s="5" t="s">
        <v>183</v>
      </c>
      <c r="B95" s="3" t="n">
        <v>100</v>
      </c>
      <c r="C95" s="3" t="s">
        <v>12</v>
      </c>
      <c r="D95" s="3"/>
      <c r="E95" s="3"/>
      <c r="F95" s="5" t="n">
        <f aca="false">TCV_P(B95)</f>
        <v>0.0247536675923502</v>
      </c>
      <c r="G95" s="5" t="s">
        <v>181</v>
      </c>
      <c r="H95" s="3" t="s">
        <v>184</v>
      </c>
    </row>
    <row r="96" s="4" customFormat="true" ht="12.75" hidden="false" customHeight="false" outlineLevel="1" collapsed="false">
      <c r="A96" s="5" t="s">
        <v>185</v>
      </c>
      <c r="B96" s="3" t="n">
        <v>25</v>
      </c>
      <c r="C96" s="3" t="s">
        <v>10</v>
      </c>
      <c r="D96" s="3"/>
      <c r="E96" s="3"/>
      <c r="F96" s="5" t="n">
        <f aca="false">TCL_T(B96)</f>
        <v>0.607458161578871</v>
      </c>
      <c r="G96" s="5" t="s">
        <v>181</v>
      </c>
      <c r="H96" s="3" t="s">
        <v>182</v>
      </c>
    </row>
    <row r="97" s="4" customFormat="true" ht="12.75" hidden="false" customHeight="false" outlineLevel="1" collapsed="false">
      <c r="A97" s="5" t="s">
        <v>186</v>
      </c>
      <c r="B97" s="3" t="n">
        <v>25</v>
      </c>
      <c r="C97" s="3" t="s">
        <v>10</v>
      </c>
      <c r="D97" s="3"/>
      <c r="E97" s="3"/>
      <c r="F97" s="5" t="n">
        <f aca="false">TCV_T(B97)</f>
        <v>0.0183267228768631</v>
      </c>
      <c r="G97" s="5" t="s">
        <v>181</v>
      </c>
      <c r="H97" s="3" t="s">
        <v>184</v>
      </c>
    </row>
    <row r="98" s="4" customFormat="true" ht="12.75" hidden="false" customHeight="false" outlineLevel="1" collapsed="false">
      <c r="A98" s="5" t="s">
        <v>187</v>
      </c>
      <c r="B98" s="3" t="n">
        <v>100</v>
      </c>
      <c r="C98" s="3" t="s">
        <v>12</v>
      </c>
      <c r="D98" s="3" t="n">
        <v>25</v>
      </c>
      <c r="E98" s="3" t="s">
        <v>10</v>
      </c>
      <c r="F98" s="5" t="n">
        <f aca="false">TC_PT(B98,D98)</f>
        <v>0.607509806390758</v>
      </c>
      <c r="G98" s="5" t="s">
        <v>181</v>
      </c>
      <c r="H98" s="3" t="s">
        <v>188</v>
      </c>
    </row>
    <row r="99" s="4" customFormat="true" ht="12.75" hidden="false" customHeight="false" outlineLevel="1" collapsed="false">
      <c r="A99" s="5" t="s">
        <v>189</v>
      </c>
      <c r="B99" s="3" t="n">
        <v>100</v>
      </c>
      <c r="C99" s="3" t="s">
        <v>12</v>
      </c>
      <c r="D99" s="3" t="n">
        <v>100</v>
      </c>
      <c r="E99" s="3" t="s">
        <v>47</v>
      </c>
      <c r="F99" s="5" t="n">
        <f aca="false">TC_PH(B99,D99)</f>
        <v>0.605710062456013</v>
      </c>
      <c r="G99" s="5" t="s">
        <v>181</v>
      </c>
      <c r="H99" s="3" t="s">
        <v>190</v>
      </c>
    </row>
    <row r="100" s="4" customFormat="true" ht="12.75" hidden="false" customHeight="false" outlineLevel="1" collapsed="false">
      <c r="A100" s="5" t="s">
        <v>191</v>
      </c>
      <c r="B100" s="3" t="n">
        <v>100</v>
      </c>
      <c r="C100" s="3" t="s">
        <v>47</v>
      </c>
      <c r="D100" s="3" t="n">
        <v>0.34</v>
      </c>
      <c r="E100" s="3" t="s">
        <v>47</v>
      </c>
      <c r="F100" s="5" t="n">
        <f aca="false">TC_HS(B100,D100)</f>
        <v>0.606283123848912</v>
      </c>
      <c r="G100" s="5" t="s">
        <v>181</v>
      </c>
      <c r="H100" s="3" t="s">
        <v>192</v>
      </c>
    </row>
    <row r="101" s="4" customFormat="true" ht="15" hidden="false" customHeight="false" outlineLevel="0" collapsed="false">
      <c r="A101" s="31" t="s">
        <v>193</v>
      </c>
      <c r="B101" s="3"/>
      <c r="C101" s="3"/>
      <c r="D101" s="3"/>
      <c r="E101" s="3"/>
      <c r="F101" s="5"/>
      <c r="G101" s="5"/>
      <c r="H101" s="3"/>
    </row>
    <row r="102" s="4" customFormat="true" ht="11.25" hidden="false" customHeight="false" outlineLevel="1" collapsed="false">
      <c r="A102" s="4" t="s">
        <v>194</v>
      </c>
      <c r="F102" s="30"/>
      <c r="G102" s="30"/>
    </row>
    <row r="103" s="4" customFormat="true" ht="12.75" hidden="false" customHeight="false" outlineLevel="1" collapsed="false">
      <c r="A103" s="5" t="s">
        <v>195</v>
      </c>
      <c r="B103" s="3" t="n">
        <v>100</v>
      </c>
      <c r="C103" s="3" t="s">
        <v>10</v>
      </c>
      <c r="D103" s="3"/>
      <c r="E103" s="3"/>
      <c r="F103" s="5" t="n">
        <f aca="false">ST_T(B104)</f>
        <v>0.0589118685876641</v>
      </c>
      <c r="G103" s="5" t="s">
        <v>196</v>
      </c>
      <c r="H103" s="3" t="s">
        <v>197</v>
      </c>
    </row>
    <row r="104" s="4" customFormat="true" ht="12.75" hidden="false" customHeight="false" outlineLevel="1" collapsed="false">
      <c r="A104" s="5" t="s">
        <v>198</v>
      </c>
      <c r="B104" s="3" t="n">
        <v>100</v>
      </c>
      <c r="C104" s="3" t="s">
        <v>12</v>
      </c>
      <c r="D104" s="3"/>
      <c r="E104" s="3"/>
      <c r="F104" s="5" t="n">
        <f aca="false">ST_P(B104)</f>
        <v>0.0589877841808599</v>
      </c>
      <c r="G104" s="5" t="s">
        <v>196</v>
      </c>
      <c r="H104" s="3" t="s">
        <v>197</v>
      </c>
    </row>
    <row r="105" s="32" customFormat="true" ht="15" hidden="false" customHeight="false" outlineLevel="0" collapsed="false">
      <c r="A105" s="31" t="s">
        <v>30</v>
      </c>
      <c r="F105" s="33"/>
      <c r="G105" s="33"/>
    </row>
    <row r="106" s="4" customFormat="true" ht="12.75" hidden="false" customHeight="false" outlineLevel="1" collapsed="false">
      <c r="A106" s="5" t="s">
        <v>199</v>
      </c>
      <c r="B106" s="3" t="n">
        <v>100</v>
      </c>
      <c r="C106" s="3" t="s">
        <v>12</v>
      </c>
      <c r="D106" s="3" t="n">
        <v>1000</v>
      </c>
      <c r="E106" s="3" t="s">
        <v>17</v>
      </c>
      <c r="F106" s="5" t="n">
        <f aca="false">X_PH(B106,D106)</f>
        <v>0.258055423902795</v>
      </c>
      <c r="G106" s="5"/>
      <c r="H106" s="3" t="s">
        <v>200</v>
      </c>
    </row>
    <row r="107" s="4" customFormat="true" ht="12.75" hidden="false" customHeight="false" outlineLevel="1" collapsed="false">
      <c r="A107" s="5" t="s">
        <v>201</v>
      </c>
      <c r="B107" s="3" t="n">
        <v>100</v>
      </c>
      <c r="C107" s="3" t="s">
        <v>12</v>
      </c>
      <c r="D107" s="3" t="n">
        <v>4</v>
      </c>
      <c r="E107" s="3" t="s">
        <v>47</v>
      </c>
      <c r="F107" s="5" t="n">
        <f aca="false">X_PS(B107,D107)</f>
        <v>0.44539796073232</v>
      </c>
      <c r="G107" s="5"/>
      <c r="H107" s="3" t="s">
        <v>202</v>
      </c>
    </row>
    <row r="108" s="32" customFormat="true" ht="15" hidden="false" customHeight="false" outlineLevel="0" collapsed="false">
      <c r="A108" s="31" t="s">
        <v>203</v>
      </c>
      <c r="F108" s="33"/>
      <c r="G108" s="33"/>
    </row>
    <row r="109" s="4" customFormat="true" ht="11.25" hidden="false" customHeight="false" outlineLevel="1" collapsed="false">
      <c r="A109" s="4" t="s">
        <v>204</v>
      </c>
      <c r="F109" s="30"/>
      <c r="G109" s="30"/>
    </row>
    <row r="110" s="4" customFormat="true" ht="11.25" hidden="false" customHeight="false" outlineLevel="1" collapsed="false">
      <c r="A110" s="4" t="s">
        <v>205</v>
      </c>
      <c r="F110" s="30"/>
      <c r="G110" s="30"/>
    </row>
    <row r="111" s="4" customFormat="true" ht="12.75" hidden="false" customHeight="false" outlineLevel="1" collapsed="false">
      <c r="A111" s="5" t="s">
        <v>206</v>
      </c>
      <c r="B111" s="3" t="n">
        <v>100</v>
      </c>
      <c r="C111" s="3" t="s">
        <v>12</v>
      </c>
      <c r="D111" s="3" t="n">
        <v>418</v>
      </c>
      <c r="E111" s="3" t="s">
        <v>17</v>
      </c>
      <c r="F111" s="37" t="n">
        <f aca="false">VX_PH(B111,D111)</f>
        <v>0.288493093437067</v>
      </c>
      <c r="G111" s="5"/>
      <c r="H111" s="3" t="s">
        <v>207</v>
      </c>
    </row>
    <row r="112" s="4" customFormat="true" ht="12.75" hidden="false" customHeight="false" outlineLevel="1" collapsed="false">
      <c r="A112" s="5" t="s">
        <v>208</v>
      </c>
      <c r="B112" s="3" t="n">
        <v>100</v>
      </c>
      <c r="C112" s="3" t="s">
        <v>12</v>
      </c>
      <c r="D112" s="3" t="n">
        <v>4</v>
      </c>
      <c r="E112" s="3" t="s">
        <v>47</v>
      </c>
      <c r="F112" s="37" t="n">
        <f aca="false">VX_PS(B112,D112)</f>
        <v>0.99923382663888</v>
      </c>
      <c r="G112" s="5"/>
      <c r="H112" s="3" t="s">
        <v>209</v>
      </c>
    </row>
    <row r="113" s="4" customFormat="true" ht="11.25" hidden="false" customHeight="false" outlineLevel="0" collapsed="false">
      <c r="F113" s="30"/>
      <c r="G113" s="30"/>
    </row>
    <row r="114" customFormat="false" ht="15" hidden="false" customHeight="false" outlineLevel="0" collapsed="false">
      <c r="A114" s="31" t="s">
        <v>210</v>
      </c>
    </row>
    <row r="115" customFormat="false" ht="12.75" hidden="false" customHeight="false" outlineLevel="0" collapsed="false">
      <c r="A115" s="30" t="s">
        <v>211</v>
      </c>
    </row>
    <row r="116" customFormat="false" ht="12.75" hidden="false" customHeight="false" outlineLevel="0" collapsed="false">
      <c r="A116" s="4" t="s">
        <v>212</v>
      </c>
    </row>
    <row r="117" customFormat="false" ht="12.75" hidden="false" customHeight="false" outlineLevel="0" collapsed="false">
      <c r="A117" s="4" t="s">
        <v>213</v>
      </c>
    </row>
    <row r="118" customFormat="false" ht="12.75" hidden="false" customHeight="false" outlineLevel="0" collapsed="false">
      <c r="A118" s="4" t="s">
        <v>214</v>
      </c>
    </row>
    <row r="119" customFormat="false" ht="12.75" hidden="false" customHeight="false" outlineLevel="0" collapsed="false">
      <c r="A119" s="30" t="s">
        <v>215</v>
      </c>
    </row>
    <row r="120" customFormat="false" ht="12.75" hidden="false" customHeight="false" outlineLevel="0" collapsed="false">
      <c r="A120" s="4" t="s">
        <v>216</v>
      </c>
    </row>
    <row r="121" customFormat="false" ht="12.75" hidden="false" customHeight="false" outlineLevel="0" collapsed="false">
      <c r="A121" s="30" t="s">
        <v>217</v>
      </c>
    </row>
    <row r="122" customFormat="false" ht="12.75" hidden="false" customHeight="false" outlineLevel="0" collapsed="false">
      <c r="A122" s="4" t="s">
        <v>218</v>
      </c>
    </row>
    <row r="123" customFormat="false" ht="12.75" hidden="false" customHeight="false" outlineLevel="0" collapsed="false">
      <c r="A123" s="4" t="s">
        <v>219</v>
      </c>
    </row>
    <row r="124" customFormat="false" ht="10.9" hidden="false" customHeight="true" outlineLevel="0" collapsed="false">
      <c r="A124" s="4" t="s">
        <v>220</v>
      </c>
    </row>
    <row r="125" customFormat="false" ht="11.45" hidden="false" customHeight="true" outlineLevel="0" collapsed="false">
      <c r="A125" s="4" t="s">
        <v>221</v>
      </c>
    </row>
    <row r="126" customFormat="false" ht="11.45" hidden="false" customHeight="true" outlineLevel="0" collapsed="false">
      <c r="A126" s="30" t="s">
        <v>222</v>
      </c>
    </row>
    <row r="127" customFormat="false" ht="12.75" hidden="false" customHeight="false" outlineLevel="0" collapsed="false">
      <c r="A127" s="4" t="s">
        <v>223</v>
      </c>
    </row>
    <row r="128" customFormat="false" ht="12.75" hidden="false" customHeight="false" outlineLevel="0" collapsed="false">
      <c r="A128" s="4" t="s">
        <v>224</v>
      </c>
    </row>
    <row r="129" customFormat="false" ht="12.75" hidden="false" customHeight="false" outlineLevel="0" collapsed="false">
      <c r="A129" s="4" t="s">
        <v>225</v>
      </c>
    </row>
    <row r="130" customFormat="false" ht="12.75" hidden="false" customHeight="false" outlineLevel="0" collapsed="false">
      <c r="A130" s="4" t="s">
        <v>226</v>
      </c>
    </row>
    <row r="131" customFormat="false" ht="12.75" hidden="false" customHeight="false" outlineLevel="0" collapsed="false">
      <c r="A131" s="4" t="s">
        <v>227</v>
      </c>
    </row>
    <row r="132" customFormat="false" ht="12.75" hidden="false" customHeight="false" outlineLevel="0" collapsed="false">
      <c r="A132" s="30" t="s">
        <v>228</v>
      </c>
    </row>
    <row r="133" customFormat="false" ht="12.75" hidden="false" customHeight="false" outlineLevel="0" collapsed="false">
      <c r="A133" s="4" t="s">
        <v>224</v>
      </c>
    </row>
    <row r="134" customFormat="false" ht="12.75" hidden="false" customHeight="false" outlineLevel="0" collapsed="false">
      <c r="A134" s="4" t="s">
        <v>229</v>
      </c>
    </row>
    <row r="135" customFormat="false" ht="12.75" hidden="false" customHeight="false" outlineLevel="0" collapsed="false">
      <c r="A135" s="4" t="s">
        <v>230</v>
      </c>
    </row>
    <row r="136" customFormat="false" ht="12.75" hidden="false" customHeight="false" outlineLevel="0" collapsed="false">
      <c r="A136" s="4" t="s">
        <v>231</v>
      </c>
    </row>
    <row r="137" customFormat="false" ht="12.75" hidden="false" customHeight="false" outlineLevel="0" collapsed="false">
      <c r="A137" s="4" t="s">
        <v>232</v>
      </c>
    </row>
    <row r="138" customFormat="false" ht="12.75" hidden="false" customHeight="false" outlineLevel="0" collapsed="false">
      <c r="A138" s="30" t="s">
        <v>233</v>
      </c>
    </row>
    <row r="139" customFormat="false" ht="12.75" hidden="false" customHeight="false" outlineLevel="0" collapsed="false">
      <c r="A139" s="4" t="s">
        <v>234</v>
      </c>
    </row>
    <row r="140" customFormat="false" ht="12.75" hidden="false" customHeight="false" outlineLevel="0" collapsed="false">
      <c r="A140" s="4" t="s">
        <v>235</v>
      </c>
    </row>
    <row r="141" customFormat="false" ht="12.75" hidden="false" customHeight="false" outlineLevel="0" collapsed="false">
      <c r="A141" s="4" t="s">
        <v>236</v>
      </c>
    </row>
    <row r="142" customFormat="false" ht="12.75" hidden="false" customHeight="false" outlineLevel="0" collapsed="false">
      <c r="A142" s="30" t="s">
        <v>237</v>
      </c>
    </row>
    <row r="143" customFormat="false" ht="12.75" hidden="false" customHeight="false" outlineLevel="0" collapsed="false">
      <c r="A143" s="4" t="s">
        <v>238</v>
      </c>
    </row>
    <row r="144" customFormat="false" ht="12.75" hidden="false" customHeight="false" outlineLevel="0" collapsed="false">
      <c r="A144" s="4" t="s">
        <v>239</v>
      </c>
    </row>
    <row r="145" customFormat="false" ht="12.75" hidden="false" customHeight="false" outlineLevel="0" collapsed="false">
      <c r="A145" s="4" t="s">
        <v>240</v>
      </c>
    </row>
    <row r="146" customFormat="false" ht="12.75" hidden="false" customHeight="false" outlineLevel="0" collapsed="false">
      <c r="A146" s="4" t="s">
        <v>241</v>
      </c>
    </row>
    <row r="147" customFormat="false" ht="12.75" hidden="false" customHeight="false" outlineLevel="0" collapsed="false">
      <c r="A147" s="4" t="s">
        <v>242</v>
      </c>
    </row>
  </sheetData>
  <hyperlinks>
    <hyperlink ref="E1" r:id="rId1" display="http://www.x-eng.com"/>
    <hyperlink ref="F4" r:id="rId2" display="magnus@x-eng.com"/>
  </hyperlinks>
  <printOptions headings="false" gridLines="false" gridLinesSet="true" horizontalCentered="false" verticalCentered="false"/>
  <pageMargins left="0.75" right="0.75" top="1" bottom="1" header="0.511805555555555" footer="0.511805555555555"/>
  <pageSetup paperSize="9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3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AS649"/>
  <sheetViews>
    <sheetView showFormulas="false" showGridLines="true" showRowColHeaders="true" showZeros="true" rightToLeft="false" tabSelected="false" showOutlineSymbols="true" defaultGridColor="true" view="normal" topLeftCell="W1" colorId="64" zoomScale="100" zoomScaleNormal="100" zoomScalePageLayoutView="100" workbookViewId="0">
      <selection pane="topLeft" activeCell="B4" activeCellId="1" sqref="A41:B46 B4"/>
    </sheetView>
  </sheetViews>
  <sheetFormatPr defaultRowHeight="12.8" zeroHeight="false" outlineLevelRow="0" outlineLevelCol="0"/>
  <cols>
    <col collapsed="false" customWidth="true" hidden="false" outlineLevel="0" max="1025" min="1" style="0" width="8.67"/>
  </cols>
  <sheetData>
    <row r="1" customFormat="false" ht="13.8" hidden="false" customHeight="false" outlineLevel="0" collapsed="false">
      <c r="B1" s="0" t="n">
        <v>1</v>
      </c>
      <c r="C1" s="0" t="n">
        <v>2</v>
      </c>
      <c r="D1" s="0" t="n">
        <v>3</v>
      </c>
      <c r="E1" s="0" t="n">
        <v>4</v>
      </c>
      <c r="F1" s="0" t="n">
        <v>5</v>
      </c>
      <c r="G1" s="0" t="n">
        <v>6</v>
      </c>
      <c r="H1" s="0" t="n">
        <v>7</v>
      </c>
      <c r="I1" s="0" t="n">
        <v>8</v>
      </c>
      <c r="J1" s="0" t="n">
        <v>9</v>
      </c>
      <c r="K1" s="0" t="n">
        <v>10</v>
      </c>
      <c r="L1" s="0" t="n">
        <v>11</v>
      </c>
      <c r="M1" s="0" t="n">
        <v>12</v>
      </c>
      <c r="N1" s="0" t="n">
        <v>13</v>
      </c>
      <c r="O1" s="0" t="n">
        <v>14</v>
      </c>
      <c r="P1" s="0" t="n">
        <v>15</v>
      </c>
      <c r="Q1" s="0" t="n">
        <v>16</v>
      </c>
      <c r="R1" s="0" t="n">
        <v>17</v>
      </c>
      <c r="S1" s="0" t="n">
        <v>18</v>
      </c>
      <c r="T1" s="0" t="n">
        <v>19</v>
      </c>
      <c r="U1" s="0" t="n">
        <v>20</v>
      </c>
      <c r="V1" s="0" t="n">
        <v>21</v>
      </c>
      <c r="W1" s="0" t="n">
        <v>22</v>
      </c>
      <c r="X1" s="0" t="n">
        <v>23</v>
      </c>
      <c r="Y1" s="0" t="n">
        <v>24</v>
      </c>
      <c r="Z1" s="0" t="n">
        <v>25</v>
      </c>
      <c r="AA1" s="0" t="n">
        <v>26</v>
      </c>
      <c r="AB1" s="0" t="n">
        <v>27</v>
      </c>
      <c r="AC1" s="0" t="n">
        <v>28</v>
      </c>
      <c r="AD1" s="0" t="n">
        <v>29</v>
      </c>
      <c r="AE1" s="0" t="n">
        <v>30</v>
      </c>
      <c r="AF1" s="0" t="n">
        <v>31</v>
      </c>
      <c r="AG1" s="0" t="n">
        <v>32</v>
      </c>
      <c r="AH1" s="0" t="n">
        <v>33</v>
      </c>
      <c r="AI1" s="0" t="n">
        <v>34</v>
      </c>
      <c r="AJ1" s="0" t="n">
        <v>35</v>
      </c>
      <c r="AK1" s="0" t="n">
        <v>36</v>
      </c>
      <c r="AL1" s="0" t="n">
        <v>37</v>
      </c>
      <c r="AM1" s="0" t="n">
        <v>38</v>
      </c>
      <c r="AN1" s="0" t="n">
        <v>39</v>
      </c>
      <c r="AO1" s="0" t="n">
        <v>40</v>
      </c>
      <c r="AP1" s="0" t="n">
        <v>41</v>
      </c>
      <c r="AQ1" s="0" t="n">
        <v>42</v>
      </c>
      <c r="AR1" s="0" t="n">
        <v>43</v>
      </c>
      <c r="AS1" s="0" t="n">
        <v>44</v>
      </c>
    </row>
    <row r="2" customFormat="false" ht="13.8" hidden="false" customHeight="false" outlineLevel="0" collapsed="false">
      <c r="A2" s="0" t="s">
        <v>243</v>
      </c>
      <c r="B2" s="0" t="n">
        <v>0.611657</v>
      </c>
      <c r="C2" s="0" t="n">
        <v>0.711657</v>
      </c>
      <c r="D2" s="0" t="n">
        <v>0.811657</v>
      </c>
      <c r="E2" s="0" t="n">
        <v>0.911657</v>
      </c>
      <c r="F2" s="0" t="n">
        <v>1.011657</v>
      </c>
      <c r="G2" s="0" t="n">
        <v>2.011657</v>
      </c>
      <c r="H2" s="0" t="n">
        <v>3.011657</v>
      </c>
      <c r="I2" s="0" t="n">
        <v>4.011657</v>
      </c>
      <c r="J2" s="0" t="n">
        <v>5.011657</v>
      </c>
      <c r="K2" s="0" t="n">
        <v>6.011657</v>
      </c>
      <c r="L2" s="0" t="n">
        <v>7.011657</v>
      </c>
      <c r="M2" s="0" t="n">
        <v>8.011657</v>
      </c>
      <c r="N2" s="0" t="n">
        <v>9.011657</v>
      </c>
      <c r="O2" s="0" t="n">
        <v>10.011657</v>
      </c>
      <c r="P2" s="0" t="n">
        <v>20.011657</v>
      </c>
      <c r="Q2" s="0" t="n">
        <v>30.011657</v>
      </c>
      <c r="R2" s="0" t="n">
        <v>40.011657</v>
      </c>
      <c r="S2" s="0" t="n">
        <v>50.011657</v>
      </c>
      <c r="T2" s="0" t="n">
        <v>60.011657</v>
      </c>
      <c r="U2" s="0" t="n">
        <v>70.011657</v>
      </c>
      <c r="V2" s="0" t="n">
        <v>80.011657</v>
      </c>
      <c r="W2" s="0" t="n">
        <v>90.011657</v>
      </c>
      <c r="X2" s="0" t="n">
        <v>100.011657</v>
      </c>
      <c r="Y2" s="0" t="n">
        <v>200.011657</v>
      </c>
      <c r="Z2" s="0" t="n">
        <v>300.011657</v>
      </c>
      <c r="AA2" s="0" t="n">
        <v>400.011657</v>
      </c>
      <c r="AB2" s="0" t="n">
        <v>500.011657</v>
      </c>
      <c r="AC2" s="0" t="n">
        <v>600.011657</v>
      </c>
      <c r="AD2" s="0" t="n">
        <v>700.011657</v>
      </c>
      <c r="AE2" s="0" t="n">
        <v>800.011657</v>
      </c>
      <c r="AF2" s="0" t="n">
        <v>900.011657</v>
      </c>
      <c r="AG2" s="0" t="n">
        <v>1000.011657</v>
      </c>
      <c r="AH2" s="0" t="n">
        <v>2000.011657</v>
      </c>
      <c r="AI2" s="0" t="n">
        <v>3000.011657</v>
      </c>
      <c r="AJ2" s="0" t="n">
        <v>4000.011657</v>
      </c>
      <c r="AK2" s="0" t="n">
        <v>5000.011657</v>
      </c>
      <c r="AL2" s="0" t="n">
        <v>6000.011657</v>
      </c>
      <c r="AM2" s="0" t="n">
        <v>7000.011657</v>
      </c>
      <c r="AN2" s="0" t="n">
        <v>8000.011657</v>
      </c>
      <c r="AO2" s="0" t="n">
        <v>9000.011657</v>
      </c>
      <c r="AP2" s="0" t="n">
        <v>10000.011657</v>
      </c>
      <c r="AQ2" s="0" t="n">
        <v>20000.011657</v>
      </c>
      <c r="AR2" s="0" t="n">
        <v>22063.95</v>
      </c>
      <c r="AS2" s="0" t="n">
        <v>23000</v>
      </c>
    </row>
    <row r="3" customFormat="false" ht="13.8" hidden="false" customHeight="false" outlineLevel="0" collapsed="false">
      <c r="A3" s="0" t="s">
        <v>244</v>
      </c>
      <c r="B3" s="0" t="n">
        <v>-0.00015</v>
      </c>
      <c r="C3" s="0" t="n">
        <v>0</v>
      </c>
      <c r="D3" s="0" t="n">
        <v>0.001</v>
      </c>
      <c r="E3" s="0" t="n">
        <v>0.002</v>
      </c>
      <c r="F3" s="0" t="n">
        <v>0.003</v>
      </c>
      <c r="G3" s="0" t="n">
        <v>0.004</v>
      </c>
      <c r="H3" s="0" t="n">
        <v>0.005</v>
      </c>
      <c r="I3" s="0" t="n">
        <v>0.006</v>
      </c>
      <c r="J3" s="0" t="n">
        <v>0.007</v>
      </c>
      <c r="K3" s="0" t="n">
        <v>0.008</v>
      </c>
      <c r="L3" s="0" t="n">
        <v>0.009</v>
      </c>
      <c r="M3" s="0" t="n">
        <v>0.01</v>
      </c>
      <c r="N3" s="0" t="n">
        <v>0.02</v>
      </c>
      <c r="O3" s="0" t="n">
        <v>0.03</v>
      </c>
      <c r="P3" s="0" t="n">
        <v>0.04</v>
      </c>
      <c r="Q3" s="0" t="n">
        <v>0.05</v>
      </c>
      <c r="R3" s="0" t="n">
        <v>0.06</v>
      </c>
      <c r="S3" s="0" t="n">
        <v>0.07</v>
      </c>
      <c r="T3" s="0" t="n">
        <v>0.08</v>
      </c>
      <c r="U3" s="0" t="n">
        <v>0.09</v>
      </c>
      <c r="V3" s="0" t="n">
        <v>0.1</v>
      </c>
      <c r="W3" s="0" t="n">
        <v>0.2</v>
      </c>
      <c r="X3" s="0" t="n">
        <v>0.3</v>
      </c>
      <c r="Y3" s="0" t="n">
        <v>0.4</v>
      </c>
      <c r="Z3" s="0" t="n">
        <v>0.5</v>
      </c>
      <c r="AA3" s="0" t="n">
        <v>0.6</v>
      </c>
      <c r="AB3" s="0" t="n">
        <v>0.7</v>
      </c>
      <c r="AC3" s="0" t="n">
        <v>0.8</v>
      </c>
      <c r="AD3" s="0" t="n">
        <v>0.9</v>
      </c>
      <c r="AE3" s="0" t="n">
        <v>1</v>
      </c>
      <c r="AF3" s="0" t="n">
        <v>2</v>
      </c>
      <c r="AG3" s="0" t="n">
        <v>3</v>
      </c>
      <c r="AH3" s="0" t="n">
        <v>4</v>
      </c>
      <c r="AI3" s="0" t="n">
        <v>5</v>
      </c>
      <c r="AJ3" s="0" t="n">
        <v>6</v>
      </c>
      <c r="AK3" s="0" t="n">
        <v>7</v>
      </c>
      <c r="AL3" s="0" t="n">
        <v>8</v>
      </c>
      <c r="AM3" s="0" t="n">
        <v>9</v>
      </c>
      <c r="AN3" s="0" t="n">
        <v>9.15574</v>
      </c>
      <c r="AO3" s="0" t="n">
        <v>9.2</v>
      </c>
    </row>
    <row r="4" customFormat="false" ht="13.8" hidden="false" customHeight="false" outlineLevel="0" collapsed="false">
      <c r="A4" s="0" t="s">
        <v>245</v>
      </c>
      <c r="B4" s="0" t="n">
        <v>0</v>
      </c>
      <c r="C4" s="0" t="n">
        <v>0.1</v>
      </c>
      <c r="D4" s="0" t="n">
        <v>0.2</v>
      </c>
      <c r="E4" s="0" t="n">
        <v>0.3</v>
      </c>
      <c r="F4" s="0" t="n">
        <v>0.4</v>
      </c>
      <c r="G4" s="0" t="n">
        <v>0.5</v>
      </c>
      <c r="H4" s="0" t="n">
        <v>0.6</v>
      </c>
      <c r="I4" s="0" t="n">
        <v>0.7</v>
      </c>
      <c r="J4" s="0" t="n">
        <v>0.8</v>
      </c>
      <c r="K4" s="0" t="n">
        <v>0.9</v>
      </c>
      <c r="L4" s="0" t="n">
        <v>1</v>
      </c>
      <c r="M4" s="0" t="n">
        <v>2</v>
      </c>
      <c r="N4" s="0" t="n">
        <v>3</v>
      </c>
      <c r="O4" s="0" t="n">
        <v>4</v>
      </c>
      <c r="P4" s="0" t="n">
        <v>5</v>
      </c>
      <c r="Q4" s="0" t="n">
        <v>6</v>
      </c>
      <c r="R4" s="0" t="n">
        <v>7</v>
      </c>
      <c r="S4" s="0" t="n">
        <v>8</v>
      </c>
      <c r="T4" s="0" t="n">
        <v>9</v>
      </c>
      <c r="U4" s="0" t="n">
        <v>10</v>
      </c>
      <c r="V4" s="0" t="n">
        <v>20</v>
      </c>
      <c r="W4" s="0" t="n">
        <v>30</v>
      </c>
      <c r="X4" s="0" t="n">
        <v>40</v>
      </c>
      <c r="Y4" s="0" t="n">
        <v>50</v>
      </c>
      <c r="Z4" s="0" t="n">
        <v>60</v>
      </c>
      <c r="AA4" s="0" t="n">
        <v>70</v>
      </c>
      <c r="AB4" s="0" t="n">
        <v>80</v>
      </c>
      <c r="AC4" s="0" t="n">
        <v>90</v>
      </c>
      <c r="AD4" s="0" t="n">
        <v>100</v>
      </c>
      <c r="AE4" s="0" t="n">
        <v>200</v>
      </c>
      <c r="AF4" s="0" t="n">
        <v>300</v>
      </c>
      <c r="AG4" s="0" t="n">
        <v>400</v>
      </c>
    </row>
    <row r="9" customFormat="false" ht="12.8" hidden="false" customHeight="false" outlineLevel="0" collapsed="false">
      <c r="A9" s="0" t="s">
        <v>246</v>
      </c>
      <c r="B9" s="0" t="s">
        <v>247</v>
      </c>
      <c r="C9" s="0" t="s">
        <v>248</v>
      </c>
    </row>
    <row r="10" customFormat="false" ht="12.8" hidden="false" customHeight="false" outlineLevel="0" collapsed="false">
      <c r="A10" s="0" t="n">
        <v>0.1</v>
      </c>
      <c r="B10" s="0" t="n">
        <v>0.01</v>
      </c>
      <c r="C10" s="0" t="n">
        <v>0</v>
      </c>
    </row>
    <row r="11" customFormat="false" ht="13.8" hidden="false" customHeight="false" outlineLevel="0" collapsed="false">
      <c r="A11" s="0" t="n">
        <v>0.2</v>
      </c>
      <c r="B11" s="0" t="n">
        <f aca="false">B10+0.01</f>
        <v>0.02</v>
      </c>
      <c r="C11" s="0" t="n">
        <v>0.001</v>
      </c>
    </row>
    <row r="12" customFormat="false" ht="13.8" hidden="false" customHeight="false" outlineLevel="0" collapsed="false">
      <c r="A12" s="0" t="n">
        <v>0.3</v>
      </c>
      <c r="B12" s="0" t="n">
        <f aca="false">B11+0.01</f>
        <v>0.03</v>
      </c>
      <c r="C12" s="0" t="n">
        <f aca="false">C11+0.001</f>
        <v>0.002</v>
      </c>
    </row>
    <row r="13" customFormat="false" ht="13.8" hidden="false" customHeight="false" outlineLevel="0" collapsed="false">
      <c r="A13" s="0" t="n">
        <v>0.4</v>
      </c>
      <c r="B13" s="0" t="n">
        <f aca="false">B12+0.01</f>
        <v>0.04</v>
      </c>
      <c r="C13" s="0" t="n">
        <f aca="false">C12+0.001</f>
        <v>0.003</v>
      </c>
    </row>
    <row r="14" customFormat="false" ht="13.8" hidden="false" customHeight="false" outlineLevel="0" collapsed="false">
      <c r="A14" s="0" t="n">
        <v>0.5</v>
      </c>
      <c r="B14" s="0" t="n">
        <f aca="false">B13+0.01</f>
        <v>0.05</v>
      </c>
      <c r="C14" s="0" t="n">
        <f aca="false">C13+0.001</f>
        <v>0.004</v>
      </c>
    </row>
    <row r="15" customFormat="false" ht="13.8" hidden="false" customHeight="false" outlineLevel="0" collapsed="false">
      <c r="A15" s="0" t="n">
        <v>0.6</v>
      </c>
      <c r="B15" s="0" t="n">
        <f aca="false">B14+0.01</f>
        <v>0.06</v>
      </c>
      <c r="C15" s="0" t="n">
        <f aca="false">C14+0.001</f>
        <v>0.005</v>
      </c>
    </row>
    <row r="16" customFormat="false" ht="13.8" hidden="false" customHeight="false" outlineLevel="0" collapsed="false">
      <c r="A16" s="0" t="n">
        <v>0.7</v>
      </c>
      <c r="B16" s="0" t="n">
        <f aca="false">B15+0.01</f>
        <v>0.07</v>
      </c>
      <c r="C16" s="0" t="n">
        <f aca="false">C15+0.001</f>
        <v>0.006</v>
      </c>
    </row>
    <row r="17" customFormat="false" ht="13.8" hidden="false" customHeight="false" outlineLevel="0" collapsed="false">
      <c r="A17" s="0" t="n">
        <v>0.8</v>
      </c>
      <c r="B17" s="0" t="n">
        <f aca="false">B16+0.01</f>
        <v>0.08</v>
      </c>
      <c r="C17" s="0" t="n">
        <f aca="false">C16+0.001</f>
        <v>0.007</v>
      </c>
    </row>
    <row r="18" customFormat="false" ht="13.8" hidden="false" customHeight="false" outlineLevel="0" collapsed="false">
      <c r="A18" s="0" t="n">
        <v>0.9</v>
      </c>
      <c r="B18" s="0" t="n">
        <f aca="false">B17+0.01</f>
        <v>0.09</v>
      </c>
      <c r="C18" s="0" t="n">
        <f aca="false">C17+0.001</f>
        <v>0.008</v>
      </c>
    </row>
    <row r="19" customFormat="false" ht="13.8" hidden="false" customHeight="false" outlineLevel="0" collapsed="false">
      <c r="A19" s="0" t="n">
        <v>1</v>
      </c>
      <c r="B19" s="0" t="n">
        <f aca="false">B18+0.01</f>
        <v>0.1</v>
      </c>
      <c r="C19" s="0" t="n">
        <f aca="false">C18+0.001</f>
        <v>0.009</v>
      </c>
    </row>
    <row r="20" customFormat="false" ht="13.8" hidden="false" customHeight="false" outlineLevel="0" collapsed="false">
      <c r="A20" s="0" t="n">
        <v>2</v>
      </c>
      <c r="B20" s="0" t="n">
        <f aca="false">B19+0.1</f>
        <v>0.2</v>
      </c>
      <c r="C20" s="0" t="n">
        <f aca="false">C19+0.001</f>
        <v>0.01</v>
      </c>
    </row>
    <row r="21" customFormat="false" ht="13.8" hidden="false" customHeight="false" outlineLevel="0" collapsed="false">
      <c r="A21" s="0" t="n">
        <v>3</v>
      </c>
      <c r="B21" s="0" t="n">
        <f aca="false">B20+0.1</f>
        <v>0.3</v>
      </c>
      <c r="C21" s="0" t="n">
        <f aca="false">C20+0.01</f>
        <v>0.02</v>
      </c>
    </row>
    <row r="22" customFormat="false" ht="13.8" hidden="false" customHeight="false" outlineLevel="0" collapsed="false">
      <c r="A22" s="0" t="n">
        <v>4</v>
      </c>
      <c r="B22" s="0" t="n">
        <f aca="false">B21+0.1</f>
        <v>0.4</v>
      </c>
      <c r="C22" s="0" t="n">
        <f aca="false">C21+0.01</f>
        <v>0.03</v>
      </c>
    </row>
    <row r="23" customFormat="false" ht="13.8" hidden="false" customHeight="false" outlineLevel="0" collapsed="false">
      <c r="A23" s="0" t="n">
        <v>5</v>
      </c>
      <c r="B23" s="0" t="n">
        <f aca="false">B22+0.1</f>
        <v>0.5</v>
      </c>
      <c r="C23" s="0" t="n">
        <f aca="false">C22+0.01</f>
        <v>0.04</v>
      </c>
    </row>
    <row r="24" customFormat="false" ht="13.8" hidden="false" customHeight="false" outlineLevel="0" collapsed="false">
      <c r="A24" s="0" t="n">
        <v>6</v>
      </c>
      <c r="B24" s="0" t="n">
        <f aca="false">B23+0.1</f>
        <v>0.6</v>
      </c>
      <c r="C24" s="0" t="n">
        <f aca="false">C23+0.01</f>
        <v>0.05</v>
      </c>
    </row>
    <row r="25" customFormat="false" ht="13.8" hidden="false" customHeight="false" outlineLevel="0" collapsed="false">
      <c r="A25" s="0" t="n">
        <v>7</v>
      </c>
      <c r="B25" s="0" t="n">
        <f aca="false">B24+0.1</f>
        <v>0.7</v>
      </c>
      <c r="C25" s="0" t="n">
        <f aca="false">C24+0.01</f>
        <v>0.06</v>
      </c>
    </row>
    <row r="26" customFormat="false" ht="13.8" hidden="false" customHeight="false" outlineLevel="0" collapsed="false">
      <c r="A26" s="0" t="n">
        <v>8</v>
      </c>
      <c r="B26" s="0" t="n">
        <f aca="false">B25+0.1</f>
        <v>0.8</v>
      </c>
      <c r="C26" s="0" t="n">
        <f aca="false">C25+0.01</f>
        <v>0.07</v>
      </c>
    </row>
    <row r="27" customFormat="false" ht="13.8" hidden="false" customHeight="false" outlineLevel="0" collapsed="false">
      <c r="A27" s="0" t="n">
        <v>9</v>
      </c>
      <c r="B27" s="0" t="n">
        <f aca="false">B26+0.1</f>
        <v>0.9</v>
      </c>
      <c r="C27" s="0" t="n">
        <f aca="false">C26+0.01</f>
        <v>0.08</v>
      </c>
    </row>
    <row r="28" customFormat="false" ht="13.8" hidden="false" customHeight="false" outlineLevel="0" collapsed="false">
      <c r="A28" s="0" t="n">
        <v>10</v>
      </c>
      <c r="B28" s="0" t="n">
        <f aca="false">B27+0.1</f>
        <v>1</v>
      </c>
      <c r="C28" s="0" t="n">
        <f aca="false">C27+0.01</f>
        <v>0.09</v>
      </c>
    </row>
    <row r="29" customFormat="false" ht="13.8" hidden="false" customHeight="false" outlineLevel="0" collapsed="false">
      <c r="A29" s="0" t="n">
        <v>20</v>
      </c>
      <c r="B29" s="0" t="n">
        <f aca="false">B28+1</f>
        <v>2</v>
      </c>
      <c r="C29" s="0" t="n">
        <f aca="false">C28+0.01</f>
        <v>0.1</v>
      </c>
    </row>
    <row r="30" customFormat="false" ht="13.8" hidden="false" customHeight="false" outlineLevel="0" collapsed="false">
      <c r="A30" s="0" t="n">
        <v>30</v>
      </c>
      <c r="B30" s="0" t="n">
        <f aca="false">B29+1</f>
        <v>3</v>
      </c>
      <c r="C30" s="0" t="n">
        <f aca="false">C29+0.1</f>
        <v>0.2</v>
      </c>
    </row>
    <row r="31" customFormat="false" ht="13.8" hidden="false" customHeight="false" outlineLevel="0" collapsed="false">
      <c r="A31" s="0" t="n">
        <v>40</v>
      </c>
      <c r="B31" s="0" t="n">
        <f aca="false">B30+1</f>
        <v>4</v>
      </c>
      <c r="C31" s="0" t="n">
        <f aca="false">C30+0.1</f>
        <v>0.3</v>
      </c>
    </row>
    <row r="32" customFormat="false" ht="13.8" hidden="false" customHeight="false" outlineLevel="0" collapsed="false">
      <c r="A32" s="0" t="n">
        <v>50</v>
      </c>
      <c r="B32" s="0" t="n">
        <f aca="false">B31+1</f>
        <v>5</v>
      </c>
      <c r="C32" s="0" t="n">
        <f aca="false">C31+0.1</f>
        <v>0.4</v>
      </c>
    </row>
    <row r="33" customFormat="false" ht="13.8" hidden="false" customHeight="false" outlineLevel="0" collapsed="false">
      <c r="A33" s="0" t="n">
        <v>60</v>
      </c>
      <c r="B33" s="0" t="n">
        <f aca="false">B32+1</f>
        <v>6</v>
      </c>
      <c r="C33" s="0" t="n">
        <f aca="false">C32+0.1</f>
        <v>0.5</v>
      </c>
    </row>
    <row r="34" customFormat="false" ht="13.8" hidden="false" customHeight="false" outlineLevel="0" collapsed="false">
      <c r="A34" s="0" t="n">
        <v>70</v>
      </c>
      <c r="B34" s="0" t="n">
        <f aca="false">B33+1</f>
        <v>7</v>
      </c>
      <c r="C34" s="0" t="n">
        <f aca="false">C33+0.1</f>
        <v>0.6</v>
      </c>
    </row>
    <row r="35" customFormat="false" ht="13.8" hidden="false" customHeight="false" outlineLevel="0" collapsed="false">
      <c r="A35" s="0" t="n">
        <v>80</v>
      </c>
      <c r="B35" s="0" t="n">
        <f aca="false">B34+1</f>
        <v>8</v>
      </c>
      <c r="C35" s="0" t="n">
        <f aca="false">C34+0.1</f>
        <v>0.7</v>
      </c>
    </row>
    <row r="36" customFormat="false" ht="13.8" hidden="false" customHeight="false" outlineLevel="0" collapsed="false">
      <c r="A36" s="0" t="n">
        <v>90</v>
      </c>
      <c r="B36" s="0" t="n">
        <f aca="false">B35+1</f>
        <v>9</v>
      </c>
      <c r="C36" s="0" t="n">
        <f aca="false">C35+0.1</f>
        <v>0.8</v>
      </c>
    </row>
    <row r="37" customFormat="false" ht="13.8" hidden="false" customHeight="false" outlineLevel="0" collapsed="false">
      <c r="A37" s="0" t="n">
        <v>100</v>
      </c>
      <c r="B37" s="0" t="n">
        <f aca="false">B36+1</f>
        <v>10</v>
      </c>
      <c r="C37" s="0" t="n">
        <f aca="false">C36+0.1</f>
        <v>0.9</v>
      </c>
    </row>
    <row r="38" customFormat="false" ht="13.8" hidden="false" customHeight="false" outlineLevel="0" collapsed="false">
      <c r="A38" s="0" t="n">
        <v>200</v>
      </c>
      <c r="B38" s="0" t="n">
        <f aca="false">B37+10</f>
        <v>20</v>
      </c>
      <c r="C38" s="0" t="n">
        <f aca="false">C37+0.1</f>
        <v>1</v>
      </c>
    </row>
    <row r="39" customFormat="false" ht="13.8" hidden="false" customHeight="false" outlineLevel="0" collapsed="false">
      <c r="A39" s="0" t="n">
        <v>300</v>
      </c>
      <c r="B39" s="0" t="n">
        <f aca="false">B38+10</f>
        <v>30</v>
      </c>
    </row>
    <row r="40" customFormat="false" ht="13.8" hidden="false" customHeight="false" outlineLevel="0" collapsed="false">
      <c r="A40" s="0" t="n">
        <v>400</v>
      </c>
      <c r="B40" s="0" t="n">
        <f aca="false">B39+10</f>
        <v>40</v>
      </c>
    </row>
    <row r="41" customFormat="false" ht="13.8" hidden="false" customHeight="false" outlineLevel="0" collapsed="false">
      <c r="A41" s="0" t="n">
        <v>500</v>
      </c>
      <c r="B41" s="0" t="n">
        <f aca="false">B40+10</f>
        <v>50</v>
      </c>
    </row>
    <row r="42" customFormat="false" ht="13.8" hidden="false" customHeight="false" outlineLevel="0" collapsed="false">
      <c r="A42" s="0" t="n">
        <v>600</v>
      </c>
      <c r="B42" s="0" t="n">
        <f aca="false">B41+10</f>
        <v>60</v>
      </c>
    </row>
    <row r="43" customFormat="false" ht="13.8" hidden="false" customHeight="false" outlineLevel="0" collapsed="false">
      <c r="A43" s="0" t="n">
        <v>700</v>
      </c>
      <c r="B43" s="0" t="n">
        <f aca="false">B42+10</f>
        <v>70</v>
      </c>
    </row>
    <row r="44" customFormat="false" ht="13.8" hidden="false" customHeight="false" outlineLevel="0" collapsed="false">
      <c r="A44" s="0" t="n">
        <v>800</v>
      </c>
      <c r="B44" s="0" t="n">
        <f aca="false">B43+10</f>
        <v>80</v>
      </c>
    </row>
    <row r="45" customFormat="false" ht="13.8" hidden="false" customHeight="false" outlineLevel="0" collapsed="false">
      <c r="A45" s="0" t="n">
        <v>900</v>
      </c>
      <c r="B45" s="0" t="n">
        <f aca="false">B44+10</f>
        <v>90</v>
      </c>
    </row>
    <row r="46" customFormat="false" ht="13.8" hidden="false" customHeight="false" outlineLevel="0" collapsed="false">
      <c r="A46" s="0" t="n">
        <v>1000</v>
      </c>
      <c r="B46" s="0" t="n">
        <f aca="false">B45+10</f>
        <v>100</v>
      </c>
    </row>
    <row r="47" customFormat="false" ht="13.8" hidden="false" customHeight="false" outlineLevel="0" collapsed="false">
      <c r="A47" s="0" t="n">
        <v>2000</v>
      </c>
      <c r="B47" s="0" t="n">
        <f aca="false">B46+100</f>
        <v>200</v>
      </c>
    </row>
    <row r="48" customFormat="false" ht="13.8" hidden="false" customHeight="false" outlineLevel="0" collapsed="false">
      <c r="A48" s="0" t="n">
        <v>2010</v>
      </c>
      <c r="B48" s="0" t="n">
        <f aca="false">B47+100</f>
        <v>300</v>
      </c>
    </row>
    <row r="49" customFormat="false" ht="13.8" hidden="false" customHeight="false" outlineLevel="0" collapsed="false">
      <c r="A49" s="0" t="n">
        <v>2020</v>
      </c>
      <c r="B49" s="0" t="n">
        <f aca="false">B48+100</f>
        <v>400</v>
      </c>
    </row>
    <row r="50" customFormat="false" ht="13.8" hidden="false" customHeight="false" outlineLevel="0" collapsed="false">
      <c r="A50" s="0" t="n">
        <v>2030</v>
      </c>
      <c r="B50" s="0" t="n">
        <f aca="false">B49+100</f>
        <v>500</v>
      </c>
    </row>
    <row r="51" customFormat="false" ht="13.8" hidden="false" customHeight="false" outlineLevel="0" collapsed="false">
      <c r="A51" s="0" t="n">
        <v>2040</v>
      </c>
      <c r="B51" s="0" t="n">
        <f aca="false">B50+100</f>
        <v>600</v>
      </c>
    </row>
    <row r="52" customFormat="false" ht="13.8" hidden="false" customHeight="false" outlineLevel="0" collapsed="false">
      <c r="A52" s="0" t="n">
        <v>2050</v>
      </c>
      <c r="B52" s="0" t="n">
        <f aca="false">B51+100</f>
        <v>700</v>
      </c>
    </row>
    <row r="53" customFormat="false" ht="13.8" hidden="false" customHeight="false" outlineLevel="0" collapsed="false">
      <c r="A53" s="0" t="n">
        <v>2060</v>
      </c>
      <c r="B53" s="0" t="n">
        <f aca="false">B52+100</f>
        <v>800</v>
      </c>
    </row>
    <row r="54" customFormat="false" ht="13.8" hidden="false" customHeight="false" outlineLevel="0" collapsed="false">
      <c r="A54" s="0" t="n">
        <v>2070</v>
      </c>
      <c r="B54" s="0" t="n">
        <f aca="false">B53+100</f>
        <v>900</v>
      </c>
    </row>
    <row r="55" customFormat="false" ht="13.8" hidden="false" customHeight="false" outlineLevel="0" collapsed="false">
      <c r="A55" s="0" t="n">
        <v>2080</v>
      </c>
      <c r="B55" s="0" t="n">
        <f aca="false">B54+100</f>
        <v>1000</v>
      </c>
    </row>
    <row r="56" customFormat="false" ht="13.8" hidden="false" customHeight="false" outlineLevel="0" collapsed="false">
      <c r="A56" s="0" t="n">
        <v>2090</v>
      </c>
    </row>
    <row r="57" customFormat="false" ht="13.8" hidden="false" customHeight="false" outlineLevel="0" collapsed="false">
      <c r="A57" s="0" t="n">
        <v>2100</v>
      </c>
    </row>
    <row r="58" customFormat="false" ht="12.8" hidden="false" customHeight="false" outlineLevel="0" collapsed="false">
      <c r="A58" s="0" t="n">
        <v>2110</v>
      </c>
    </row>
    <row r="59" customFormat="false" ht="12.8" hidden="false" customHeight="false" outlineLevel="0" collapsed="false">
      <c r="A59" s="0" t="n">
        <v>2120</v>
      </c>
    </row>
    <row r="60" customFormat="false" ht="12.8" hidden="false" customHeight="false" outlineLevel="0" collapsed="false">
      <c r="A60" s="0" t="n">
        <v>2130</v>
      </c>
    </row>
    <row r="61" customFormat="false" ht="12.8" hidden="false" customHeight="false" outlineLevel="0" collapsed="false">
      <c r="A61" s="0" t="n">
        <v>2140</v>
      </c>
    </row>
    <row r="62" customFormat="false" ht="12.8" hidden="false" customHeight="false" outlineLevel="0" collapsed="false">
      <c r="A62" s="0" t="n">
        <v>2150</v>
      </c>
    </row>
    <row r="63" customFormat="false" ht="12.8" hidden="false" customHeight="false" outlineLevel="0" collapsed="false">
      <c r="A63" s="0" t="n">
        <v>2160</v>
      </c>
    </row>
    <row r="64" customFormat="false" ht="12.8" hidden="false" customHeight="false" outlineLevel="0" collapsed="false">
      <c r="A64" s="0" t="n">
        <v>2170</v>
      </c>
    </row>
    <row r="65" customFormat="false" ht="12.8" hidden="false" customHeight="false" outlineLevel="0" collapsed="false">
      <c r="A65" s="0" t="n">
        <v>2180</v>
      </c>
    </row>
    <row r="66" customFormat="false" ht="12.8" hidden="false" customHeight="false" outlineLevel="0" collapsed="false">
      <c r="A66" s="0" t="n">
        <v>2190</v>
      </c>
    </row>
    <row r="67" customFormat="false" ht="12.8" hidden="false" customHeight="false" outlineLevel="0" collapsed="false">
      <c r="A67" s="0" t="n">
        <v>2200</v>
      </c>
    </row>
    <row r="68" customFormat="false" ht="12.8" hidden="false" customHeight="false" outlineLevel="0" collapsed="false">
      <c r="A68" s="0" t="n">
        <v>2210</v>
      </c>
    </row>
    <row r="69" customFormat="false" ht="12.8" hidden="false" customHeight="false" outlineLevel="0" collapsed="false">
      <c r="A69" s="0" t="n">
        <v>2220</v>
      </c>
    </row>
    <row r="70" customFormat="false" ht="12.8" hidden="false" customHeight="false" outlineLevel="0" collapsed="false">
      <c r="A70" s="0" t="n">
        <v>2230</v>
      </c>
    </row>
    <row r="71" customFormat="false" ht="12.8" hidden="false" customHeight="false" outlineLevel="0" collapsed="false">
      <c r="A71" s="0" t="n">
        <v>2240</v>
      </c>
    </row>
    <row r="72" customFormat="false" ht="12.8" hidden="false" customHeight="false" outlineLevel="0" collapsed="false">
      <c r="A72" s="0" t="n">
        <v>2250</v>
      </c>
    </row>
    <row r="73" customFormat="false" ht="12.8" hidden="false" customHeight="false" outlineLevel="0" collapsed="false">
      <c r="A73" s="0" t="n">
        <v>2260</v>
      </c>
    </row>
    <row r="74" customFormat="false" ht="12.8" hidden="false" customHeight="false" outlineLevel="0" collapsed="false">
      <c r="A74" s="0" t="n">
        <v>2270</v>
      </c>
    </row>
    <row r="75" customFormat="false" ht="12.8" hidden="false" customHeight="false" outlineLevel="0" collapsed="false">
      <c r="A75" s="0" t="n">
        <v>2280</v>
      </c>
    </row>
    <row r="76" customFormat="false" ht="12.8" hidden="false" customHeight="false" outlineLevel="0" collapsed="false">
      <c r="A76" s="0" t="n">
        <v>2290</v>
      </c>
    </row>
    <row r="77" customFormat="false" ht="12.8" hidden="false" customHeight="false" outlineLevel="0" collapsed="false">
      <c r="A77" s="0" t="n">
        <v>2300</v>
      </c>
    </row>
    <row r="78" customFormat="false" ht="12.8" hidden="false" customHeight="false" outlineLevel="0" collapsed="false">
      <c r="A78" s="0" t="n">
        <v>2310</v>
      </c>
    </row>
    <row r="79" customFormat="false" ht="12.8" hidden="false" customHeight="false" outlineLevel="0" collapsed="false">
      <c r="A79" s="0" t="n">
        <v>2320</v>
      </c>
    </row>
    <row r="80" customFormat="false" ht="12.8" hidden="false" customHeight="false" outlineLevel="0" collapsed="false">
      <c r="A80" s="0" t="n">
        <v>2330</v>
      </c>
    </row>
    <row r="81" customFormat="false" ht="12.8" hidden="false" customHeight="false" outlineLevel="0" collapsed="false">
      <c r="A81" s="0" t="n">
        <v>2340</v>
      </c>
    </row>
    <row r="82" customFormat="false" ht="12.8" hidden="false" customHeight="false" outlineLevel="0" collapsed="false">
      <c r="A82" s="0" t="n">
        <v>2350</v>
      </c>
    </row>
    <row r="83" customFormat="false" ht="12.8" hidden="false" customHeight="false" outlineLevel="0" collapsed="false">
      <c r="A83" s="0" t="n">
        <v>2360</v>
      </c>
    </row>
    <row r="84" customFormat="false" ht="12.8" hidden="false" customHeight="false" outlineLevel="0" collapsed="false">
      <c r="A84" s="0" t="n">
        <v>2370</v>
      </c>
    </row>
    <row r="85" customFormat="false" ht="12.8" hidden="false" customHeight="false" outlineLevel="0" collapsed="false">
      <c r="A85" s="0" t="n">
        <v>2380</v>
      </c>
    </row>
    <row r="86" customFormat="false" ht="12.8" hidden="false" customHeight="false" outlineLevel="0" collapsed="false">
      <c r="A86" s="0" t="n">
        <v>2390</v>
      </c>
    </row>
    <row r="87" customFormat="false" ht="12.8" hidden="false" customHeight="false" outlineLevel="0" collapsed="false">
      <c r="A87" s="0" t="n">
        <v>2400</v>
      </c>
    </row>
    <row r="88" customFormat="false" ht="12.8" hidden="false" customHeight="false" outlineLevel="0" collapsed="false">
      <c r="A88" s="0" t="n">
        <v>2410</v>
      </c>
    </row>
    <row r="89" customFormat="false" ht="12.8" hidden="false" customHeight="false" outlineLevel="0" collapsed="false">
      <c r="A89" s="0" t="n">
        <v>2420</v>
      </c>
    </row>
    <row r="90" customFormat="false" ht="12.8" hidden="false" customHeight="false" outlineLevel="0" collapsed="false">
      <c r="A90" s="0" t="n">
        <v>2430</v>
      </c>
    </row>
    <row r="91" customFormat="false" ht="12.8" hidden="false" customHeight="false" outlineLevel="0" collapsed="false">
      <c r="A91" s="0" t="n">
        <v>2440</v>
      </c>
    </row>
    <row r="92" customFormat="false" ht="12.8" hidden="false" customHeight="false" outlineLevel="0" collapsed="false">
      <c r="A92" s="0" t="n">
        <v>2450</v>
      </c>
    </row>
    <row r="93" customFormat="false" ht="12.8" hidden="false" customHeight="false" outlineLevel="0" collapsed="false">
      <c r="A93" s="0" t="n">
        <v>2460</v>
      </c>
    </row>
    <row r="94" customFormat="false" ht="12.8" hidden="false" customHeight="false" outlineLevel="0" collapsed="false">
      <c r="A94" s="0" t="n">
        <v>2470</v>
      </c>
    </row>
    <row r="95" customFormat="false" ht="12.8" hidden="false" customHeight="false" outlineLevel="0" collapsed="false">
      <c r="A95" s="0" t="n">
        <v>2480</v>
      </c>
    </row>
    <row r="96" customFormat="false" ht="12.8" hidden="false" customHeight="false" outlineLevel="0" collapsed="false">
      <c r="A96" s="0" t="n">
        <v>2490</v>
      </c>
    </row>
    <row r="97" customFormat="false" ht="12.8" hidden="false" customHeight="false" outlineLevel="0" collapsed="false">
      <c r="A97" s="0" t="n">
        <v>2500</v>
      </c>
    </row>
    <row r="98" customFormat="false" ht="12.8" hidden="false" customHeight="false" outlineLevel="0" collapsed="false">
      <c r="A98" s="0" t="n">
        <v>2510</v>
      </c>
    </row>
    <row r="99" customFormat="false" ht="12.8" hidden="false" customHeight="false" outlineLevel="0" collapsed="false">
      <c r="A99" s="0" t="n">
        <v>2520</v>
      </c>
    </row>
    <row r="100" customFormat="false" ht="12.8" hidden="false" customHeight="false" outlineLevel="0" collapsed="false">
      <c r="A100" s="0" t="n">
        <v>2530</v>
      </c>
    </row>
    <row r="101" customFormat="false" ht="12.8" hidden="false" customHeight="false" outlineLevel="0" collapsed="false">
      <c r="A101" s="0" t="n">
        <v>2540</v>
      </c>
    </row>
    <row r="102" customFormat="false" ht="12.8" hidden="false" customHeight="false" outlineLevel="0" collapsed="false">
      <c r="A102" s="0" t="n">
        <v>2550</v>
      </c>
    </row>
    <row r="103" customFormat="false" ht="12.8" hidden="false" customHeight="false" outlineLevel="0" collapsed="false">
      <c r="A103" s="0" t="n">
        <v>2560</v>
      </c>
    </row>
    <row r="104" customFormat="false" ht="12.8" hidden="false" customHeight="false" outlineLevel="0" collapsed="false">
      <c r="A104" s="0" t="n">
        <v>2570</v>
      </c>
    </row>
    <row r="105" customFormat="false" ht="12.8" hidden="false" customHeight="false" outlineLevel="0" collapsed="false">
      <c r="A105" s="0" t="n">
        <v>2580</v>
      </c>
    </row>
    <row r="106" customFormat="false" ht="12.8" hidden="false" customHeight="false" outlineLevel="0" collapsed="false">
      <c r="A106" s="0" t="n">
        <v>2590</v>
      </c>
    </row>
    <row r="107" customFormat="false" ht="12.8" hidden="false" customHeight="false" outlineLevel="0" collapsed="false">
      <c r="A107" s="0" t="n">
        <v>2600</v>
      </c>
    </row>
    <row r="108" customFormat="false" ht="12.8" hidden="false" customHeight="false" outlineLevel="0" collapsed="false">
      <c r="A108" s="0" t="n">
        <v>2610</v>
      </c>
    </row>
    <row r="109" customFormat="false" ht="12.8" hidden="false" customHeight="false" outlineLevel="0" collapsed="false">
      <c r="A109" s="0" t="n">
        <v>2620</v>
      </c>
    </row>
    <row r="110" customFormat="false" ht="12.8" hidden="false" customHeight="false" outlineLevel="0" collapsed="false">
      <c r="A110" s="0" t="n">
        <v>2630</v>
      </c>
    </row>
    <row r="111" customFormat="false" ht="12.8" hidden="false" customHeight="false" outlineLevel="0" collapsed="false">
      <c r="A111" s="0" t="n">
        <v>2640</v>
      </c>
    </row>
    <row r="112" customFormat="false" ht="12.8" hidden="false" customHeight="false" outlineLevel="0" collapsed="false">
      <c r="A112" s="0" t="n">
        <v>2650</v>
      </c>
    </row>
    <row r="113" customFormat="false" ht="12.8" hidden="false" customHeight="false" outlineLevel="0" collapsed="false">
      <c r="A113" s="0" t="n">
        <v>2660</v>
      </c>
    </row>
    <row r="114" customFormat="false" ht="12.8" hidden="false" customHeight="false" outlineLevel="0" collapsed="false">
      <c r="A114" s="0" t="n">
        <v>2670</v>
      </c>
    </row>
    <row r="115" customFormat="false" ht="12.8" hidden="false" customHeight="false" outlineLevel="0" collapsed="false">
      <c r="A115" s="0" t="n">
        <v>2680</v>
      </c>
    </row>
    <row r="116" customFormat="false" ht="12.8" hidden="false" customHeight="false" outlineLevel="0" collapsed="false">
      <c r="A116" s="0" t="n">
        <v>2690</v>
      </c>
    </row>
    <row r="117" customFormat="false" ht="12.8" hidden="false" customHeight="false" outlineLevel="0" collapsed="false">
      <c r="A117" s="0" t="n">
        <v>2700</v>
      </c>
    </row>
    <row r="118" customFormat="false" ht="12.8" hidden="false" customHeight="false" outlineLevel="0" collapsed="false">
      <c r="A118" s="0" t="n">
        <v>2710</v>
      </c>
    </row>
    <row r="119" customFormat="false" ht="12.8" hidden="false" customHeight="false" outlineLevel="0" collapsed="false">
      <c r="A119" s="0" t="n">
        <v>2720</v>
      </c>
    </row>
    <row r="120" customFormat="false" ht="12.8" hidden="false" customHeight="false" outlineLevel="0" collapsed="false">
      <c r="A120" s="0" t="n">
        <v>2730</v>
      </c>
    </row>
    <row r="121" customFormat="false" ht="12.8" hidden="false" customHeight="false" outlineLevel="0" collapsed="false">
      <c r="A121" s="0" t="n">
        <v>2740</v>
      </c>
    </row>
    <row r="122" customFormat="false" ht="12.8" hidden="false" customHeight="false" outlineLevel="0" collapsed="false">
      <c r="A122" s="0" t="n">
        <v>2750</v>
      </c>
    </row>
    <row r="123" customFormat="false" ht="12.8" hidden="false" customHeight="false" outlineLevel="0" collapsed="false">
      <c r="A123" s="0" t="n">
        <v>2760</v>
      </c>
    </row>
    <row r="124" customFormat="false" ht="12.8" hidden="false" customHeight="false" outlineLevel="0" collapsed="false">
      <c r="A124" s="0" t="n">
        <v>2770</v>
      </c>
    </row>
    <row r="125" customFormat="false" ht="12.8" hidden="false" customHeight="false" outlineLevel="0" collapsed="false">
      <c r="A125" s="0" t="n">
        <v>2780</v>
      </c>
    </row>
    <row r="126" customFormat="false" ht="12.8" hidden="false" customHeight="false" outlineLevel="0" collapsed="false">
      <c r="A126" s="0" t="n">
        <v>2790</v>
      </c>
    </row>
    <row r="127" customFormat="false" ht="12.8" hidden="false" customHeight="false" outlineLevel="0" collapsed="false">
      <c r="A127" s="0" t="n">
        <v>2800</v>
      </c>
    </row>
    <row r="128" customFormat="false" ht="12.8" hidden="false" customHeight="false" outlineLevel="0" collapsed="false">
      <c r="A128" s="0" t="n">
        <v>2810</v>
      </c>
    </row>
    <row r="129" customFormat="false" ht="12.8" hidden="false" customHeight="false" outlineLevel="0" collapsed="false">
      <c r="A129" s="0" t="n">
        <v>2820</v>
      </c>
    </row>
    <row r="130" customFormat="false" ht="12.8" hidden="false" customHeight="false" outlineLevel="0" collapsed="false">
      <c r="A130" s="0" t="n">
        <v>2830</v>
      </c>
    </row>
    <row r="131" customFormat="false" ht="12.8" hidden="false" customHeight="false" outlineLevel="0" collapsed="false">
      <c r="A131" s="0" t="n">
        <v>2840</v>
      </c>
    </row>
    <row r="132" customFormat="false" ht="12.8" hidden="false" customHeight="false" outlineLevel="0" collapsed="false">
      <c r="A132" s="0" t="n">
        <v>2850</v>
      </c>
    </row>
    <row r="133" customFormat="false" ht="12.8" hidden="false" customHeight="false" outlineLevel="0" collapsed="false">
      <c r="A133" s="0" t="n">
        <v>2860</v>
      </c>
    </row>
    <row r="134" customFormat="false" ht="12.8" hidden="false" customHeight="false" outlineLevel="0" collapsed="false">
      <c r="A134" s="0" t="n">
        <v>2870</v>
      </c>
    </row>
    <row r="135" customFormat="false" ht="12.8" hidden="false" customHeight="false" outlineLevel="0" collapsed="false">
      <c r="A135" s="0" t="n">
        <v>2880</v>
      </c>
    </row>
    <row r="136" customFormat="false" ht="12.8" hidden="false" customHeight="false" outlineLevel="0" collapsed="false">
      <c r="A136" s="0" t="n">
        <v>2890</v>
      </c>
    </row>
    <row r="137" customFormat="false" ht="12.8" hidden="false" customHeight="false" outlineLevel="0" collapsed="false">
      <c r="A137" s="0" t="n">
        <v>2900</v>
      </c>
    </row>
    <row r="138" customFormat="false" ht="12.8" hidden="false" customHeight="false" outlineLevel="0" collapsed="false">
      <c r="A138" s="0" t="n">
        <v>2910</v>
      </c>
    </row>
    <row r="139" customFormat="false" ht="12.8" hidden="false" customHeight="false" outlineLevel="0" collapsed="false">
      <c r="A139" s="0" t="n">
        <v>2920</v>
      </c>
    </row>
    <row r="140" customFormat="false" ht="12.8" hidden="false" customHeight="false" outlineLevel="0" collapsed="false">
      <c r="A140" s="0" t="n">
        <v>2930</v>
      </c>
    </row>
    <row r="141" customFormat="false" ht="12.8" hidden="false" customHeight="false" outlineLevel="0" collapsed="false">
      <c r="A141" s="0" t="n">
        <v>2940</v>
      </c>
    </row>
    <row r="142" customFormat="false" ht="12.8" hidden="false" customHeight="false" outlineLevel="0" collapsed="false">
      <c r="A142" s="0" t="n">
        <v>2950</v>
      </c>
    </row>
    <row r="143" customFormat="false" ht="12.8" hidden="false" customHeight="false" outlineLevel="0" collapsed="false">
      <c r="A143" s="0" t="n">
        <v>2960</v>
      </c>
    </row>
    <row r="144" customFormat="false" ht="12.8" hidden="false" customHeight="false" outlineLevel="0" collapsed="false">
      <c r="A144" s="0" t="n">
        <v>2970</v>
      </c>
    </row>
    <row r="145" customFormat="false" ht="12.8" hidden="false" customHeight="false" outlineLevel="0" collapsed="false">
      <c r="A145" s="0" t="n">
        <v>2980</v>
      </c>
    </row>
    <row r="146" customFormat="false" ht="12.8" hidden="false" customHeight="false" outlineLevel="0" collapsed="false">
      <c r="A146" s="0" t="n">
        <v>2990</v>
      </c>
    </row>
    <row r="147" customFormat="false" ht="12.8" hidden="false" customHeight="false" outlineLevel="0" collapsed="false">
      <c r="A147" s="0" t="n">
        <v>3000</v>
      </c>
    </row>
    <row r="148" customFormat="false" ht="12.8" hidden="false" customHeight="false" outlineLevel="0" collapsed="false">
      <c r="A148" s="0" t="n">
        <v>3010</v>
      </c>
    </row>
    <row r="149" customFormat="false" ht="12.8" hidden="false" customHeight="false" outlineLevel="0" collapsed="false">
      <c r="A149" s="0" t="n">
        <v>3020</v>
      </c>
    </row>
    <row r="150" customFormat="false" ht="12.8" hidden="false" customHeight="false" outlineLevel="0" collapsed="false">
      <c r="A150" s="0" t="n">
        <v>3030</v>
      </c>
    </row>
    <row r="151" customFormat="false" ht="12.8" hidden="false" customHeight="false" outlineLevel="0" collapsed="false">
      <c r="A151" s="0" t="n">
        <v>3040</v>
      </c>
    </row>
    <row r="152" customFormat="false" ht="12.8" hidden="false" customHeight="false" outlineLevel="0" collapsed="false">
      <c r="A152" s="0" t="n">
        <v>3050</v>
      </c>
    </row>
    <row r="153" customFormat="false" ht="12.8" hidden="false" customHeight="false" outlineLevel="0" collapsed="false">
      <c r="A153" s="0" t="n">
        <v>3060</v>
      </c>
    </row>
    <row r="154" customFormat="false" ht="12.8" hidden="false" customHeight="false" outlineLevel="0" collapsed="false">
      <c r="A154" s="0" t="n">
        <v>3070</v>
      </c>
    </row>
    <row r="155" customFormat="false" ht="12.8" hidden="false" customHeight="false" outlineLevel="0" collapsed="false">
      <c r="A155" s="0" t="n">
        <v>3080</v>
      </c>
    </row>
    <row r="156" customFormat="false" ht="12.8" hidden="false" customHeight="false" outlineLevel="0" collapsed="false">
      <c r="A156" s="0" t="n">
        <v>3090</v>
      </c>
    </row>
    <row r="157" customFormat="false" ht="12.8" hidden="false" customHeight="false" outlineLevel="0" collapsed="false">
      <c r="A157" s="0" t="n">
        <v>3100</v>
      </c>
    </row>
    <row r="158" customFormat="false" ht="12.8" hidden="false" customHeight="false" outlineLevel="0" collapsed="false">
      <c r="A158" s="0" t="n">
        <v>3110</v>
      </c>
    </row>
    <row r="159" customFormat="false" ht="12.8" hidden="false" customHeight="false" outlineLevel="0" collapsed="false">
      <c r="A159" s="0" t="n">
        <v>3120</v>
      </c>
    </row>
    <row r="160" customFormat="false" ht="12.8" hidden="false" customHeight="false" outlineLevel="0" collapsed="false">
      <c r="A160" s="0" t="n">
        <v>3130</v>
      </c>
    </row>
    <row r="161" customFormat="false" ht="12.8" hidden="false" customHeight="false" outlineLevel="0" collapsed="false">
      <c r="A161" s="0" t="n">
        <v>3140</v>
      </c>
    </row>
    <row r="162" customFormat="false" ht="12.8" hidden="false" customHeight="false" outlineLevel="0" collapsed="false">
      <c r="A162" s="0" t="n">
        <v>3150</v>
      </c>
    </row>
    <row r="163" customFormat="false" ht="12.8" hidden="false" customHeight="false" outlineLevel="0" collapsed="false">
      <c r="A163" s="0" t="n">
        <v>3160</v>
      </c>
    </row>
    <row r="164" customFormat="false" ht="12.8" hidden="false" customHeight="false" outlineLevel="0" collapsed="false">
      <c r="A164" s="0" t="n">
        <v>3170</v>
      </c>
    </row>
    <row r="165" customFormat="false" ht="12.8" hidden="false" customHeight="false" outlineLevel="0" collapsed="false">
      <c r="A165" s="0" t="n">
        <v>3180</v>
      </c>
    </row>
    <row r="166" customFormat="false" ht="12.8" hidden="false" customHeight="false" outlineLevel="0" collapsed="false">
      <c r="A166" s="0" t="n">
        <v>3190</v>
      </c>
    </row>
    <row r="167" customFormat="false" ht="12.8" hidden="false" customHeight="false" outlineLevel="0" collapsed="false">
      <c r="A167" s="0" t="n">
        <v>3200</v>
      </c>
    </row>
    <row r="168" customFormat="false" ht="12.8" hidden="false" customHeight="false" outlineLevel="0" collapsed="false">
      <c r="A168" s="0" t="n">
        <v>3210</v>
      </c>
    </row>
    <row r="169" customFormat="false" ht="12.8" hidden="false" customHeight="false" outlineLevel="0" collapsed="false">
      <c r="A169" s="0" t="n">
        <v>3220</v>
      </c>
    </row>
    <row r="170" customFormat="false" ht="12.8" hidden="false" customHeight="false" outlineLevel="0" collapsed="false">
      <c r="A170" s="0" t="n">
        <v>3230</v>
      </c>
    </row>
    <row r="171" customFormat="false" ht="12.8" hidden="false" customHeight="false" outlineLevel="0" collapsed="false">
      <c r="A171" s="0" t="n">
        <v>3240</v>
      </c>
    </row>
    <row r="172" customFormat="false" ht="12.8" hidden="false" customHeight="false" outlineLevel="0" collapsed="false">
      <c r="A172" s="0" t="n">
        <v>3250</v>
      </c>
    </row>
    <row r="173" customFormat="false" ht="12.8" hidden="false" customHeight="false" outlineLevel="0" collapsed="false">
      <c r="A173" s="0" t="n">
        <v>3260</v>
      </c>
    </row>
    <row r="174" customFormat="false" ht="12.8" hidden="false" customHeight="false" outlineLevel="0" collapsed="false">
      <c r="A174" s="0" t="n">
        <v>3270</v>
      </c>
    </row>
    <row r="175" customFormat="false" ht="12.8" hidden="false" customHeight="false" outlineLevel="0" collapsed="false">
      <c r="A175" s="0" t="n">
        <v>3280</v>
      </c>
    </row>
    <row r="176" customFormat="false" ht="12.8" hidden="false" customHeight="false" outlineLevel="0" collapsed="false">
      <c r="A176" s="0" t="n">
        <v>3290</v>
      </c>
    </row>
    <row r="177" customFormat="false" ht="12.8" hidden="false" customHeight="false" outlineLevel="0" collapsed="false">
      <c r="A177" s="0" t="n">
        <v>3300</v>
      </c>
    </row>
    <row r="178" customFormat="false" ht="12.8" hidden="false" customHeight="false" outlineLevel="0" collapsed="false">
      <c r="A178" s="0" t="n">
        <v>3310</v>
      </c>
    </row>
    <row r="179" customFormat="false" ht="12.8" hidden="false" customHeight="false" outlineLevel="0" collapsed="false">
      <c r="A179" s="0" t="n">
        <v>3320</v>
      </c>
    </row>
    <row r="180" customFormat="false" ht="12.8" hidden="false" customHeight="false" outlineLevel="0" collapsed="false">
      <c r="A180" s="0" t="n">
        <v>3330</v>
      </c>
    </row>
    <row r="181" customFormat="false" ht="12.8" hidden="false" customHeight="false" outlineLevel="0" collapsed="false">
      <c r="A181" s="0" t="n">
        <v>3340</v>
      </c>
    </row>
    <row r="182" customFormat="false" ht="12.8" hidden="false" customHeight="false" outlineLevel="0" collapsed="false">
      <c r="A182" s="0" t="n">
        <v>3350</v>
      </c>
    </row>
    <row r="183" customFormat="false" ht="12.8" hidden="false" customHeight="false" outlineLevel="0" collapsed="false">
      <c r="A183" s="0" t="n">
        <v>3360</v>
      </c>
    </row>
    <row r="184" customFormat="false" ht="12.8" hidden="false" customHeight="false" outlineLevel="0" collapsed="false">
      <c r="A184" s="0" t="n">
        <v>3370</v>
      </c>
    </row>
    <row r="185" customFormat="false" ht="12.8" hidden="false" customHeight="false" outlineLevel="0" collapsed="false">
      <c r="A185" s="0" t="n">
        <v>3380</v>
      </c>
    </row>
    <row r="186" customFormat="false" ht="12.8" hidden="false" customHeight="false" outlineLevel="0" collapsed="false">
      <c r="A186" s="0" t="n">
        <v>3390</v>
      </c>
    </row>
    <row r="187" customFormat="false" ht="12.8" hidden="false" customHeight="false" outlineLevel="0" collapsed="false">
      <c r="A187" s="0" t="n">
        <v>3400</v>
      </c>
    </row>
    <row r="188" customFormat="false" ht="12.8" hidden="false" customHeight="false" outlineLevel="0" collapsed="false">
      <c r="A188" s="0" t="n">
        <v>3410</v>
      </c>
    </row>
    <row r="189" customFormat="false" ht="12.8" hidden="false" customHeight="false" outlineLevel="0" collapsed="false">
      <c r="A189" s="0" t="n">
        <v>3420</v>
      </c>
    </row>
    <row r="190" customFormat="false" ht="12.8" hidden="false" customHeight="false" outlineLevel="0" collapsed="false">
      <c r="A190" s="0" t="n">
        <v>3430</v>
      </c>
    </row>
    <row r="191" customFormat="false" ht="12.8" hidden="false" customHeight="false" outlineLevel="0" collapsed="false">
      <c r="A191" s="0" t="n">
        <v>3440</v>
      </c>
    </row>
    <row r="192" customFormat="false" ht="12.8" hidden="false" customHeight="false" outlineLevel="0" collapsed="false">
      <c r="A192" s="0" t="n">
        <v>3450</v>
      </c>
    </row>
    <row r="193" customFormat="false" ht="12.8" hidden="false" customHeight="false" outlineLevel="0" collapsed="false">
      <c r="A193" s="0" t="n">
        <v>3460</v>
      </c>
    </row>
    <row r="194" customFormat="false" ht="12.8" hidden="false" customHeight="false" outlineLevel="0" collapsed="false">
      <c r="A194" s="0" t="n">
        <v>3470</v>
      </c>
    </row>
    <row r="195" customFormat="false" ht="12.8" hidden="false" customHeight="false" outlineLevel="0" collapsed="false">
      <c r="A195" s="0" t="n">
        <v>3480</v>
      </c>
    </row>
    <row r="196" customFormat="false" ht="12.8" hidden="false" customHeight="false" outlineLevel="0" collapsed="false">
      <c r="A196" s="0" t="n">
        <v>3490</v>
      </c>
    </row>
    <row r="197" customFormat="false" ht="12.8" hidden="false" customHeight="false" outlineLevel="0" collapsed="false">
      <c r="A197" s="0" t="n">
        <v>3500</v>
      </c>
    </row>
    <row r="198" customFormat="false" ht="12.8" hidden="false" customHeight="false" outlineLevel="0" collapsed="false">
      <c r="A198" s="0" t="n">
        <v>3510</v>
      </c>
    </row>
    <row r="199" customFormat="false" ht="12.8" hidden="false" customHeight="false" outlineLevel="0" collapsed="false">
      <c r="A199" s="0" t="n">
        <v>3520</v>
      </c>
    </row>
    <row r="200" customFormat="false" ht="12.8" hidden="false" customHeight="false" outlineLevel="0" collapsed="false">
      <c r="A200" s="0" t="n">
        <v>3530</v>
      </c>
    </row>
    <row r="201" customFormat="false" ht="12.8" hidden="false" customHeight="false" outlineLevel="0" collapsed="false">
      <c r="A201" s="0" t="n">
        <v>3540</v>
      </c>
    </row>
    <row r="202" customFormat="false" ht="12.8" hidden="false" customHeight="false" outlineLevel="0" collapsed="false">
      <c r="A202" s="0" t="n">
        <v>3550</v>
      </c>
    </row>
    <row r="203" customFormat="false" ht="12.8" hidden="false" customHeight="false" outlineLevel="0" collapsed="false">
      <c r="A203" s="0" t="n">
        <v>3560</v>
      </c>
    </row>
    <row r="204" customFormat="false" ht="12.8" hidden="false" customHeight="false" outlineLevel="0" collapsed="false">
      <c r="A204" s="0" t="n">
        <v>3570</v>
      </c>
    </row>
    <row r="205" customFormat="false" ht="12.8" hidden="false" customHeight="false" outlineLevel="0" collapsed="false">
      <c r="A205" s="0" t="n">
        <v>3580</v>
      </c>
    </row>
    <row r="206" customFormat="false" ht="12.8" hidden="false" customHeight="false" outlineLevel="0" collapsed="false">
      <c r="A206" s="0" t="n">
        <v>3590</v>
      </c>
    </row>
    <row r="207" customFormat="false" ht="12.8" hidden="false" customHeight="false" outlineLevel="0" collapsed="false">
      <c r="A207" s="0" t="n">
        <v>3600</v>
      </c>
    </row>
    <row r="208" customFormat="false" ht="12.8" hidden="false" customHeight="false" outlineLevel="0" collapsed="false">
      <c r="A208" s="0" t="n">
        <v>3610</v>
      </c>
    </row>
    <row r="209" customFormat="false" ht="12.8" hidden="false" customHeight="false" outlineLevel="0" collapsed="false">
      <c r="A209" s="0" t="n">
        <v>3620</v>
      </c>
    </row>
    <row r="210" customFormat="false" ht="12.8" hidden="false" customHeight="false" outlineLevel="0" collapsed="false">
      <c r="A210" s="0" t="n">
        <v>3630</v>
      </c>
    </row>
    <row r="211" customFormat="false" ht="12.8" hidden="false" customHeight="false" outlineLevel="0" collapsed="false">
      <c r="A211" s="0" t="n">
        <v>3640</v>
      </c>
    </row>
    <row r="212" customFormat="false" ht="12.8" hidden="false" customHeight="false" outlineLevel="0" collapsed="false">
      <c r="A212" s="0" t="n">
        <v>3650</v>
      </c>
    </row>
    <row r="213" customFormat="false" ht="12.8" hidden="false" customHeight="false" outlineLevel="0" collapsed="false">
      <c r="A213" s="0" t="n">
        <v>3660</v>
      </c>
    </row>
    <row r="214" customFormat="false" ht="12.8" hidden="false" customHeight="false" outlineLevel="0" collapsed="false">
      <c r="A214" s="0" t="n">
        <v>3670</v>
      </c>
    </row>
    <row r="215" customFormat="false" ht="12.8" hidden="false" customHeight="false" outlineLevel="0" collapsed="false">
      <c r="A215" s="0" t="n">
        <v>3680</v>
      </c>
    </row>
    <row r="216" customFormat="false" ht="12.8" hidden="false" customHeight="false" outlineLevel="0" collapsed="false">
      <c r="A216" s="0" t="n">
        <v>3690</v>
      </c>
    </row>
    <row r="217" customFormat="false" ht="12.8" hidden="false" customHeight="false" outlineLevel="0" collapsed="false">
      <c r="A217" s="0" t="n">
        <v>3700</v>
      </c>
    </row>
    <row r="218" customFormat="false" ht="12.8" hidden="false" customHeight="false" outlineLevel="0" collapsed="false">
      <c r="A218" s="0" t="n">
        <v>3710</v>
      </c>
    </row>
    <row r="219" customFormat="false" ht="12.8" hidden="false" customHeight="false" outlineLevel="0" collapsed="false">
      <c r="A219" s="0" t="n">
        <v>3720</v>
      </c>
    </row>
    <row r="220" customFormat="false" ht="12.8" hidden="false" customHeight="false" outlineLevel="0" collapsed="false">
      <c r="A220" s="0" t="n">
        <v>3730</v>
      </c>
    </row>
    <row r="221" customFormat="false" ht="12.8" hidden="false" customHeight="false" outlineLevel="0" collapsed="false">
      <c r="A221" s="0" t="n">
        <v>3740</v>
      </c>
    </row>
    <row r="222" customFormat="false" ht="12.8" hidden="false" customHeight="false" outlineLevel="0" collapsed="false">
      <c r="A222" s="0" t="n">
        <v>3750</v>
      </c>
    </row>
    <row r="223" customFormat="false" ht="12.8" hidden="false" customHeight="false" outlineLevel="0" collapsed="false">
      <c r="A223" s="0" t="n">
        <v>3760</v>
      </c>
    </row>
    <row r="224" customFormat="false" ht="12.8" hidden="false" customHeight="false" outlineLevel="0" collapsed="false">
      <c r="A224" s="0" t="n">
        <v>3770</v>
      </c>
    </row>
    <row r="225" customFormat="false" ht="12.8" hidden="false" customHeight="false" outlineLevel="0" collapsed="false">
      <c r="A225" s="0" t="n">
        <v>3780</v>
      </c>
    </row>
    <row r="226" customFormat="false" ht="12.8" hidden="false" customHeight="false" outlineLevel="0" collapsed="false">
      <c r="A226" s="0" t="n">
        <v>3790</v>
      </c>
    </row>
    <row r="227" customFormat="false" ht="12.8" hidden="false" customHeight="false" outlineLevel="0" collapsed="false">
      <c r="A227" s="0" t="n">
        <v>3800</v>
      </c>
    </row>
    <row r="228" customFormat="false" ht="12.8" hidden="false" customHeight="false" outlineLevel="0" collapsed="false">
      <c r="A228" s="0" t="n">
        <v>3810</v>
      </c>
    </row>
    <row r="229" customFormat="false" ht="12.8" hidden="false" customHeight="false" outlineLevel="0" collapsed="false">
      <c r="A229" s="0" t="n">
        <v>3820</v>
      </c>
    </row>
    <row r="230" customFormat="false" ht="12.8" hidden="false" customHeight="false" outlineLevel="0" collapsed="false">
      <c r="A230" s="0" t="n">
        <v>3830</v>
      </c>
    </row>
    <row r="231" customFormat="false" ht="12.8" hidden="false" customHeight="false" outlineLevel="0" collapsed="false">
      <c r="A231" s="0" t="n">
        <v>3840</v>
      </c>
    </row>
    <row r="232" customFormat="false" ht="12.8" hidden="false" customHeight="false" outlineLevel="0" collapsed="false">
      <c r="A232" s="0" t="n">
        <v>3850</v>
      </c>
    </row>
    <row r="233" customFormat="false" ht="12.8" hidden="false" customHeight="false" outlineLevel="0" collapsed="false">
      <c r="A233" s="0" t="n">
        <v>3860</v>
      </c>
    </row>
    <row r="234" customFormat="false" ht="12.8" hidden="false" customHeight="false" outlineLevel="0" collapsed="false">
      <c r="A234" s="0" t="n">
        <v>3870</v>
      </c>
    </row>
    <row r="235" customFormat="false" ht="12.8" hidden="false" customHeight="false" outlineLevel="0" collapsed="false">
      <c r="A235" s="0" t="n">
        <v>3880</v>
      </c>
    </row>
    <row r="236" customFormat="false" ht="12.8" hidden="false" customHeight="false" outlineLevel="0" collapsed="false">
      <c r="A236" s="0" t="n">
        <v>3890</v>
      </c>
    </row>
    <row r="237" customFormat="false" ht="12.8" hidden="false" customHeight="false" outlineLevel="0" collapsed="false">
      <c r="A237" s="0" t="n">
        <v>3900</v>
      </c>
    </row>
    <row r="238" customFormat="false" ht="12.8" hidden="false" customHeight="false" outlineLevel="0" collapsed="false">
      <c r="A238" s="0" t="n">
        <v>3910</v>
      </c>
    </row>
    <row r="239" customFormat="false" ht="12.8" hidden="false" customHeight="false" outlineLevel="0" collapsed="false">
      <c r="A239" s="0" t="n">
        <v>3920</v>
      </c>
    </row>
    <row r="240" customFormat="false" ht="12.8" hidden="false" customHeight="false" outlineLevel="0" collapsed="false">
      <c r="A240" s="0" t="n">
        <v>3930</v>
      </c>
    </row>
    <row r="241" customFormat="false" ht="12.8" hidden="false" customHeight="false" outlineLevel="0" collapsed="false">
      <c r="A241" s="0" t="n">
        <v>3940</v>
      </c>
    </row>
    <row r="242" customFormat="false" ht="12.8" hidden="false" customHeight="false" outlineLevel="0" collapsed="false">
      <c r="A242" s="0" t="n">
        <v>3950</v>
      </c>
    </row>
    <row r="243" customFormat="false" ht="12.8" hidden="false" customHeight="false" outlineLevel="0" collapsed="false">
      <c r="A243" s="0" t="n">
        <v>3960</v>
      </c>
    </row>
    <row r="244" customFormat="false" ht="12.8" hidden="false" customHeight="false" outlineLevel="0" collapsed="false">
      <c r="A244" s="0" t="n">
        <v>3970</v>
      </c>
    </row>
    <row r="245" customFormat="false" ht="12.8" hidden="false" customHeight="false" outlineLevel="0" collapsed="false">
      <c r="A245" s="0" t="n">
        <v>3980</v>
      </c>
    </row>
    <row r="246" customFormat="false" ht="12.8" hidden="false" customHeight="false" outlineLevel="0" collapsed="false">
      <c r="A246" s="0" t="n">
        <v>3990</v>
      </c>
    </row>
    <row r="247" customFormat="false" ht="12.8" hidden="false" customHeight="false" outlineLevel="0" collapsed="false">
      <c r="A247" s="0" t="n">
        <v>4000</v>
      </c>
    </row>
    <row r="248" customFormat="false" ht="12.8" hidden="false" customHeight="false" outlineLevel="0" collapsed="false">
      <c r="A248" s="0" t="n">
        <v>4010</v>
      </c>
    </row>
    <row r="249" customFormat="false" ht="12.8" hidden="false" customHeight="false" outlineLevel="0" collapsed="false">
      <c r="A249" s="0" t="n">
        <v>4020</v>
      </c>
    </row>
    <row r="250" customFormat="false" ht="12.8" hidden="false" customHeight="false" outlineLevel="0" collapsed="false">
      <c r="A250" s="0" t="n">
        <v>4030</v>
      </c>
    </row>
    <row r="251" customFormat="false" ht="12.8" hidden="false" customHeight="false" outlineLevel="0" collapsed="false">
      <c r="A251" s="0" t="n">
        <v>4040</v>
      </c>
    </row>
    <row r="252" customFormat="false" ht="12.8" hidden="false" customHeight="false" outlineLevel="0" collapsed="false">
      <c r="A252" s="0" t="n">
        <v>4050</v>
      </c>
    </row>
    <row r="253" customFormat="false" ht="12.8" hidden="false" customHeight="false" outlineLevel="0" collapsed="false">
      <c r="A253" s="0" t="n">
        <v>4060</v>
      </c>
    </row>
    <row r="254" customFormat="false" ht="12.8" hidden="false" customHeight="false" outlineLevel="0" collapsed="false">
      <c r="A254" s="0" t="n">
        <v>4070</v>
      </c>
    </row>
    <row r="255" customFormat="false" ht="12.8" hidden="false" customHeight="false" outlineLevel="0" collapsed="false">
      <c r="A255" s="0" t="n">
        <v>4080</v>
      </c>
    </row>
    <row r="256" customFormat="false" ht="12.8" hidden="false" customHeight="false" outlineLevel="0" collapsed="false">
      <c r="A256" s="0" t="n">
        <v>4090</v>
      </c>
    </row>
    <row r="257" customFormat="false" ht="12.8" hidden="false" customHeight="false" outlineLevel="0" collapsed="false">
      <c r="A257" s="0" t="n">
        <v>4100</v>
      </c>
    </row>
    <row r="258" customFormat="false" ht="12.8" hidden="false" customHeight="false" outlineLevel="0" collapsed="false">
      <c r="A258" s="0" t="n">
        <v>4110</v>
      </c>
    </row>
    <row r="259" customFormat="false" ht="12.8" hidden="false" customHeight="false" outlineLevel="0" collapsed="false">
      <c r="A259" s="0" t="n">
        <v>4120</v>
      </c>
    </row>
    <row r="260" customFormat="false" ht="12.8" hidden="false" customHeight="false" outlineLevel="0" collapsed="false">
      <c r="A260" s="0" t="n">
        <v>4130</v>
      </c>
    </row>
    <row r="261" customFormat="false" ht="12.8" hidden="false" customHeight="false" outlineLevel="0" collapsed="false">
      <c r="A261" s="0" t="n">
        <v>4140</v>
      </c>
    </row>
    <row r="262" customFormat="false" ht="12.8" hidden="false" customHeight="false" outlineLevel="0" collapsed="false">
      <c r="A262" s="0" t="n">
        <v>4150</v>
      </c>
    </row>
    <row r="263" customFormat="false" ht="12.8" hidden="false" customHeight="false" outlineLevel="0" collapsed="false">
      <c r="A263" s="0" t="n">
        <v>4160</v>
      </c>
    </row>
    <row r="264" customFormat="false" ht="12.8" hidden="false" customHeight="false" outlineLevel="0" collapsed="false">
      <c r="A264" s="0" t="n">
        <v>4170</v>
      </c>
    </row>
    <row r="265" customFormat="false" ht="12.8" hidden="false" customHeight="false" outlineLevel="0" collapsed="false">
      <c r="A265" s="0" t="n">
        <v>4180</v>
      </c>
    </row>
    <row r="266" customFormat="false" ht="12.8" hidden="false" customHeight="false" outlineLevel="0" collapsed="false">
      <c r="A266" s="0" t="n">
        <v>4190</v>
      </c>
    </row>
    <row r="267" customFormat="false" ht="12.8" hidden="false" customHeight="false" outlineLevel="0" collapsed="false">
      <c r="A267" s="0" t="n">
        <v>4200</v>
      </c>
    </row>
    <row r="268" customFormat="false" ht="12.8" hidden="false" customHeight="false" outlineLevel="0" collapsed="false">
      <c r="A268" s="0" t="n">
        <v>4210</v>
      </c>
    </row>
    <row r="269" customFormat="false" ht="12.8" hidden="false" customHeight="false" outlineLevel="0" collapsed="false">
      <c r="A269" s="0" t="n">
        <v>4220</v>
      </c>
    </row>
    <row r="270" customFormat="false" ht="12.8" hidden="false" customHeight="false" outlineLevel="0" collapsed="false">
      <c r="A270" s="0" t="n">
        <v>4230</v>
      </c>
    </row>
    <row r="271" customFormat="false" ht="12.8" hidden="false" customHeight="false" outlineLevel="0" collapsed="false">
      <c r="A271" s="0" t="n">
        <v>4240</v>
      </c>
    </row>
    <row r="272" customFormat="false" ht="12.8" hidden="false" customHeight="false" outlineLevel="0" collapsed="false">
      <c r="A272" s="0" t="n">
        <v>4250</v>
      </c>
    </row>
    <row r="273" customFormat="false" ht="12.8" hidden="false" customHeight="false" outlineLevel="0" collapsed="false">
      <c r="A273" s="0" t="n">
        <v>4260</v>
      </c>
    </row>
    <row r="274" customFormat="false" ht="12.8" hidden="false" customHeight="false" outlineLevel="0" collapsed="false">
      <c r="A274" s="0" t="n">
        <v>4270</v>
      </c>
    </row>
    <row r="275" customFormat="false" ht="12.8" hidden="false" customHeight="false" outlineLevel="0" collapsed="false">
      <c r="A275" s="0" t="n">
        <v>4280</v>
      </c>
    </row>
    <row r="276" customFormat="false" ht="12.8" hidden="false" customHeight="false" outlineLevel="0" collapsed="false">
      <c r="A276" s="0" t="n">
        <v>4290</v>
      </c>
    </row>
    <row r="277" customFormat="false" ht="12.8" hidden="false" customHeight="false" outlineLevel="0" collapsed="false">
      <c r="A277" s="0" t="n">
        <v>4300</v>
      </c>
    </row>
    <row r="278" customFormat="false" ht="12.8" hidden="false" customHeight="false" outlineLevel="0" collapsed="false">
      <c r="A278" s="0" t="n">
        <v>4310</v>
      </c>
    </row>
    <row r="279" customFormat="false" ht="12.8" hidden="false" customHeight="false" outlineLevel="0" collapsed="false">
      <c r="A279" s="0" t="n">
        <v>4320</v>
      </c>
    </row>
    <row r="280" customFormat="false" ht="12.8" hidden="false" customHeight="false" outlineLevel="0" collapsed="false">
      <c r="A280" s="0" t="n">
        <v>4330</v>
      </c>
    </row>
    <row r="281" customFormat="false" ht="12.8" hidden="false" customHeight="false" outlineLevel="0" collapsed="false">
      <c r="A281" s="0" t="n">
        <v>4340</v>
      </c>
    </row>
    <row r="282" customFormat="false" ht="12.8" hidden="false" customHeight="false" outlineLevel="0" collapsed="false">
      <c r="A282" s="0" t="n">
        <v>4350</v>
      </c>
    </row>
    <row r="283" customFormat="false" ht="12.8" hidden="false" customHeight="false" outlineLevel="0" collapsed="false">
      <c r="A283" s="0" t="n">
        <v>4360</v>
      </c>
    </row>
    <row r="284" customFormat="false" ht="12.8" hidden="false" customHeight="false" outlineLevel="0" collapsed="false">
      <c r="A284" s="0" t="n">
        <v>4370</v>
      </c>
    </row>
    <row r="285" customFormat="false" ht="12.8" hidden="false" customHeight="false" outlineLevel="0" collapsed="false">
      <c r="A285" s="0" t="n">
        <v>4380</v>
      </c>
    </row>
    <row r="286" customFormat="false" ht="12.8" hidden="false" customHeight="false" outlineLevel="0" collapsed="false">
      <c r="A286" s="0" t="n">
        <v>4390</v>
      </c>
    </row>
    <row r="287" customFormat="false" ht="12.8" hidden="false" customHeight="false" outlineLevel="0" collapsed="false">
      <c r="A287" s="0" t="n">
        <v>4400</v>
      </c>
    </row>
    <row r="288" customFormat="false" ht="12.8" hidden="false" customHeight="false" outlineLevel="0" collapsed="false">
      <c r="A288" s="0" t="n">
        <v>4410</v>
      </c>
    </row>
    <row r="289" customFormat="false" ht="12.8" hidden="false" customHeight="false" outlineLevel="0" collapsed="false">
      <c r="A289" s="0" t="n">
        <v>4420</v>
      </c>
    </row>
    <row r="290" customFormat="false" ht="12.8" hidden="false" customHeight="false" outlineLevel="0" collapsed="false">
      <c r="A290" s="0" t="n">
        <v>4430</v>
      </c>
    </row>
    <row r="291" customFormat="false" ht="12.8" hidden="false" customHeight="false" outlineLevel="0" collapsed="false">
      <c r="A291" s="0" t="n">
        <v>4440</v>
      </c>
    </row>
    <row r="292" customFormat="false" ht="12.8" hidden="false" customHeight="false" outlineLevel="0" collapsed="false">
      <c r="A292" s="0" t="n">
        <v>4450</v>
      </c>
    </row>
    <row r="293" customFormat="false" ht="12.8" hidden="false" customHeight="false" outlineLevel="0" collapsed="false">
      <c r="A293" s="0" t="n">
        <v>4460</v>
      </c>
    </row>
    <row r="294" customFormat="false" ht="12.8" hidden="false" customHeight="false" outlineLevel="0" collapsed="false">
      <c r="A294" s="0" t="n">
        <v>4470</v>
      </c>
    </row>
    <row r="295" customFormat="false" ht="12.8" hidden="false" customHeight="false" outlineLevel="0" collapsed="false">
      <c r="A295" s="0" t="n">
        <v>4480</v>
      </c>
    </row>
    <row r="296" customFormat="false" ht="12.8" hidden="false" customHeight="false" outlineLevel="0" collapsed="false">
      <c r="A296" s="0" t="n">
        <v>4490</v>
      </c>
    </row>
    <row r="297" customFormat="false" ht="12.8" hidden="false" customHeight="false" outlineLevel="0" collapsed="false">
      <c r="A297" s="0" t="n">
        <v>4500</v>
      </c>
    </row>
    <row r="298" customFormat="false" ht="12.8" hidden="false" customHeight="false" outlineLevel="0" collapsed="false">
      <c r="A298" s="0" t="n">
        <v>4510</v>
      </c>
    </row>
    <row r="299" customFormat="false" ht="12.8" hidden="false" customHeight="false" outlineLevel="0" collapsed="false">
      <c r="A299" s="0" t="n">
        <v>4520</v>
      </c>
    </row>
    <row r="300" customFormat="false" ht="12.8" hidden="false" customHeight="false" outlineLevel="0" collapsed="false">
      <c r="A300" s="0" t="n">
        <v>4530</v>
      </c>
    </row>
    <row r="301" customFormat="false" ht="12.8" hidden="false" customHeight="false" outlineLevel="0" collapsed="false">
      <c r="A301" s="0" t="n">
        <v>4540</v>
      </c>
    </row>
    <row r="302" customFormat="false" ht="12.8" hidden="false" customHeight="false" outlineLevel="0" collapsed="false">
      <c r="A302" s="0" t="n">
        <v>4550</v>
      </c>
    </row>
    <row r="303" customFormat="false" ht="12.8" hidden="false" customHeight="false" outlineLevel="0" collapsed="false">
      <c r="A303" s="0" t="n">
        <v>4560</v>
      </c>
    </row>
    <row r="304" customFormat="false" ht="12.8" hidden="false" customHeight="false" outlineLevel="0" collapsed="false">
      <c r="A304" s="0" t="n">
        <v>4570</v>
      </c>
    </row>
    <row r="305" customFormat="false" ht="12.8" hidden="false" customHeight="false" outlineLevel="0" collapsed="false">
      <c r="A305" s="0" t="n">
        <v>4580</v>
      </c>
    </row>
    <row r="306" customFormat="false" ht="12.8" hidden="false" customHeight="false" outlineLevel="0" collapsed="false">
      <c r="A306" s="0" t="n">
        <v>4590</v>
      </c>
    </row>
    <row r="307" customFormat="false" ht="12.8" hidden="false" customHeight="false" outlineLevel="0" collapsed="false">
      <c r="A307" s="0" t="n">
        <v>4600</v>
      </c>
    </row>
    <row r="308" customFormat="false" ht="12.8" hidden="false" customHeight="false" outlineLevel="0" collapsed="false">
      <c r="A308" s="0" t="n">
        <v>4610</v>
      </c>
    </row>
    <row r="309" customFormat="false" ht="12.8" hidden="false" customHeight="false" outlineLevel="0" collapsed="false">
      <c r="A309" s="0" t="n">
        <v>4620</v>
      </c>
    </row>
    <row r="310" customFormat="false" ht="12.8" hidden="false" customHeight="false" outlineLevel="0" collapsed="false">
      <c r="A310" s="0" t="n">
        <v>4630</v>
      </c>
    </row>
    <row r="311" customFormat="false" ht="12.8" hidden="false" customHeight="false" outlineLevel="0" collapsed="false">
      <c r="A311" s="0" t="n">
        <v>4640</v>
      </c>
    </row>
    <row r="312" customFormat="false" ht="12.8" hidden="false" customHeight="false" outlineLevel="0" collapsed="false">
      <c r="A312" s="0" t="n">
        <v>4650</v>
      </c>
    </row>
    <row r="313" customFormat="false" ht="12.8" hidden="false" customHeight="false" outlineLevel="0" collapsed="false">
      <c r="A313" s="0" t="n">
        <v>4660</v>
      </c>
    </row>
    <row r="314" customFormat="false" ht="12.8" hidden="false" customHeight="false" outlineLevel="0" collapsed="false">
      <c r="A314" s="0" t="n">
        <v>4670</v>
      </c>
    </row>
    <row r="315" customFormat="false" ht="12.8" hidden="false" customHeight="false" outlineLevel="0" collapsed="false">
      <c r="A315" s="0" t="n">
        <v>4680</v>
      </c>
    </row>
    <row r="316" customFormat="false" ht="12.8" hidden="false" customHeight="false" outlineLevel="0" collapsed="false">
      <c r="A316" s="0" t="n">
        <v>4690</v>
      </c>
    </row>
    <row r="317" customFormat="false" ht="12.8" hidden="false" customHeight="false" outlineLevel="0" collapsed="false">
      <c r="A317" s="0" t="n">
        <v>4700</v>
      </c>
    </row>
    <row r="318" customFormat="false" ht="12.8" hidden="false" customHeight="false" outlineLevel="0" collapsed="false">
      <c r="A318" s="0" t="n">
        <v>4710</v>
      </c>
    </row>
    <row r="319" customFormat="false" ht="12.8" hidden="false" customHeight="false" outlineLevel="0" collapsed="false">
      <c r="A319" s="0" t="n">
        <v>4720</v>
      </c>
    </row>
    <row r="320" customFormat="false" ht="12.8" hidden="false" customHeight="false" outlineLevel="0" collapsed="false">
      <c r="A320" s="0" t="n">
        <v>4730</v>
      </c>
    </row>
    <row r="321" customFormat="false" ht="12.8" hidden="false" customHeight="false" outlineLevel="0" collapsed="false">
      <c r="A321" s="0" t="n">
        <v>4740</v>
      </c>
    </row>
    <row r="322" customFormat="false" ht="12.8" hidden="false" customHeight="false" outlineLevel="0" collapsed="false">
      <c r="A322" s="0" t="n">
        <v>4750</v>
      </c>
    </row>
    <row r="323" customFormat="false" ht="12.8" hidden="false" customHeight="false" outlineLevel="0" collapsed="false">
      <c r="A323" s="0" t="n">
        <v>4760</v>
      </c>
    </row>
    <row r="324" customFormat="false" ht="12.8" hidden="false" customHeight="false" outlineLevel="0" collapsed="false">
      <c r="A324" s="0" t="n">
        <v>4770</v>
      </c>
    </row>
    <row r="325" customFormat="false" ht="12.8" hidden="false" customHeight="false" outlineLevel="0" collapsed="false">
      <c r="A325" s="0" t="n">
        <v>4780</v>
      </c>
    </row>
    <row r="326" customFormat="false" ht="12.8" hidden="false" customHeight="false" outlineLevel="0" collapsed="false">
      <c r="A326" s="0" t="n">
        <v>4790</v>
      </c>
    </row>
    <row r="327" customFormat="false" ht="12.8" hidden="false" customHeight="false" outlineLevel="0" collapsed="false">
      <c r="A327" s="0" t="n">
        <v>4800</v>
      </c>
    </row>
    <row r="328" customFormat="false" ht="12.8" hidden="false" customHeight="false" outlineLevel="0" collapsed="false">
      <c r="A328" s="0" t="n">
        <v>4810</v>
      </c>
    </row>
    <row r="329" customFormat="false" ht="12.8" hidden="false" customHeight="false" outlineLevel="0" collapsed="false">
      <c r="A329" s="0" t="n">
        <v>4820</v>
      </c>
    </row>
    <row r="330" customFormat="false" ht="12.8" hidden="false" customHeight="false" outlineLevel="0" collapsed="false">
      <c r="A330" s="0" t="n">
        <v>4830</v>
      </c>
    </row>
    <row r="331" customFormat="false" ht="12.8" hidden="false" customHeight="false" outlineLevel="0" collapsed="false">
      <c r="A331" s="0" t="n">
        <v>4840</v>
      </c>
    </row>
    <row r="332" customFormat="false" ht="12.8" hidden="false" customHeight="false" outlineLevel="0" collapsed="false">
      <c r="A332" s="0" t="n">
        <v>4850</v>
      </c>
    </row>
    <row r="333" customFormat="false" ht="12.8" hidden="false" customHeight="false" outlineLevel="0" collapsed="false">
      <c r="A333" s="0" t="n">
        <v>4860</v>
      </c>
    </row>
    <row r="334" customFormat="false" ht="12.8" hidden="false" customHeight="false" outlineLevel="0" collapsed="false">
      <c r="A334" s="0" t="n">
        <v>4870</v>
      </c>
    </row>
    <row r="335" customFormat="false" ht="12.8" hidden="false" customHeight="false" outlineLevel="0" collapsed="false">
      <c r="A335" s="0" t="n">
        <v>4880</v>
      </c>
    </row>
    <row r="336" customFormat="false" ht="12.8" hidden="false" customHeight="false" outlineLevel="0" collapsed="false">
      <c r="A336" s="0" t="n">
        <v>4890</v>
      </c>
    </row>
    <row r="337" customFormat="false" ht="12.8" hidden="false" customHeight="false" outlineLevel="0" collapsed="false">
      <c r="A337" s="0" t="n">
        <v>4900</v>
      </c>
    </row>
    <row r="338" customFormat="false" ht="12.8" hidden="false" customHeight="false" outlineLevel="0" collapsed="false">
      <c r="A338" s="0" t="n">
        <v>4910</v>
      </c>
    </row>
    <row r="339" customFormat="false" ht="12.8" hidden="false" customHeight="false" outlineLevel="0" collapsed="false">
      <c r="A339" s="0" t="n">
        <v>4920</v>
      </c>
    </row>
    <row r="340" customFormat="false" ht="12.8" hidden="false" customHeight="false" outlineLevel="0" collapsed="false">
      <c r="A340" s="0" t="n">
        <v>4930</v>
      </c>
    </row>
    <row r="341" customFormat="false" ht="12.8" hidden="false" customHeight="false" outlineLevel="0" collapsed="false">
      <c r="A341" s="0" t="n">
        <v>4940</v>
      </c>
    </row>
    <row r="342" customFormat="false" ht="12.8" hidden="false" customHeight="false" outlineLevel="0" collapsed="false">
      <c r="A342" s="0" t="n">
        <v>4950</v>
      </c>
    </row>
    <row r="343" customFormat="false" ht="12.8" hidden="false" customHeight="false" outlineLevel="0" collapsed="false">
      <c r="A343" s="0" t="n">
        <v>4960</v>
      </c>
    </row>
    <row r="344" customFormat="false" ht="12.8" hidden="false" customHeight="false" outlineLevel="0" collapsed="false">
      <c r="A344" s="0" t="n">
        <v>4970</v>
      </c>
    </row>
    <row r="345" customFormat="false" ht="12.8" hidden="false" customHeight="false" outlineLevel="0" collapsed="false">
      <c r="A345" s="0" t="n">
        <v>4980</v>
      </c>
    </row>
    <row r="346" customFormat="false" ht="12.8" hidden="false" customHeight="false" outlineLevel="0" collapsed="false">
      <c r="A346" s="0" t="n">
        <v>4990</v>
      </c>
    </row>
    <row r="347" customFormat="false" ht="12.8" hidden="false" customHeight="false" outlineLevel="0" collapsed="false">
      <c r="A347" s="0" t="n">
        <v>5000</v>
      </c>
    </row>
    <row r="348" customFormat="false" ht="12.8" hidden="false" customHeight="false" outlineLevel="0" collapsed="false">
      <c r="A348" s="0" t="n">
        <v>5010</v>
      </c>
    </row>
    <row r="349" customFormat="false" ht="12.8" hidden="false" customHeight="false" outlineLevel="0" collapsed="false">
      <c r="A349" s="0" t="n">
        <v>5020</v>
      </c>
    </row>
    <row r="350" customFormat="false" ht="12.8" hidden="false" customHeight="false" outlineLevel="0" collapsed="false">
      <c r="A350" s="0" t="n">
        <v>5030</v>
      </c>
    </row>
    <row r="351" customFormat="false" ht="12.8" hidden="false" customHeight="false" outlineLevel="0" collapsed="false">
      <c r="A351" s="0" t="n">
        <v>5040</v>
      </c>
    </row>
    <row r="352" customFormat="false" ht="12.8" hidden="false" customHeight="false" outlineLevel="0" collapsed="false">
      <c r="A352" s="0" t="n">
        <v>5050</v>
      </c>
    </row>
    <row r="353" customFormat="false" ht="12.8" hidden="false" customHeight="false" outlineLevel="0" collapsed="false">
      <c r="A353" s="0" t="n">
        <v>5060</v>
      </c>
    </row>
    <row r="354" customFormat="false" ht="12.8" hidden="false" customHeight="false" outlineLevel="0" collapsed="false">
      <c r="A354" s="0" t="n">
        <v>5070</v>
      </c>
    </row>
    <row r="355" customFormat="false" ht="12.8" hidden="false" customHeight="false" outlineLevel="0" collapsed="false">
      <c r="A355" s="0" t="n">
        <v>5080</v>
      </c>
    </row>
    <row r="356" customFormat="false" ht="12.8" hidden="false" customHeight="false" outlineLevel="0" collapsed="false">
      <c r="A356" s="0" t="n">
        <v>5090</v>
      </c>
    </row>
    <row r="357" customFormat="false" ht="12.8" hidden="false" customHeight="false" outlineLevel="0" collapsed="false">
      <c r="A357" s="0" t="n">
        <v>5100</v>
      </c>
    </row>
    <row r="358" customFormat="false" ht="12.8" hidden="false" customHeight="false" outlineLevel="0" collapsed="false">
      <c r="A358" s="0" t="n">
        <v>5110</v>
      </c>
    </row>
    <row r="359" customFormat="false" ht="12.8" hidden="false" customHeight="false" outlineLevel="0" collapsed="false">
      <c r="A359" s="0" t="n">
        <v>5120</v>
      </c>
    </row>
    <row r="360" customFormat="false" ht="12.8" hidden="false" customHeight="false" outlineLevel="0" collapsed="false">
      <c r="A360" s="0" t="n">
        <v>5130</v>
      </c>
    </row>
    <row r="361" customFormat="false" ht="12.8" hidden="false" customHeight="false" outlineLevel="0" collapsed="false">
      <c r="A361" s="0" t="n">
        <v>5140</v>
      </c>
    </row>
    <row r="362" customFormat="false" ht="12.8" hidden="false" customHeight="false" outlineLevel="0" collapsed="false">
      <c r="A362" s="0" t="n">
        <v>5150</v>
      </c>
    </row>
    <row r="363" customFormat="false" ht="12.8" hidden="false" customHeight="false" outlineLevel="0" collapsed="false">
      <c r="A363" s="0" t="n">
        <v>5160</v>
      </c>
    </row>
    <row r="364" customFormat="false" ht="12.8" hidden="false" customHeight="false" outlineLevel="0" collapsed="false">
      <c r="A364" s="0" t="n">
        <v>5170</v>
      </c>
    </row>
    <row r="365" customFormat="false" ht="12.8" hidden="false" customHeight="false" outlineLevel="0" collapsed="false">
      <c r="A365" s="0" t="n">
        <v>5180</v>
      </c>
    </row>
    <row r="366" customFormat="false" ht="12.8" hidden="false" customHeight="false" outlineLevel="0" collapsed="false">
      <c r="A366" s="0" t="n">
        <v>5190</v>
      </c>
    </row>
    <row r="367" customFormat="false" ht="12.8" hidden="false" customHeight="false" outlineLevel="0" collapsed="false">
      <c r="A367" s="0" t="n">
        <v>5200</v>
      </c>
    </row>
    <row r="368" customFormat="false" ht="12.8" hidden="false" customHeight="false" outlineLevel="0" collapsed="false">
      <c r="A368" s="0" t="n">
        <v>5210</v>
      </c>
    </row>
    <row r="369" customFormat="false" ht="12.8" hidden="false" customHeight="false" outlineLevel="0" collapsed="false">
      <c r="A369" s="0" t="n">
        <v>5220</v>
      </c>
    </row>
    <row r="370" customFormat="false" ht="12.8" hidden="false" customHeight="false" outlineLevel="0" collapsed="false">
      <c r="A370" s="0" t="n">
        <v>5230</v>
      </c>
    </row>
    <row r="371" customFormat="false" ht="12.8" hidden="false" customHeight="false" outlineLevel="0" collapsed="false">
      <c r="A371" s="0" t="n">
        <v>5240</v>
      </c>
    </row>
    <row r="372" customFormat="false" ht="12.8" hidden="false" customHeight="false" outlineLevel="0" collapsed="false">
      <c r="A372" s="0" t="n">
        <v>5250</v>
      </c>
    </row>
    <row r="373" customFormat="false" ht="12.8" hidden="false" customHeight="false" outlineLevel="0" collapsed="false">
      <c r="A373" s="0" t="n">
        <v>5260</v>
      </c>
    </row>
    <row r="374" customFormat="false" ht="12.8" hidden="false" customHeight="false" outlineLevel="0" collapsed="false">
      <c r="A374" s="0" t="n">
        <v>5270</v>
      </c>
    </row>
    <row r="375" customFormat="false" ht="12.8" hidden="false" customHeight="false" outlineLevel="0" collapsed="false">
      <c r="A375" s="0" t="n">
        <v>5280</v>
      </c>
    </row>
    <row r="376" customFormat="false" ht="12.8" hidden="false" customHeight="false" outlineLevel="0" collapsed="false">
      <c r="A376" s="0" t="n">
        <v>5290</v>
      </c>
    </row>
    <row r="377" customFormat="false" ht="12.8" hidden="false" customHeight="false" outlineLevel="0" collapsed="false">
      <c r="A377" s="0" t="n">
        <v>5300</v>
      </c>
    </row>
    <row r="378" customFormat="false" ht="12.8" hidden="false" customHeight="false" outlineLevel="0" collapsed="false">
      <c r="A378" s="0" t="n">
        <v>5310</v>
      </c>
    </row>
    <row r="379" customFormat="false" ht="12.8" hidden="false" customHeight="false" outlineLevel="0" collapsed="false">
      <c r="A379" s="0" t="n">
        <v>5320</v>
      </c>
    </row>
    <row r="380" customFormat="false" ht="12.8" hidden="false" customHeight="false" outlineLevel="0" collapsed="false">
      <c r="A380" s="0" t="n">
        <v>5330</v>
      </c>
    </row>
    <row r="381" customFormat="false" ht="12.8" hidden="false" customHeight="false" outlineLevel="0" collapsed="false">
      <c r="A381" s="0" t="n">
        <v>5340</v>
      </c>
    </row>
    <row r="382" customFormat="false" ht="12.8" hidden="false" customHeight="false" outlineLevel="0" collapsed="false">
      <c r="A382" s="0" t="n">
        <v>5350</v>
      </c>
    </row>
    <row r="383" customFormat="false" ht="12.8" hidden="false" customHeight="false" outlineLevel="0" collapsed="false">
      <c r="A383" s="0" t="n">
        <v>5360</v>
      </c>
    </row>
    <row r="384" customFormat="false" ht="12.8" hidden="false" customHeight="false" outlineLevel="0" collapsed="false">
      <c r="A384" s="0" t="n">
        <v>5370</v>
      </c>
    </row>
    <row r="385" customFormat="false" ht="12.8" hidden="false" customHeight="false" outlineLevel="0" collapsed="false">
      <c r="A385" s="0" t="n">
        <v>5380</v>
      </c>
    </row>
    <row r="386" customFormat="false" ht="12.8" hidden="false" customHeight="false" outlineLevel="0" collapsed="false">
      <c r="A386" s="0" t="n">
        <v>5390</v>
      </c>
    </row>
    <row r="387" customFormat="false" ht="12.8" hidden="false" customHeight="false" outlineLevel="0" collapsed="false">
      <c r="A387" s="0" t="n">
        <v>5400</v>
      </c>
    </row>
    <row r="388" customFormat="false" ht="12.8" hidden="false" customHeight="false" outlineLevel="0" collapsed="false">
      <c r="A388" s="0" t="n">
        <v>5410</v>
      </c>
    </row>
    <row r="389" customFormat="false" ht="12.8" hidden="false" customHeight="false" outlineLevel="0" collapsed="false">
      <c r="A389" s="0" t="n">
        <v>5420</v>
      </c>
    </row>
    <row r="390" customFormat="false" ht="12.8" hidden="false" customHeight="false" outlineLevel="0" collapsed="false">
      <c r="A390" s="0" t="n">
        <v>5430</v>
      </c>
    </row>
    <row r="391" customFormat="false" ht="12.8" hidden="false" customHeight="false" outlineLevel="0" collapsed="false">
      <c r="A391" s="0" t="n">
        <v>5440</v>
      </c>
    </row>
    <row r="392" customFormat="false" ht="12.8" hidden="false" customHeight="false" outlineLevel="0" collapsed="false">
      <c r="A392" s="0" t="n">
        <v>5450</v>
      </c>
    </row>
    <row r="393" customFormat="false" ht="12.8" hidden="false" customHeight="false" outlineLevel="0" collapsed="false">
      <c r="A393" s="0" t="n">
        <v>5460</v>
      </c>
    </row>
    <row r="394" customFormat="false" ht="12.8" hidden="false" customHeight="false" outlineLevel="0" collapsed="false">
      <c r="A394" s="0" t="n">
        <v>5470</v>
      </c>
    </row>
    <row r="395" customFormat="false" ht="12.8" hidden="false" customHeight="false" outlineLevel="0" collapsed="false">
      <c r="A395" s="0" t="n">
        <v>5480</v>
      </c>
    </row>
    <row r="396" customFormat="false" ht="12.8" hidden="false" customHeight="false" outlineLevel="0" collapsed="false">
      <c r="A396" s="0" t="n">
        <v>5490</v>
      </c>
    </row>
    <row r="397" customFormat="false" ht="12.8" hidden="false" customHeight="false" outlineLevel="0" collapsed="false">
      <c r="A397" s="0" t="n">
        <v>5500</v>
      </c>
    </row>
    <row r="398" customFormat="false" ht="12.8" hidden="false" customHeight="false" outlineLevel="0" collapsed="false">
      <c r="A398" s="0" t="n">
        <v>5510</v>
      </c>
    </row>
    <row r="399" customFormat="false" ht="12.8" hidden="false" customHeight="false" outlineLevel="0" collapsed="false">
      <c r="A399" s="0" t="n">
        <v>5520</v>
      </c>
    </row>
    <row r="400" customFormat="false" ht="12.8" hidden="false" customHeight="false" outlineLevel="0" collapsed="false">
      <c r="A400" s="0" t="n">
        <v>5530</v>
      </c>
    </row>
    <row r="401" customFormat="false" ht="12.8" hidden="false" customHeight="false" outlineLevel="0" collapsed="false">
      <c r="A401" s="0" t="n">
        <v>5540</v>
      </c>
    </row>
    <row r="402" customFormat="false" ht="12.8" hidden="false" customHeight="false" outlineLevel="0" collapsed="false">
      <c r="A402" s="0" t="n">
        <v>5550</v>
      </c>
    </row>
    <row r="403" customFormat="false" ht="12.8" hidden="false" customHeight="false" outlineLevel="0" collapsed="false">
      <c r="A403" s="0" t="n">
        <v>5560</v>
      </c>
    </row>
    <row r="404" customFormat="false" ht="12.8" hidden="false" customHeight="false" outlineLevel="0" collapsed="false">
      <c r="A404" s="0" t="n">
        <v>5570</v>
      </c>
    </row>
    <row r="405" customFormat="false" ht="12.8" hidden="false" customHeight="false" outlineLevel="0" collapsed="false">
      <c r="A405" s="0" t="n">
        <v>5580</v>
      </c>
    </row>
    <row r="406" customFormat="false" ht="12.8" hidden="false" customHeight="false" outlineLevel="0" collapsed="false">
      <c r="A406" s="0" t="n">
        <v>5590</v>
      </c>
    </row>
    <row r="407" customFormat="false" ht="12.8" hidden="false" customHeight="false" outlineLevel="0" collapsed="false">
      <c r="A407" s="0" t="n">
        <v>5600</v>
      </c>
    </row>
    <row r="408" customFormat="false" ht="12.8" hidden="false" customHeight="false" outlineLevel="0" collapsed="false">
      <c r="A408" s="0" t="n">
        <v>5610</v>
      </c>
    </row>
    <row r="409" customFormat="false" ht="12.8" hidden="false" customHeight="false" outlineLevel="0" collapsed="false">
      <c r="A409" s="0" t="n">
        <v>5620</v>
      </c>
    </row>
    <row r="410" customFormat="false" ht="12.8" hidden="false" customHeight="false" outlineLevel="0" collapsed="false">
      <c r="A410" s="0" t="n">
        <v>5630</v>
      </c>
    </row>
    <row r="411" customFormat="false" ht="12.8" hidden="false" customHeight="false" outlineLevel="0" collapsed="false">
      <c r="A411" s="0" t="n">
        <v>5640</v>
      </c>
    </row>
    <row r="412" customFormat="false" ht="12.8" hidden="false" customHeight="false" outlineLevel="0" collapsed="false">
      <c r="A412" s="0" t="n">
        <v>5650</v>
      </c>
    </row>
    <row r="413" customFormat="false" ht="12.8" hidden="false" customHeight="false" outlineLevel="0" collapsed="false">
      <c r="A413" s="0" t="n">
        <v>5660</v>
      </c>
    </row>
    <row r="414" customFormat="false" ht="12.8" hidden="false" customHeight="false" outlineLevel="0" collapsed="false">
      <c r="A414" s="0" t="n">
        <v>5670</v>
      </c>
    </row>
    <row r="415" customFormat="false" ht="12.8" hidden="false" customHeight="false" outlineLevel="0" collapsed="false">
      <c r="A415" s="0" t="n">
        <v>5680</v>
      </c>
    </row>
    <row r="416" customFormat="false" ht="12.8" hidden="false" customHeight="false" outlineLevel="0" collapsed="false">
      <c r="A416" s="0" t="n">
        <v>5690</v>
      </c>
    </row>
    <row r="417" customFormat="false" ht="12.8" hidden="false" customHeight="false" outlineLevel="0" collapsed="false">
      <c r="A417" s="0" t="n">
        <v>5700</v>
      </c>
    </row>
    <row r="418" customFormat="false" ht="12.8" hidden="false" customHeight="false" outlineLevel="0" collapsed="false">
      <c r="A418" s="0" t="n">
        <v>5710</v>
      </c>
    </row>
    <row r="419" customFormat="false" ht="12.8" hidden="false" customHeight="false" outlineLevel="0" collapsed="false">
      <c r="A419" s="0" t="n">
        <v>5720</v>
      </c>
    </row>
    <row r="420" customFormat="false" ht="12.8" hidden="false" customHeight="false" outlineLevel="0" collapsed="false">
      <c r="A420" s="0" t="n">
        <v>5730</v>
      </c>
    </row>
    <row r="421" customFormat="false" ht="12.8" hidden="false" customHeight="false" outlineLevel="0" collapsed="false">
      <c r="A421" s="0" t="n">
        <v>5740</v>
      </c>
    </row>
    <row r="422" customFormat="false" ht="12.8" hidden="false" customHeight="false" outlineLevel="0" collapsed="false">
      <c r="A422" s="0" t="n">
        <v>5750</v>
      </c>
    </row>
    <row r="423" customFormat="false" ht="12.8" hidden="false" customHeight="false" outlineLevel="0" collapsed="false">
      <c r="A423" s="0" t="n">
        <v>5760</v>
      </c>
    </row>
    <row r="424" customFormat="false" ht="12.8" hidden="false" customHeight="false" outlineLevel="0" collapsed="false">
      <c r="A424" s="0" t="n">
        <v>5770</v>
      </c>
    </row>
    <row r="425" customFormat="false" ht="12.8" hidden="false" customHeight="false" outlineLevel="0" collapsed="false">
      <c r="A425" s="0" t="n">
        <v>5780</v>
      </c>
    </row>
    <row r="426" customFormat="false" ht="12.8" hidden="false" customHeight="false" outlineLevel="0" collapsed="false">
      <c r="A426" s="0" t="n">
        <v>5790</v>
      </c>
    </row>
    <row r="427" customFormat="false" ht="12.8" hidden="false" customHeight="false" outlineLevel="0" collapsed="false">
      <c r="A427" s="0" t="n">
        <v>5800</v>
      </c>
    </row>
    <row r="428" customFormat="false" ht="12.8" hidden="false" customHeight="false" outlineLevel="0" collapsed="false">
      <c r="A428" s="0" t="n">
        <v>5810</v>
      </c>
    </row>
    <row r="429" customFormat="false" ht="12.8" hidden="false" customHeight="false" outlineLevel="0" collapsed="false">
      <c r="A429" s="0" t="n">
        <v>5820</v>
      </c>
    </row>
    <row r="430" customFormat="false" ht="12.8" hidden="false" customHeight="false" outlineLevel="0" collapsed="false">
      <c r="A430" s="0" t="n">
        <v>5830</v>
      </c>
    </row>
    <row r="431" customFormat="false" ht="12.8" hidden="false" customHeight="false" outlineLevel="0" collapsed="false">
      <c r="A431" s="0" t="n">
        <v>5840</v>
      </c>
    </row>
    <row r="432" customFormat="false" ht="12.8" hidden="false" customHeight="false" outlineLevel="0" collapsed="false">
      <c r="A432" s="0" t="n">
        <v>5850</v>
      </c>
    </row>
    <row r="433" customFormat="false" ht="12.8" hidden="false" customHeight="false" outlineLevel="0" collapsed="false">
      <c r="A433" s="0" t="n">
        <v>5860</v>
      </c>
    </row>
    <row r="434" customFormat="false" ht="12.8" hidden="false" customHeight="false" outlineLevel="0" collapsed="false">
      <c r="A434" s="0" t="n">
        <v>5870</v>
      </c>
    </row>
    <row r="435" customFormat="false" ht="12.8" hidden="false" customHeight="false" outlineLevel="0" collapsed="false">
      <c r="A435" s="0" t="n">
        <v>5880</v>
      </c>
    </row>
    <row r="436" customFormat="false" ht="12.8" hidden="false" customHeight="false" outlineLevel="0" collapsed="false">
      <c r="A436" s="0" t="n">
        <v>5890</v>
      </c>
    </row>
    <row r="437" customFormat="false" ht="12.8" hidden="false" customHeight="false" outlineLevel="0" collapsed="false">
      <c r="A437" s="0" t="n">
        <v>5900</v>
      </c>
    </row>
    <row r="438" customFormat="false" ht="12.8" hidden="false" customHeight="false" outlineLevel="0" collapsed="false">
      <c r="A438" s="0" t="n">
        <v>5910</v>
      </c>
    </row>
    <row r="439" customFormat="false" ht="12.8" hidden="false" customHeight="false" outlineLevel="0" collapsed="false">
      <c r="A439" s="0" t="n">
        <v>5920</v>
      </c>
    </row>
    <row r="440" customFormat="false" ht="12.8" hidden="false" customHeight="false" outlineLevel="0" collapsed="false">
      <c r="A440" s="0" t="n">
        <v>5930</v>
      </c>
    </row>
    <row r="441" customFormat="false" ht="12.8" hidden="false" customHeight="false" outlineLevel="0" collapsed="false">
      <c r="A441" s="0" t="n">
        <v>5940</v>
      </c>
    </row>
    <row r="442" customFormat="false" ht="12.8" hidden="false" customHeight="false" outlineLevel="0" collapsed="false">
      <c r="A442" s="0" t="n">
        <v>5950</v>
      </c>
    </row>
    <row r="443" customFormat="false" ht="12.8" hidden="false" customHeight="false" outlineLevel="0" collapsed="false">
      <c r="A443" s="0" t="n">
        <v>5960</v>
      </c>
    </row>
    <row r="444" customFormat="false" ht="12.8" hidden="false" customHeight="false" outlineLevel="0" collapsed="false">
      <c r="A444" s="0" t="n">
        <v>5970</v>
      </c>
    </row>
    <row r="445" customFormat="false" ht="12.8" hidden="false" customHeight="false" outlineLevel="0" collapsed="false">
      <c r="A445" s="0" t="n">
        <v>5980</v>
      </c>
    </row>
    <row r="446" customFormat="false" ht="12.8" hidden="false" customHeight="false" outlineLevel="0" collapsed="false">
      <c r="A446" s="0" t="n">
        <v>5990</v>
      </c>
    </row>
    <row r="447" customFormat="false" ht="12.8" hidden="false" customHeight="false" outlineLevel="0" collapsed="false">
      <c r="A447" s="0" t="n">
        <v>6000</v>
      </c>
    </row>
    <row r="448" customFormat="false" ht="12.8" hidden="false" customHeight="false" outlineLevel="0" collapsed="false">
      <c r="A448" s="0" t="n">
        <v>6010</v>
      </c>
    </row>
    <row r="449" customFormat="false" ht="12.8" hidden="false" customHeight="false" outlineLevel="0" collapsed="false">
      <c r="A449" s="0" t="n">
        <v>6020</v>
      </c>
    </row>
    <row r="450" customFormat="false" ht="12.8" hidden="false" customHeight="false" outlineLevel="0" collapsed="false">
      <c r="A450" s="0" t="n">
        <v>6030</v>
      </c>
    </row>
    <row r="451" customFormat="false" ht="12.8" hidden="false" customHeight="false" outlineLevel="0" collapsed="false">
      <c r="A451" s="0" t="n">
        <v>6040</v>
      </c>
    </row>
    <row r="452" customFormat="false" ht="12.8" hidden="false" customHeight="false" outlineLevel="0" collapsed="false">
      <c r="A452" s="0" t="n">
        <v>6050</v>
      </c>
    </row>
    <row r="453" customFormat="false" ht="12.8" hidden="false" customHeight="false" outlineLevel="0" collapsed="false">
      <c r="A453" s="0" t="n">
        <v>6060</v>
      </c>
    </row>
    <row r="454" customFormat="false" ht="12.8" hidden="false" customHeight="false" outlineLevel="0" collapsed="false">
      <c r="A454" s="0" t="n">
        <v>6070</v>
      </c>
    </row>
    <row r="455" customFormat="false" ht="12.8" hidden="false" customHeight="false" outlineLevel="0" collapsed="false">
      <c r="A455" s="0" t="n">
        <v>6080</v>
      </c>
    </row>
    <row r="456" customFormat="false" ht="12.8" hidden="false" customHeight="false" outlineLevel="0" collapsed="false">
      <c r="A456" s="0" t="n">
        <v>6090</v>
      </c>
    </row>
    <row r="457" customFormat="false" ht="12.8" hidden="false" customHeight="false" outlineLevel="0" collapsed="false">
      <c r="A457" s="0" t="n">
        <v>6100</v>
      </c>
    </row>
    <row r="458" customFormat="false" ht="12.8" hidden="false" customHeight="false" outlineLevel="0" collapsed="false">
      <c r="A458" s="0" t="n">
        <v>6110</v>
      </c>
    </row>
    <row r="459" customFormat="false" ht="12.8" hidden="false" customHeight="false" outlineLevel="0" collapsed="false">
      <c r="A459" s="0" t="n">
        <v>6120</v>
      </c>
    </row>
    <row r="460" customFormat="false" ht="12.8" hidden="false" customHeight="false" outlineLevel="0" collapsed="false">
      <c r="A460" s="0" t="n">
        <v>6130</v>
      </c>
    </row>
    <row r="461" customFormat="false" ht="12.8" hidden="false" customHeight="false" outlineLevel="0" collapsed="false">
      <c r="A461" s="0" t="n">
        <v>6140</v>
      </c>
    </row>
    <row r="462" customFormat="false" ht="12.8" hidden="false" customHeight="false" outlineLevel="0" collapsed="false">
      <c r="A462" s="0" t="n">
        <v>6150</v>
      </c>
    </row>
    <row r="463" customFormat="false" ht="12.8" hidden="false" customHeight="false" outlineLevel="0" collapsed="false">
      <c r="A463" s="0" t="n">
        <v>6160</v>
      </c>
    </row>
    <row r="464" customFormat="false" ht="12.8" hidden="false" customHeight="false" outlineLevel="0" collapsed="false">
      <c r="A464" s="0" t="n">
        <v>6170</v>
      </c>
    </row>
    <row r="465" customFormat="false" ht="12.8" hidden="false" customHeight="false" outlineLevel="0" collapsed="false">
      <c r="A465" s="0" t="n">
        <v>6180</v>
      </c>
    </row>
    <row r="466" customFormat="false" ht="12.8" hidden="false" customHeight="false" outlineLevel="0" collapsed="false">
      <c r="A466" s="0" t="n">
        <v>6190</v>
      </c>
    </row>
    <row r="467" customFormat="false" ht="12.8" hidden="false" customHeight="false" outlineLevel="0" collapsed="false">
      <c r="A467" s="0" t="n">
        <v>6200</v>
      </c>
    </row>
    <row r="468" customFormat="false" ht="12.8" hidden="false" customHeight="false" outlineLevel="0" collapsed="false">
      <c r="A468" s="0" t="n">
        <v>6210</v>
      </c>
    </row>
    <row r="469" customFormat="false" ht="12.8" hidden="false" customHeight="false" outlineLevel="0" collapsed="false">
      <c r="A469" s="0" t="n">
        <v>6220</v>
      </c>
    </row>
    <row r="470" customFormat="false" ht="12.8" hidden="false" customHeight="false" outlineLevel="0" collapsed="false">
      <c r="A470" s="0" t="n">
        <v>6230</v>
      </c>
    </row>
    <row r="471" customFormat="false" ht="12.8" hidden="false" customHeight="false" outlineLevel="0" collapsed="false">
      <c r="A471" s="0" t="n">
        <v>6240</v>
      </c>
    </row>
    <row r="472" customFormat="false" ht="12.8" hidden="false" customHeight="false" outlineLevel="0" collapsed="false">
      <c r="A472" s="0" t="n">
        <v>6250</v>
      </c>
    </row>
    <row r="473" customFormat="false" ht="12.8" hidden="false" customHeight="false" outlineLevel="0" collapsed="false">
      <c r="A473" s="0" t="n">
        <v>6260</v>
      </c>
    </row>
    <row r="474" customFormat="false" ht="12.8" hidden="false" customHeight="false" outlineLevel="0" collapsed="false">
      <c r="A474" s="0" t="n">
        <v>6270</v>
      </c>
    </row>
    <row r="475" customFormat="false" ht="12.8" hidden="false" customHeight="false" outlineLevel="0" collapsed="false">
      <c r="A475" s="0" t="n">
        <v>6280</v>
      </c>
    </row>
    <row r="476" customFormat="false" ht="12.8" hidden="false" customHeight="false" outlineLevel="0" collapsed="false">
      <c r="A476" s="0" t="n">
        <v>6290</v>
      </c>
    </row>
    <row r="477" customFormat="false" ht="12.8" hidden="false" customHeight="false" outlineLevel="0" collapsed="false">
      <c r="A477" s="0" t="n">
        <v>6300</v>
      </c>
    </row>
    <row r="478" customFormat="false" ht="12.8" hidden="false" customHeight="false" outlineLevel="0" collapsed="false">
      <c r="A478" s="0" t="n">
        <v>6310</v>
      </c>
    </row>
    <row r="479" customFormat="false" ht="12.8" hidden="false" customHeight="false" outlineLevel="0" collapsed="false">
      <c r="A479" s="0" t="n">
        <v>6320</v>
      </c>
    </row>
    <row r="480" customFormat="false" ht="12.8" hidden="false" customHeight="false" outlineLevel="0" collapsed="false">
      <c r="A480" s="0" t="n">
        <v>6330</v>
      </c>
    </row>
    <row r="481" customFormat="false" ht="12.8" hidden="false" customHeight="false" outlineLevel="0" collapsed="false">
      <c r="A481" s="0" t="n">
        <v>6340</v>
      </c>
    </row>
    <row r="482" customFormat="false" ht="12.8" hidden="false" customHeight="false" outlineLevel="0" collapsed="false">
      <c r="A482" s="0" t="n">
        <v>6350</v>
      </c>
    </row>
    <row r="483" customFormat="false" ht="12.8" hidden="false" customHeight="false" outlineLevel="0" collapsed="false">
      <c r="A483" s="0" t="n">
        <v>6360</v>
      </c>
    </row>
    <row r="484" customFormat="false" ht="12.8" hidden="false" customHeight="false" outlineLevel="0" collapsed="false">
      <c r="A484" s="0" t="n">
        <v>6370</v>
      </c>
    </row>
    <row r="485" customFormat="false" ht="12.8" hidden="false" customHeight="false" outlineLevel="0" collapsed="false">
      <c r="A485" s="0" t="n">
        <v>6380</v>
      </c>
    </row>
    <row r="486" customFormat="false" ht="12.8" hidden="false" customHeight="false" outlineLevel="0" collapsed="false">
      <c r="A486" s="0" t="n">
        <v>6390</v>
      </c>
    </row>
    <row r="487" customFormat="false" ht="12.8" hidden="false" customHeight="false" outlineLevel="0" collapsed="false">
      <c r="A487" s="0" t="n">
        <v>6400</v>
      </c>
    </row>
    <row r="488" customFormat="false" ht="12.8" hidden="false" customHeight="false" outlineLevel="0" collapsed="false">
      <c r="A488" s="0" t="n">
        <v>6410</v>
      </c>
    </row>
    <row r="489" customFormat="false" ht="12.8" hidden="false" customHeight="false" outlineLevel="0" collapsed="false">
      <c r="A489" s="0" t="n">
        <v>6420</v>
      </c>
    </row>
    <row r="490" customFormat="false" ht="12.8" hidden="false" customHeight="false" outlineLevel="0" collapsed="false">
      <c r="A490" s="0" t="n">
        <v>6430</v>
      </c>
    </row>
    <row r="491" customFormat="false" ht="12.8" hidden="false" customHeight="false" outlineLevel="0" collapsed="false">
      <c r="A491" s="0" t="n">
        <v>6440</v>
      </c>
    </row>
    <row r="492" customFormat="false" ht="12.8" hidden="false" customHeight="false" outlineLevel="0" collapsed="false">
      <c r="A492" s="0" t="n">
        <v>6450</v>
      </c>
    </row>
    <row r="493" customFormat="false" ht="12.8" hidden="false" customHeight="false" outlineLevel="0" collapsed="false">
      <c r="A493" s="0" t="n">
        <v>6460</v>
      </c>
    </row>
    <row r="494" customFormat="false" ht="12.8" hidden="false" customHeight="false" outlineLevel="0" collapsed="false">
      <c r="A494" s="0" t="n">
        <v>6470</v>
      </c>
    </row>
    <row r="495" customFormat="false" ht="12.8" hidden="false" customHeight="false" outlineLevel="0" collapsed="false">
      <c r="A495" s="0" t="n">
        <v>6480</v>
      </c>
    </row>
    <row r="496" customFormat="false" ht="12.8" hidden="false" customHeight="false" outlineLevel="0" collapsed="false">
      <c r="A496" s="0" t="n">
        <v>6490</v>
      </c>
    </row>
    <row r="497" customFormat="false" ht="12.8" hidden="false" customHeight="false" outlineLevel="0" collapsed="false">
      <c r="A497" s="0" t="n">
        <v>6500</v>
      </c>
    </row>
    <row r="498" customFormat="false" ht="12.8" hidden="false" customHeight="false" outlineLevel="0" collapsed="false">
      <c r="A498" s="0" t="n">
        <v>6510</v>
      </c>
    </row>
    <row r="499" customFormat="false" ht="12.8" hidden="false" customHeight="false" outlineLevel="0" collapsed="false">
      <c r="A499" s="0" t="n">
        <v>6520</v>
      </c>
    </row>
    <row r="500" customFormat="false" ht="12.8" hidden="false" customHeight="false" outlineLevel="0" collapsed="false">
      <c r="A500" s="0" t="n">
        <v>6530</v>
      </c>
    </row>
    <row r="501" customFormat="false" ht="12.8" hidden="false" customHeight="false" outlineLevel="0" collapsed="false">
      <c r="A501" s="0" t="n">
        <v>6540</v>
      </c>
    </row>
    <row r="502" customFormat="false" ht="12.8" hidden="false" customHeight="false" outlineLevel="0" collapsed="false">
      <c r="A502" s="0" t="n">
        <v>6550</v>
      </c>
    </row>
    <row r="503" customFormat="false" ht="12.8" hidden="false" customHeight="false" outlineLevel="0" collapsed="false">
      <c r="A503" s="0" t="n">
        <v>6560</v>
      </c>
    </row>
    <row r="504" customFormat="false" ht="12.8" hidden="false" customHeight="false" outlineLevel="0" collapsed="false">
      <c r="A504" s="0" t="n">
        <v>6570</v>
      </c>
    </row>
    <row r="505" customFormat="false" ht="12.8" hidden="false" customHeight="false" outlineLevel="0" collapsed="false">
      <c r="A505" s="0" t="n">
        <v>6580</v>
      </c>
    </row>
    <row r="506" customFormat="false" ht="12.8" hidden="false" customHeight="false" outlineLevel="0" collapsed="false">
      <c r="A506" s="0" t="n">
        <v>6590</v>
      </c>
    </row>
    <row r="507" customFormat="false" ht="12.8" hidden="false" customHeight="false" outlineLevel="0" collapsed="false">
      <c r="A507" s="0" t="n">
        <v>6600</v>
      </c>
    </row>
    <row r="508" customFormat="false" ht="12.8" hidden="false" customHeight="false" outlineLevel="0" collapsed="false">
      <c r="A508" s="0" t="n">
        <v>6610</v>
      </c>
    </row>
    <row r="509" customFormat="false" ht="12.8" hidden="false" customHeight="false" outlineLevel="0" collapsed="false">
      <c r="A509" s="0" t="n">
        <v>6620</v>
      </c>
    </row>
    <row r="510" customFormat="false" ht="12.8" hidden="false" customHeight="false" outlineLevel="0" collapsed="false">
      <c r="A510" s="0" t="n">
        <v>6630</v>
      </c>
    </row>
    <row r="511" customFormat="false" ht="12.8" hidden="false" customHeight="false" outlineLevel="0" collapsed="false">
      <c r="A511" s="0" t="n">
        <v>6640</v>
      </c>
    </row>
    <row r="512" customFormat="false" ht="12.8" hidden="false" customHeight="false" outlineLevel="0" collapsed="false">
      <c r="A512" s="0" t="n">
        <v>6650</v>
      </c>
    </row>
    <row r="513" customFormat="false" ht="12.8" hidden="false" customHeight="false" outlineLevel="0" collapsed="false">
      <c r="A513" s="0" t="n">
        <v>6660</v>
      </c>
    </row>
    <row r="514" customFormat="false" ht="12.8" hidden="false" customHeight="false" outlineLevel="0" collapsed="false">
      <c r="A514" s="0" t="n">
        <v>6670</v>
      </c>
    </row>
    <row r="515" customFormat="false" ht="12.8" hidden="false" customHeight="false" outlineLevel="0" collapsed="false">
      <c r="A515" s="0" t="n">
        <v>6680</v>
      </c>
    </row>
    <row r="516" customFormat="false" ht="12.8" hidden="false" customHeight="false" outlineLevel="0" collapsed="false">
      <c r="A516" s="0" t="n">
        <v>6690</v>
      </c>
    </row>
    <row r="517" customFormat="false" ht="12.8" hidden="false" customHeight="false" outlineLevel="0" collapsed="false">
      <c r="A517" s="0" t="n">
        <v>6700</v>
      </c>
    </row>
    <row r="518" customFormat="false" ht="12.8" hidden="false" customHeight="false" outlineLevel="0" collapsed="false">
      <c r="A518" s="0" t="n">
        <v>6710</v>
      </c>
    </row>
    <row r="519" customFormat="false" ht="12.8" hidden="false" customHeight="false" outlineLevel="0" collapsed="false">
      <c r="A519" s="0" t="n">
        <v>6720</v>
      </c>
    </row>
    <row r="520" customFormat="false" ht="12.8" hidden="false" customHeight="false" outlineLevel="0" collapsed="false">
      <c r="A520" s="0" t="n">
        <v>6730</v>
      </c>
    </row>
    <row r="521" customFormat="false" ht="12.8" hidden="false" customHeight="false" outlineLevel="0" collapsed="false">
      <c r="A521" s="0" t="n">
        <v>6740</v>
      </c>
    </row>
    <row r="522" customFormat="false" ht="12.8" hidden="false" customHeight="false" outlineLevel="0" collapsed="false">
      <c r="A522" s="0" t="n">
        <v>6750</v>
      </c>
    </row>
    <row r="523" customFormat="false" ht="12.8" hidden="false" customHeight="false" outlineLevel="0" collapsed="false">
      <c r="A523" s="0" t="n">
        <v>6760</v>
      </c>
    </row>
    <row r="524" customFormat="false" ht="12.8" hidden="false" customHeight="false" outlineLevel="0" collapsed="false">
      <c r="A524" s="0" t="n">
        <v>6770</v>
      </c>
    </row>
    <row r="525" customFormat="false" ht="12.8" hidden="false" customHeight="false" outlineLevel="0" collapsed="false">
      <c r="A525" s="0" t="n">
        <v>6780</v>
      </c>
    </row>
    <row r="526" customFormat="false" ht="12.8" hidden="false" customHeight="false" outlineLevel="0" collapsed="false">
      <c r="A526" s="0" t="n">
        <v>6790</v>
      </c>
    </row>
    <row r="527" customFormat="false" ht="12.8" hidden="false" customHeight="false" outlineLevel="0" collapsed="false">
      <c r="A527" s="0" t="n">
        <v>6800</v>
      </c>
    </row>
    <row r="528" customFormat="false" ht="12.8" hidden="false" customHeight="false" outlineLevel="0" collapsed="false">
      <c r="A528" s="0" t="n">
        <v>6810</v>
      </c>
    </row>
    <row r="529" customFormat="false" ht="12.8" hidden="false" customHeight="false" outlineLevel="0" collapsed="false">
      <c r="A529" s="0" t="n">
        <v>6820</v>
      </c>
    </row>
    <row r="530" customFormat="false" ht="12.8" hidden="false" customHeight="false" outlineLevel="0" collapsed="false">
      <c r="A530" s="0" t="n">
        <v>6830</v>
      </c>
    </row>
    <row r="531" customFormat="false" ht="12.8" hidden="false" customHeight="false" outlineLevel="0" collapsed="false">
      <c r="A531" s="0" t="n">
        <v>6840</v>
      </c>
    </row>
    <row r="532" customFormat="false" ht="12.8" hidden="false" customHeight="false" outlineLevel="0" collapsed="false">
      <c r="A532" s="0" t="n">
        <v>6850</v>
      </c>
    </row>
    <row r="533" customFormat="false" ht="12.8" hidden="false" customHeight="false" outlineLevel="0" collapsed="false">
      <c r="A533" s="0" t="n">
        <v>6860</v>
      </c>
    </row>
    <row r="534" customFormat="false" ht="12.8" hidden="false" customHeight="false" outlineLevel="0" collapsed="false">
      <c r="A534" s="0" t="n">
        <v>6870</v>
      </c>
    </row>
    <row r="535" customFormat="false" ht="12.8" hidden="false" customHeight="false" outlineLevel="0" collapsed="false">
      <c r="A535" s="0" t="n">
        <v>6880</v>
      </c>
    </row>
    <row r="536" customFormat="false" ht="12.8" hidden="false" customHeight="false" outlineLevel="0" collapsed="false">
      <c r="A536" s="0" t="n">
        <v>6890</v>
      </c>
    </row>
    <row r="537" customFormat="false" ht="12.8" hidden="false" customHeight="false" outlineLevel="0" collapsed="false">
      <c r="A537" s="0" t="n">
        <v>6900</v>
      </c>
    </row>
    <row r="538" customFormat="false" ht="12.8" hidden="false" customHeight="false" outlineLevel="0" collapsed="false">
      <c r="A538" s="0" t="n">
        <v>6910</v>
      </c>
    </row>
    <row r="539" customFormat="false" ht="12.8" hidden="false" customHeight="false" outlineLevel="0" collapsed="false">
      <c r="A539" s="0" t="n">
        <v>6920</v>
      </c>
    </row>
    <row r="540" customFormat="false" ht="12.8" hidden="false" customHeight="false" outlineLevel="0" collapsed="false">
      <c r="A540" s="0" t="n">
        <v>6930</v>
      </c>
    </row>
    <row r="541" customFormat="false" ht="12.8" hidden="false" customHeight="false" outlineLevel="0" collapsed="false">
      <c r="A541" s="0" t="n">
        <v>6940</v>
      </c>
    </row>
    <row r="542" customFormat="false" ht="12.8" hidden="false" customHeight="false" outlineLevel="0" collapsed="false">
      <c r="A542" s="0" t="n">
        <v>6950</v>
      </c>
    </row>
    <row r="543" customFormat="false" ht="12.8" hidden="false" customHeight="false" outlineLevel="0" collapsed="false">
      <c r="A543" s="0" t="n">
        <v>6960</v>
      </c>
    </row>
    <row r="544" customFormat="false" ht="12.8" hidden="false" customHeight="false" outlineLevel="0" collapsed="false">
      <c r="A544" s="0" t="n">
        <v>6970</v>
      </c>
    </row>
    <row r="545" customFormat="false" ht="12.8" hidden="false" customHeight="false" outlineLevel="0" collapsed="false">
      <c r="A545" s="0" t="n">
        <v>6980</v>
      </c>
    </row>
    <row r="546" customFormat="false" ht="12.8" hidden="false" customHeight="false" outlineLevel="0" collapsed="false">
      <c r="A546" s="0" t="n">
        <v>6990</v>
      </c>
    </row>
    <row r="547" customFormat="false" ht="12.8" hidden="false" customHeight="false" outlineLevel="0" collapsed="false">
      <c r="A547" s="0" t="n">
        <v>7000</v>
      </c>
    </row>
    <row r="548" customFormat="false" ht="12.8" hidden="false" customHeight="false" outlineLevel="0" collapsed="false">
      <c r="A548" s="0" t="n">
        <v>7010</v>
      </c>
    </row>
    <row r="549" customFormat="false" ht="12.8" hidden="false" customHeight="false" outlineLevel="0" collapsed="false">
      <c r="A549" s="0" t="n">
        <v>7020</v>
      </c>
    </row>
    <row r="550" customFormat="false" ht="12.8" hidden="false" customHeight="false" outlineLevel="0" collapsed="false">
      <c r="A550" s="0" t="n">
        <v>7030</v>
      </c>
    </row>
    <row r="551" customFormat="false" ht="12.8" hidden="false" customHeight="false" outlineLevel="0" collapsed="false">
      <c r="A551" s="0" t="n">
        <v>7040</v>
      </c>
    </row>
    <row r="552" customFormat="false" ht="12.8" hidden="false" customHeight="false" outlineLevel="0" collapsed="false">
      <c r="A552" s="0" t="n">
        <v>7050</v>
      </c>
    </row>
    <row r="553" customFormat="false" ht="12.8" hidden="false" customHeight="false" outlineLevel="0" collapsed="false">
      <c r="A553" s="0" t="n">
        <v>7060</v>
      </c>
    </row>
    <row r="554" customFormat="false" ht="12.8" hidden="false" customHeight="false" outlineLevel="0" collapsed="false">
      <c r="A554" s="0" t="n">
        <v>7070</v>
      </c>
    </row>
    <row r="555" customFormat="false" ht="12.8" hidden="false" customHeight="false" outlineLevel="0" collapsed="false">
      <c r="A555" s="0" t="n">
        <v>7080</v>
      </c>
    </row>
    <row r="556" customFormat="false" ht="12.8" hidden="false" customHeight="false" outlineLevel="0" collapsed="false">
      <c r="A556" s="0" t="n">
        <v>7090</v>
      </c>
    </row>
    <row r="557" customFormat="false" ht="12.8" hidden="false" customHeight="false" outlineLevel="0" collapsed="false">
      <c r="A557" s="0" t="n">
        <v>7100</v>
      </c>
    </row>
    <row r="558" customFormat="false" ht="12.8" hidden="false" customHeight="false" outlineLevel="0" collapsed="false">
      <c r="A558" s="0" t="n">
        <v>7110</v>
      </c>
    </row>
    <row r="559" customFormat="false" ht="12.8" hidden="false" customHeight="false" outlineLevel="0" collapsed="false">
      <c r="A559" s="0" t="n">
        <v>7120</v>
      </c>
    </row>
    <row r="560" customFormat="false" ht="12.8" hidden="false" customHeight="false" outlineLevel="0" collapsed="false">
      <c r="A560" s="0" t="n">
        <v>7130</v>
      </c>
    </row>
    <row r="561" customFormat="false" ht="12.8" hidden="false" customHeight="false" outlineLevel="0" collapsed="false">
      <c r="A561" s="0" t="n">
        <v>7140</v>
      </c>
    </row>
    <row r="562" customFormat="false" ht="12.8" hidden="false" customHeight="false" outlineLevel="0" collapsed="false">
      <c r="A562" s="0" t="n">
        <v>7150</v>
      </c>
    </row>
    <row r="563" customFormat="false" ht="12.8" hidden="false" customHeight="false" outlineLevel="0" collapsed="false">
      <c r="A563" s="0" t="n">
        <v>7160</v>
      </c>
    </row>
    <row r="564" customFormat="false" ht="12.8" hidden="false" customHeight="false" outlineLevel="0" collapsed="false">
      <c r="A564" s="0" t="n">
        <v>7170</v>
      </c>
    </row>
    <row r="565" customFormat="false" ht="12.8" hidden="false" customHeight="false" outlineLevel="0" collapsed="false">
      <c r="A565" s="0" t="n">
        <v>7180</v>
      </c>
    </row>
    <row r="566" customFormat="false" ht="12.8" hidden="false" customHeight="false" outlineLevel="0" collapsed="false">
      <c r="A566" s="0" t="n">
        <v>7190</v>
      </c>
    </row>
    <row r="567" customFormat="false" ht="12.8" hidden="false" customHeight="false" outlineLevel="0" collapsed="false">
      <c r="A567" s="0" t="n">
        <v>7200</v>
      </c>
    </row>
    <row r="568" customFormat="false" ht="12.8" hidden="false" customHeight="false" outlineLevel="0" collapsed="false">
      <c r="A568" s="0" t="n">
        <v>7210</v>
      </c>
    </row>
    <row r="569" customFormat="false" ht="12.8" hidden="false" customHeight="false" outlineLevel="0" collapsed="false">
      <c r="A569" s="0" t="n">
        <v>7220</v>
      </c>
    </row>
    <row r="570" customFormat="false" ht="12.8" hidden="false" customHeight="false" outlineLevel="0" collapsed="false">
      <c r="A570" s="0" t="n">
        <v>7230</v>
      </c>
    </row>
    <row r="571" customFormat="false" ht="12.8" hidden="false" customHeight="false" outlineLevel="0" collapsed="false">
      <c r="A571" s="0" t="n">
        <v>7240</v>
      </c>
    </row>
    <row r="572" customFormat="false" ht="12.8" hidden="false" customHeight="false" outlineLevel="0" collapsed="false">
      <c r="A572" s="0" t="n">
        <v>7250</v>
      </c>
    </row>
    <row r="573" customFormat="false" ht="12.8" hidden="false" customHeight="false" outlineLevel="0" collapsed="false">
      <c r="A573" s="0" t="n">
        <v>7260</v>
      </c>
    </row>
    <row r="574" customFormat="false" ht="12.8" hidden="false" customHeight="false" outlineLevel="0" collapsed="false">
      <c r="A574" s="0" t="n">
        <v>7270</v>
      </c>
    </row>
    <row r="575" customFormat="false" ht="12.8" hidden="false" customHeight="false" outlineLevel="0" collapsed="false">
      <c r="A575" s="0" t="n">
        <v>7280</v>
      </c>
    </row>
    <row r="576" customFormat="false" ht="12.8" hidden="false" customHeight="false" outlineLevel="0" collapsed="false">
      <c r="A576" s="0" t="n">
        <v>7290</v>
      </c>
    </row>
    <row r="577" customFormat="false" ht="12.8" hidden="false" customHeight="false" outlineLevel="0" collapsed="false">
      <c r="A577" s="0" t="n">
        <v>7300</v>
      </c>
    </row>
    <row r="578" customFormat="false" ht="12.8" hidden="false" customHeight="false" outlineLevel="0" collapsed="false">
      <c r="A578" s="0" t="n">
        <v>7310</v>
      </c>
    </row>
    <row r="579" customFormat="false" ht="12.8" hidden="false" customHeight="false" outlineLevel="0" collapsed="false">
      <c r="A579" s="0" t="n">
        <v>7320</v>
      </c>
    </row>
    <row r="580" customFormat="false" ht="12.8" hidden="false" customHeight="false" outlineLevel="0" collapsed="false">
      <c r="A580" s="0" t="n">
        <v>7330</v>
      </c>
    </row>
    <row r="581" customFormat="false" ht="12.8" hidden="false" customHeight="false" outlineLevel="0" collapsed="false">
      <c r="A581" s="0" t="n">
        <v>7340</v>
      </c>
    </row>
    <row r="582" customFormat="false" ht="12.8" hidden="false" customHeight="false" outlineLevel="0" collapsed="false">
      <c r="A582" s="0" t="n">
        <v>7350</v>
      </c>
    </row>
    <row r="583" customFormat="false" ht="12.8" hidden="false" customHeight="false" outlineLevel="0" collapsed="false">
      <c r="A583" s="0" t="n">
        <v>7360</v>
      </c>
    </row>
    <row r="584" customFormat="false" ht="12.8" hidden="false" customHeight="false" outlineLevel="0" collapsed="false">
      <c r="A584" s="0" t="n">
        <v>7370</v>
      </c>
    </row>
    <row r="585" customFormat="false" ht="12.8" hidden="false" customHeight="false" outlineLevel="0" collapsed="false">
      <c r="A585" s="0" t="n">
        <v>7380</v>
      </c>
    </row>
    <row r="586" customFormat="false" ht="12.8" hidden="false" customHeight="false" outlineLevel="0" collapsed="false">
      <c r="A586" s="0" t="n">
        <v>7390</v>
      </c>
    </row>
    <row r="587" customFormat="false" ht="12.8" hidden="false" customHeight="false" outlineLevel="0" collapsed="false">
      <c r="A587" s="0" t="n">
        <v>7400</v>
      </c>
    </row>
    <row r="588" customFormat="false" ht="12.8" hidden="false" customHeight="false" outlineLevel="0" collapsed="false">
      <c r="A588" s="0" t="n">
        <v>7410</v>
      </c>
    </row>
    <row r="589" customFormat="false" ht="12.8" hidden="false" customHeight="false" outlineLevel="0" collapsed="false">
      <c r="A589" s="0" t="n">
        <v>7420</v>
      </c>
    </row>
    <row r="590" customFormat="false" ht="12.8" hidden="false" customHeight="false" outlineLevel="0" collapsed="false">
      <c r="A590" s="0" t="n">
        <v>7430</v>
      </c>
    </row>
    <row r="591" customFormat="false" ht="12.8" hidden="false" customHeight="false" outlineLevel="0" collapsed="false">
      <c r="A591" s="0" t="n">
        <v>7440</v>
      </c>
    </row>
    <row r="592" customFormat="false" ht="12.8" hidden="false" customHeight="false" outlineLevel="0" collapsed="false">
      <c r="A592" s="0" t="n">
        <v>7450</v>
      </c>
    </row>
    <row r="593" customFormat="false" ht="12.8" hidden="false" customHeight="false" outlineLevel="0" collapsed="false">
      <c r="A593" s="0" t="n">
        <v>7460</v>
      </c>
    </row>
    <row r="594" customFormat="false" ht="12.8" hidden="false" customHeight="false" outlineLevel="0" collapsed="false">
      <c r="A594" s="0" t="n">
        <v>7470</v>
      </c>
    </row>
    <row r="595" customFormat="false" ht="12.8" hidden="false" customHeight="false" outlineLevel="0" collapsed="false">
      <c r="A595" s="0" t="n">
        <v>7480</v>
      </c>
    </row>
    <row r="596" customFormat="false" ht="12.8" hidden="false" customHeight="false" outlineLevel="0" collapsed="false">
      <c r="A596" s="0" t="n">
        <v>7490</v>
      </c>
    </row>
    <row r="597" customFormat="false" ht="12.8" hidden="false" customHeight="false" outlineLevel="0" collapsed="false">
      <c r="A597" s="0" t="n">
        <v>7500</v>
      </c>
    </row>
    <row r="598" customFormat="false" ht="12.8" hidden="false" customHeight="false" outlineLevel="0" collapsed="false">
      <c r="A598" s="0" t="n">
        <v>7510</v>
      </c>
    </row>
    <row r="599" customFormat="false" ht="12.8" hidden="false" customHeight="false" outlineLevel="0" collapsed="false">
      <c r="A599" s="0" t="n">
        <v>7520</v>
      </c>
    </row>
    <row r="600" customFormat="false" ht="12.8" hidden="false" customHeight="false" outlineLevel="0" collapsed="false">
      <c r="A600" s="0" t="n">
        <v>7530</v>
      </c>
    </row>
    <row r="601" customFormat="false" ht="12.8" hidden="false" customHeight="false" outlineLevel="0" collapsed="false">
      <c r="A601" s="0" t="n">
        <v>7540</v>
      </c>
    </row>
    <row r="602" customFormat="false" ht="12.8" hidden="false" customHeight="false" outlineLevel="0" collapsed="false">
      <c r="A602" s="0" t="n">
        <v>7550</v>
      </c>
    </row>
    <row r="603" customFormat="false" ht="12.8" hidden="false" customHeight="false" outlineLevel="0" collapsed="false">
      <c r="A603" s="0" t="n">
        <v>7560</v>
      </c>
    </row>
    <row r="604" customFormat="false" ht="12.8" hidden="false" customHeight="false" outlineLevel="0" collapsed="false">
      <c r="A604" s="0" t="n">
        <v>7570</v>
      </c>
    </row>
    <row r="605" customFormat="false" ht="12.8" hidden="false" customHeight="false" outlineLevel="0" collapsed="false">
      <c r="A605" s="0" t="n">
        <v>7580</v>
      </c>
    </row>
    <row r="606" customFormat="false" ht="12.8" hidden="false" customHeight="false" outlineLevel="0" collapsed="false">
      <c r="A606" s="0" t="n">
        <v>7590</v>
      </c>
    </row>
    <row r="607" customFormat="false" ht="12.8" hidden="false" customHeight="false" outlineLevel="0" collapsed="false">
      <c r="A607" s="0" t="n">
        <v>7600</v>
      </c>
    </row>
    <row r="608" customFormat="false" ht="12.8" hidden="false" customHeight="false" outlineLevel="0" collapsed="false">
      <c r="A608" s="0" t="n">
        <v>7610</v>
      </c>
    </row>
    <row r="609" customFormat="false" ht="12.8" hidden="false" customHeight="false" outlineLevel="0" collapsed="false">
      <c r="A609" s="0" t="n">
        <v>7620</v>
      </c>
    </row>
    <row r="610" customFormat="false" ht="12.8" hidden="false" customHeight="false" outlineLevel="0" collapsed="false">
      <c r="A610" s="0" t="n">
        <v>7630</v>
      </c>
    </row>
    <row r="611" customFormat="false" ht="12.8" hidden="false" customHeight="false" outlineLevel="0" collapsed="false">
      <c r="A611" s="0" t="n">
        <v>7640</v>
      </c>
    </row>
    <row r="612" customFormat="false" ht="12.8" hidden="false" customHeight="false" outlineLevel="0" collapsed="false">
      <c r="A612" s="0" t="n">
        <v>7650</v>
      </c>
    </row>
    <row r="613" customFormat="false" ht="12.8" hidden="false" customHeight="false" outlineLevel="0" collapsed="false">
      <c r="A613" s="0" t="n">
        <v>7660</v>
      </c>
    </row>
    <row r="614" customFormat="false" ht="12.8" hidden="false" customHeight="false" outlineLevel="0" collapsed="false">
      <c r="A614" s="0" t="n">
        <v>7670</v>
      </c>
    </row>
    <row r="615" customFormat="false" ht="12.8" hidden="false" customHeight="false" outlineLevel="0" collapsed="false">
      <c r="A615" s="0" t="n">
        <v>7680</v>
      </c>
    </row>
    <row r="616" customFormat="false" ht="12.8" hidden="false" customHeight="false" outlineLevel="0" collapsed="false">
      <c r="A616" s="0" t="n">
        <v>7690</v>
      </c>
    </row>
    <row r="617" customFormat="false" ht="12.8" hidden="false" customHeight="false" outlineLevel="0" collapsed="false">
      <c r="A617" s="0" t="n">
        <v>7700</v>
      </c>
    </row>
    <row r="618" customFormat="false" ht="12.8" hidden="false" customHeight="false" outlineLevel="0" collapsed="false">
      <c r="A618" s="0" t="n">
        <v>7710</v>
      </c>
    </row>
    <row r="619" customFormat="false" ht="12.8" hidden="false" customHeight="false" outlineLevel="0" collapsed="false">
      <c r="A619" s="0" t="n">
        <v>7720</v>
      </c>
    </row>
    <row r="620" customFormat="false" ht="12.8" hidden="false" customHeight="false" outlineLevel="0" collapsed="false">
      <c r="A620" s="0" t="n">
        <v>7730</v>
      </c>
    </row>
    <row r="621" customFormat="false" ht="12.8" hidden="false" customHeight="false" outlineLevel="0" collapsed="false">
      <c r="A621" s="0" t="n">
        <v>7740</v>
      </c>
    </row>
    <row r="622" customFormat="false" ht="12.8" hidden="false" customHeight="false" outlineLevel="0" collapsed="false">
      <c r="A622" s="0" t="n">
        <v>7750</v>
      </c>
    </row>
    <row r="623" customFormat="false" ht="12.8" hidden="false" customHeight="false" outlineLevel="0" collapsed="false">
      <c r="A623" s="0" t="n">
        <v>7760</v>
      </c>
    </row>
    <row r="624" customFormat="false" ht="12.8" hidden="false" customHeight="false" outlineLevel="0" collapsed="false">
      <c r="A624" s="0" t="n">
        <v>7770</v>
      </c>
    </row>
    <row r="625" customFormat="false" ht="12.8" hidden="false" customHeight="false" outlineLevel="0" collapsed="false">
      <c r="A625" s="0" t="n">
        <v>7780</v>
      </c>
    </row>
    <row r="626" customFormat="false" ht="12.8" hidden="false" customHeight="false" outlineLevel="0" collapsed="false">
      <c r="A626" s="0" t="n">
        <v>7790</v>
      </c>
    </row>
    <row r="627" customFormat="false" ht="12.8" hidden="false" customHeight="false" outlineLevel="0" collapsed="false">
      <c r="A627" s="0" t="n">
        <v>7800</v>
      </c>
    </row>
    <row r="628" customFormat="false" ht="12.8" hidden="false" customHeight="false" outlineLevel="0" collapsed="false">
      <c r="A628" s="0" t="n">
        <v>7810</v>
      </c>
    </row>
    <row r="629" customFormat="false" ht="12.8" hidden="false" customHeight="false" outlineLevel="0" collapsed="false">
      <c r="A629" s="0" t="n">
        <v>7820</v>
      </c>
    </row>
    <row r="630" customFormat="false" ht="12.8" hidden="false" customHeight="false" outlineLevel="0" collapsed="false">
      <c r="A630" s="0" t="n">
        <v>7830</v>
      </c>
    </row>
    <row r="631" customFormat="false" ht="12.8" hidden="false" customHeight="false" outlineLevel="0" collapsed="false">
      <c r="A631" s="0" t="n">
        <v>7840</v>
      </c>
    </row>
    <row r="632" customFormat="false" ht="12.8" hidden="false" customHeight="false" outlineLevel="0" collapsed="false">
      <c r="A632" s="0" t="n">
        <v>7850</v>
      </c>
    </row>
    <row r="633" customFormat="false" ht="12.8" hidden="false" customHeight="false" outlineLevel="0" collapsed="false">
      <c r="A633" s="0" t="n">
        <v>7860</v>
      </c>
    </row>
    <row r="634" customFormat="false" ht="12.8" hidden="false" customHeight="false" outlineLevel="0" collapsed="false">
      <c r="A634" s="0" t="n">
        <v>7870</v>
      </c>
    </row>
    <row r="635" customFormat="false" ht="12.8" hidden="false" customHeight="false" outlineLevel="0" collapsed="false">
      <c r="A635" s="0" t="n">
        <v>7880</v>
      </c>
    </row>
    <row r="636" customFormat="false" ht="12.8" hidden="false" customHeight="false" outlineLevel="0" collapsed="false">
      <c r="A636" s="0" t="n">
        <v>7890</v>
      </c>
    </row>
    <row r="637" customFormat="false" ht="12.8" hidden="false" customHeight="false" outlineLevel="0" collapsed="false">
      <c r="A637" s="0" t="n">
        <v>7900</v>
      </c>
    </row>
    <row r="638" customFormat="false" ht="12.8" hidden="false" customHeight="false" outlineLevel="0" collapsed="false">
      <c r="A638" s="0" t="n">
        <v>7910</v>
      </c>
    </row>
    <row r="639" customFormat="false" ht="12.8" hidden="false" customHeight="false" outlineLevel="0" collapsed="false">
      <c r="A639" s="0" t="n">
        <v>7920</v>
      </c>
    </row>
    <row r="640" customFormat="false" ht="12.8" hidden="false" customHeight="false" outlineLevel="0" collapsed="false">
      <c r="A640" s="0" t="n">
        <v>7930</v>
      </c>
    </row>
    <row r="641" customFormat="false" ht="12.8" hidden="false" customHeight="false" outlineLevel="0" collapsed="false">
      <c r="A641" s="0" t="n">
        <v>7940</v>
      </c>
    </row>
    <row r="642" customFormat="false" ht="12.8" hidden="false" customHeight="false" outlineLevel="0" collapsed="false">
      <c r="A642" s="0" t="n">
        <v>7950</v>
      </c>
    </row>
    <row r="643" customFormat="false" ht="12.8" hidden="false" customHeight="false" outlineLevel="0" collapsed="false">
      <c r="A643" s="0" t="n">
        <v>7960</v>
      </c>
    </row>
    <row r="644" customFormat="false" ht="12.8" hidden="false" customHeight="false" outlineLevel="0" collapsed="false">
      <c r="A644" s="0" t="n">
        <v>7970</v>
      </c>
    </row>
    <row r="645" customFormat="false" ht="12.8" hidden="false" customHeight="false" outlineLevel="0" collapsed="false">
      <c r="A645" s="0" t="n">
        <v>7980</v>
      </c>
    </row>
    <row r="646" customFormat="false" ht="12.8" hidden="false" customHeight="false" outlineLevel="0" collapsed="false">
      <c r="A646" s="0" t="n">
        <v>7990</v>
      </c>
    </row>
    <row r="647" customFormat="false" ht="12.8" hidden="false" customHeight="false" outlineLevel="0" collapsed="false">
      <c r="A647" s="0" t="n">
        <v>8000</v>
      </c>
    </row>
    <row r="648" customFormat="false" ht="12.8" hidden="false" customHeight="false" outlineLevel="0" collapsed="false">
      <c r="A648" s="0" t="n">
        <v>9000</v>
      </c>
    </row>
    <row r="649" customFormat="false" ht="12.8" hidden="false" customHeight="false" outlineLevel="0" collapsed="false">
      <c r="A649" s="0" t="n">
        <v>10000</v>
      </c>
    </row>
  </sheetData>
  <printOptions headings="false" gridLines="false" gridLinesSet="true" horizontalCentered="false" verticalCentered="false"/>
  <pageMargins left="0.7875" right="0.7875" top="1.05277777777778" bottom="1.05277777777778" header="0.7875" footer="0.787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>&amp;C&amp;"Times New Roman,Regular"&amp;12&amp;A</oddHeader>
    <oddFooter>&amp;C&amp;"Times New Roman,Regular"&amp;12Page &amp;P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AS41"/>
  <sheetViews>
    <sheetView showFormulas="false" showGridLines="true" showRowColHeaders="true" showZeros="true" rightToLeft="false" tabSelected="true" showOutlineSymbols="true" defaultGridColor="true" view="normal" topLeftCell="A1" colorId="64" zoomScale="100" zoomScaleNormal="100" zoomScalePageLayoutView="100" workbookViewId="0">
      <selection pane="topLeft" activeCell="A41" activeCellId="0" sqref="A41:B46"/>
    </sheetView>
  </sheetViews>
  <sheetFormatPr defaultRowHeight="12.8" zeroHeight="false" outlineLevelRow="0" outlineLevelCol="0"/>
  <cols>
    <col collapsed="false" customWidth="true" hidden="false" outlineLevel="0" max="1025" min="1" style="0" width="8.67"/>
  </cols>
  <sheetData>
    <row r="1" customFormat="false" ht="13.8" hidden="false" customHeight="false" outlineLevel="0" collapsed="false">
      <c r="A1" s="0" t="s">
        <v>249</v>
      </c>
      <c r="B1" s="0" t="n">
        <v>1</v>
      </c>
      <c r="C1" s="0" t="n">
        <v>2</v>
      </c>
      <c r="D1" s="0" t="n">
        <v>3</v>
      </c>
      <c r="E1" s="0" t="n">
        <v>4</v>
      </c>
      <c r="F1" s="0" t="n">
        <v>5</v>
      </c>
      <c r="G1" s="0" t="n">
        <v>6</v>
      </c>
      <c r="H1" s="0" t="n">
        <v>7</v>
      </c>
      <c r="I1" s="0" t="n">
        <v>8</v>
      </c>
      <c r="J1" s="0" t="n">
        <v>9</v>
      </c>
      <c r="K1" s="0" t="n">
        <v>10</v>
      </c>
      <c r="L1" s="0" t="n">
        <v>11</v>
      </c>
      <c r="M1" s="0" t="n">
        <v>12</v>
      </c>
      <c r="N1" s="0" t="n">
        <v>13</v>
      </c>
      <c r="O1" s="0" t="n">
        <v>14</v>
      </c>
      <c r="P1" s="0" t="n">
        <v>15</v>
      </c>
      <c r="Q1" s="0" t="n">
        <v>16</v>
      </c>
      <c r="R1" s="0" t="n">
        <v>17</v>
      </c>
      <c r="S1" s="0" t="n">
        <v>18</v>
      </c>
      <c r="T1" s="0" t="n">
        <v>19</v>
      </c>
      <c r="U1" s="0" t="n">
        <v>20</v>
      </c>
      <c r="V1" s="0" t="n">
        <v>21</v>
      </c>
      <c r="W1" s="0" t="n">
        <v>22</v>
      </c>
      <c r="X1" s="0" t="n">
        <v>23</v>
      </c>
      <c r="Y1" s="0" t="n">
        <v>24</v>
      </c>
      <c r="Z1" s="0" t="n">
        <v>25</v>
      </c>
      <c r="AA1" s="0" t="n">
        <v>26</v>
      </c>
      <c r="AB1" s="0" t="n">
        <v>27</v>
      </c>
      <c r="AC1" s="0" t="n">
        <v>28</v>
      </c>
      <c r="AD1" s="0" t="n">
        <v>29</v>
      </c>
      <c r="AE1" s="0" t="n">
        <v>30</v>
      </c>
      <c r="AF1" s="0" t="n">
        <v>31</v>
      </c>
      <c r="AG1" s="0" t="n">
        <v>32</v>
      </c>
      <c r="AH1" s="0" t="n">
        <v>33</v>
      </c>
      <c r="AI1" s="0" t="n">
        <v>34</v>
      </c>
      <c r="AJ1" s="0" t="n">
        <v>35</v>
      </c>
      <c r="AK1" s="0" t="n">
        <v>36</v>
      </c>
      <c r="AL1" s="0" t="n">
        <v>37</v>
      </c>
      <c r="AM1" s="0" t="n">
        <v>38</v>
      </c>
      <c r="AN1" s="0" t="n">
        <v>39</v>
      </c>
      <c r="AO1" s="0" t="n">
        <v>40</v>
      </c>
      <c r="AP1" s="0" t="n">
        <v>41</v>
      </c>
      <c r="AQ1" s="0" t="n">
        <v>42</v>
      </c>
      <c r="AR1" s="0" t="n">
        <v>43</v>
      </c>
      <c r="AS1" s="0" t="n">
        <v>44</v>
      </c>
    </row>
    <row r="2" customFormat="false" ht="13.8" hidden="false" customHeight="false" outlineLevel="0" collapsed="false">
      <c r="A2" s="0" t="s">
        <v>243</v>
      </c>
      <c r="B2" s="0" t="n">
        <v>0.611657</v>
      </c>
      <c r="C2" s="0" t="n">
        <v>0.711657</v>
      </c>
      <c r="D2" s="0" t="n">
        <v>0.811657</v>
      </c>
      <c r="E2" s="0" t="n">
        <v>0.911657</v>
      </c>
      <c r="F2" s="0" t="n">
        <v>1.011657</v>
      </c>
      <c r="G2" s="0" t="n">
        <v>2.011657</v>
      </c>
      <c r="H2" s="0" t="n">
        <v>3.011657</v>
      </c>
      <c r="I2" s="0" t="n">
        <v>4.011657</v>
      </c>
      <c r="J2" s="0" t="n">
        <v>5.011657</v>
      </c>
      <c r="K2" s="0" t="n">
        <v>6.011657</v>
      </c>
      <c r="L2" s="0" t="n">
        <v>7.011657</v>
      </c>
      <c r="M2" s="0" t="n">
        <v>8.011657</v>
      </c>
      <c r="N2" s="0" t="n">
        <v>9.011657</v>
      </c>
      <c r="O2" s="0" t="n">
        <v>10.011657</v>
      </c>
      <c r="P2" s="0" t="n">
        <v>20.011657</v>
      </c>
      <c r="Q2" s="0" t="n">
        <v>30.011657</v>
      </c>
      <c r="R2" s="0" t="n">
        <v>40.011657</v>
      </c>
      <c r="S2" s="0" t="n">
        <v>50.011657</v>
      </c>
      <c r="T2" s="0" t="n">
        <v>60.011657</v>
      </c>
      <c r="U2" s="0" t="n">
        <v>70.011657</v>
      </c>
      <c r="V2" s="0" t="n">
        <v>80.011657</v>
      </c>
      <c r="W2" s="0" t="n">
        <v>90.011657</v>
      </c>
      <c r="X2" s="0" t="n">
        <v>100.011657</v>
      </c>
      <c r="Y2" s="0" t="n">
        <v>200.011657</v>
      </c>
      <c r="Z2" s="0" t="n">
        <v>300.011657</v>
      </c>
      <c r="AA2" s="0" t="n">
        <v>400.011657</v>
      </c>
      <c r="AB2" s="0" t="n">
        <v>500.011657</v>
      </c>
      <c r="AC2" s="0" t="n">
        <v>600.011657</v>
      </c>
      <c r="AD2" s="0" t="n">
        <v>700.011657</v>
      </c>
      <c r="AE2" s="0" t="n">
        <v>800.011657</v>
      </c>
      <c r="AF2" s="0" t="n">
        <v>900.011657</v>
      </c>
      <c r="AG2" s="0" t="n">
        <v>1000.011657</v>
      </c>
      <c r="AH2" s="0" t="n">
        <v>2000.011657</v>
      </c>
      <c r="AI2" s="0" t="n">
        <v>3000.011657</v>
      </c>
      <c r="AJ2" s="0" t="n">
        <v>4000.011657</v>
      </c>
      <c r="AK2" s="0" t="n">
        <v>5000.011657</v>
      </c>
      <c r="AL2" s="0" t="n">
        <v>6000.011657</v>
      </c>
      <c r="AM2" s="0" t="n">
        <v>7000.011657</v>
      </c>
      <c r="AN2" s="0" t="n">
        <v>8000.011657</v>
      </c>
      <c r="AO2" s="0" t="n">
        <v>9000.011657</v>
      </c>
      <c r="AP2" s="0" t="n">
        <v>10000.011657</v>
      </c>
      <c r="AQ2" s="0" t="n">
        <v>20000.011657</v>
      </c>
      <c r="AR2" s="0" t="n">
        <v>22063.95</v>
      </c>
      <c r="AS2" s="0" t="n">
        <v>23000</v>
      </c>
    </row>
    <row r="3" customFormat="false" ht="13.8" hidden="false" customHeight="false" outlineLevel="0" collapsed="false">
      <c r="A3" s="0" t="n">
        <v>0</v>
      </c>
      <c r="B3" s="0" t="n">
        <f aca="false">S_PT(B$2,$A3)</f>
        <v>2015</v>
      </c>
      <c r="C3" s="0" t="n">
        <f aca="false">S_PT(C$2,$A3)</f>
        <v>2015</v>
      </c>
      <c r="D3" s="0" t="n">
        <f aca="false">S_PT(D$2,$A3)</f>
        <v>2015</v>
      </c>
      <c r="E3" s="0" t="n">
        <f aca="false">S_PT(E$2,$A3)</f>
        <v>2015</v>
      </c>
      <c r="F3" s="0" t="n">
        <f aca="false">S_PT(F$2,$A3)</f>
        <v>2015</v>
      </c>
      <c r="G3" s="0" t="n">
        <f aca="false">S_PT(G$2,$A3)</f>
        <v>2015</v>
      </c>
      <c r="H3" s="0" t="n">
        <f aca="false">S_PT(H$2,$A3)</f>
        <v>2015</v>
      </c>
      <c r="I3" s="0" t="n">
        <f aca="false">S_PT(I$2,$A3)</f>
        <v>2015</v>
      </c>
      <c r="J3" s="0" t="n">
        <f aca="false">S_PT(J$2,$A3)</f>
        <v>2015</v>
      </c>
      <c r="K3" s="0" t="n">
        <f aca="false">S_PT(K$2,$A3)</f>
        <v>2015</v>
      </c>
      <c r="L3" s="0" t="n">
        <f aca="false">S_PT(L$2,$A3)</f>
        <v>2015</v>
      </c>
      <c r="M3" s="0" t="n">
        <f aca="false">S_PT(M$2,$A3)</f>
        <v>2015</v>
      </c>
      <c r="N3" s="0" t="n">
        <f aca="false">S_PT(N$2,$A3)</f>
        <v>2015</v>
      </c>
      <c r="O3" s="0" t="n">
        <f aca="false">S_PT(O$2,$A3)</f>
        <v>2015</v>
      </c>
      <c r="P3" s="0" t="n">
        <f aca="false">S_PT(P$2,$A3)</f>
        <v>2015</v>
      </c>
      <c r="Q3" s="0" t="n">
        <f aca="false">S_PT(Q$2,$A3)</f>
        <v>2015</v>
      </c>
      <c r="R3" s="0" t="n">
        <f aca="false">S_PT(R$2,$A3)</f>
        <v>2015</v>
      </c>
      <c r="S3" s="0" t="n">
        <f aca="false">S_PT(S$2,$A3)</f>
        <v>2015</v>
      </c>
      <c r="T3" s="0" t="n">
        <f aca="false">S_PT(T$2,$A3)</f>
        <v>2015</v>
      </c>
      <c r="U3" s="0" t="n">
        <f aca="false">S_PT(U$2,$A3)</f>
        <v>2015</v>
      </c>
      <c r="V3" s="0" t="n">
        <f aca="false">S_PT(V$2,$A3)</f>
        <v>2015</v>
      </c>
      <c r="W3" s="0" t="n">
        <f aca="false">S_PT(W$2,$A3)</f>
        <v>2015</v>
      </c>
      <c r="X3" s="0" t="n">
        <f aca="false">S_PT(X$2,$A3)</f>
        <v>2015</v>
      </c>
      <c r="Y3" s="0" t="n">
        <f aca="false">S_PT(Y$2,$A3)</f>
        <v>2015</v>
      </c>
      <c r="Z3" s="0" t="n">
        <f aca="false">S_PT(Z$2,$A3)</f>
        <v>2015</v>
      </c>
      <c r="AA3" s="0" t="n">
        <f aca="false">S_PT(AA$2,$A3)</f>
        <v>2015</v>
      </c>
      <c r="AB3" s="0" t="n">
        <f aca="false">S_PT(AB$2,$A3)</f>
        <v>2015</v>
      </c>
      <c r="AC3" s="0" t="n">
        <f aca="false">S_PT(AC$2,$A3)</f>
        <v>2015</v>
      </c>
      <c r="AD3" s="0" t="n">
        <f aca="false">S_PT(AD$2,$A3)</f>
        <v>2015</v>
      </c>
      <c r="AE3" s="0" t="n">
        <f aca="false">S_PT(AE$2,$A3)</f>
        <v>2015</v>
      </c>
      <c r="AF3" s="0" t="n">
        <f aca="false">S_PT(AF$2,$A3)</f>
        <v>2015</v>
      </c>
      <c r="AG3" s="0" t="n">
        <f aca="false">S_PT(AG$2,$A3)</f>
        <v>2015</v>
      </c>
      <c r="AH3" s="0" t="n">
        <f aca="false">S_PT(AH$2,$A3)</f>
        <v>2015</v>
      </c>
      <c r="AI3" s="0" t="n">
        <f aca="false">S_PT(AI$2,$A3)</f>
        <v>2015</v>
      </c>
      <c r="AJ3" s="0" t="n">
        <f aca="false">S_PT(AJ$2,$A3)</f>
        <v>2015</v>
      </c>
      <c r="AK3" s="0" t="n">
        <f aca="false">S_PT(AK$2,$A3)</f>
        <v>2015</v>
      </c>
      <c r="AL3" s="0" t="n">
        <f aca="false">S_PT(AL$2,$A3)</f>
        <v>2015</v>
      </c>
      <c r="AM3" s="0" t="n">
        <f aca="false">S_PT(AM$2,$A3)</f>
        <v>2015</v>
      </c>
      <c r="AN3" s="0" t="n">
        <f aca="false">S_PT(AN$2,$A3)</f>
        <v>2015</v>
      </c>
      <c r="AO3" s="0" t="n">
        <f aca="false">S_PT(AO$2,$A3)</f>
        <v>2015</v>
      </c>
      <c r="AP3" s="0" t="n">
        <f aca="false">S_PT(AP$2,$A3)</f>
        <v>2015</v>
      </c>
      <c r="AQ3" s="0" t="n">
        <f aca="false">S_PT(AQ$2,$A3)</f>
        <v>2015</v>
      </c>
      <c r="AR3" s="0" t="n">
        <f aca="false">S_PT(AR$2,$A3)</f>
        <v>2015</v>
      </c>
      <c r="AS3" s="0" t="n">
        <f aca="false">S_PT(AS$2,$A3)</f>
        <v>2015</v>
      </c>
    </row>
    <row r="4" customFormat="false" ht="13.8" hidden="false" customHeight="false" outlineLevel="0" collapsed="false">
      <c r="A4" s="0" t="n">
        <v>0.1</v>
      </c>
      <c r="B4" s="0" t="n">
        <f aca="false">S_PT(B$2,$A4)</f>
        <v>2015</v>
      </c>
      <c r="C4" s="0" t="n">
        <f aca="false">S_PT(C$2,$A4)</f>
        <v>0.00139002324121711</v>
      </c>
      <c r="D4" s="0" t="n">
        <f aca="false">S_PT(D$2,$A4)</f>
        <v>0.00139002986716831</v>
      </c>
      <c r="E4" s="0" t="n">
        <f aca="false">S_PT(E$2,$A4)</f>
        <v>0.00139003649308136</v>
      </c>
      <c r="F4" s="0" t="n">
        <f aca="false">S_PT(F$2,$A4)</f>
        <v>0.00139004311895595</v>
      </c>
      <c r="G4" s="0" t="n">
        <f aca="false">S_PT(G$2,$A4)</f>
        <v>0.0013901093755938</v>
      </c>
      <c r="H4" s="0" t="n">
        <f aca="false">S_PT(H$2,$A4)</f>
        <v>0.00139017562839848</v>
      </c>
      <c r="I4" s="0" t="n">
        <f aca="false">S_PT(I$2,$A4)</f>
        <v>0.00139024187737008</v>
      </c>
      <c r="J4" s="0" t="n">
        <f aca="false">S_PT(J$2,$A4)</f>
        <v>0.00139030812250854</v>
      </c>
      <c r="K4" s="0" t="n">
        <f aca="false">S_PT(K$2,$A4)</f>
        <v>0.001390374363814</v>
      </c>
      <c r="L4" s="0" t="n">
        <f aca="false">S_PT(L$2,$A4)</f>
        <v>0.00139044060128614</v>
      </c>
      <c r="M4" s="0" t="n">
        <f aca="false">S_PT(M$2,$A4)</f>
        <v>0.0013905068349256</v>
      </c>
      <c r="N4" s="0" t="n">
        <f aca="false">S_PT(N$2,$A4)</f>
        <v>0.00139057306473184</v>
      </c>
      <c r="O4" s="0" t="n">
        <f aca="false">S_PT(O$2,$A4)</f>
        <v>0.00139063929070523</v>
      </c>
      <c r="P4" s="0" t="n">
        <f aca="false">S_PT(P$2,$A4)</f>
        <v>0.00139130133963151</v>
      </c>
      <c r="Q4" s="0" t="n">
        <f aca="false">S_PT(Q$2,$A4)</f>
        <v>0.00139196300529144</v>
      </c>
      <c r="R4" s="0" t="n">
        <f aca="false">S_PT(R$2,$A4)</f>
        <v>0.00139262428771285</v>
      </c>
      <c r="S4" s="0" t="n">
        <f aca="false">S_PT(S$2,$A4)</f>
        <v>0.00139328518692352</v>
      </c>
      <c r="T4" s="0" t="n">
        <f aca="false">S_PT(T$2,$A4)</f>
        <v>0.00139394570295118</v>
      </c>
      <c r="U4" s="0" t="n">
        <f aca="false">S_PT(U$2,$A4)</f>
        <v>0.00139460583582354</v>
      </c>
      <c r="V4" s="0" t="n">
        <f aca="false">S_PT(V$2,$A4)</f>
        <v>0.00139526558556834</v>
      </c>
      <c r="W4" s="0" t="n">
        <f aca="false">S_PT(W$2,$A4)</f>
        <v>0.00139592495221349</v>
      </c>
      <c r="X4" s="0" t="n">
        <f aca="false">S_PT(X$2,$A4)</f>
        <v>0.00139658393578666</v>
      </c>
      <c r="Y4" s="0" t="n">
        <f aca="false">S_PT(Y$2,$A4)</f>
        <v>0.00140315270866461</v>
      </c>
      <c r="Z4" s="0" t="n">
        <f aca="false">S_PT(Z$2,$A4)</f>
        <v>0.00140968320486547</v>
      </c>
      <c r="AA4" s="0" t="n">
        <f aca="false">S_PT(AA$2,$A4)</f>
        <v>0.00141617545212142</v>
      </c>
      <c r="AB4" s="0" t="n">
        <f aca="false">S_PT(AB$2,$A4)</f>
        <v>0.00142262947815016</v>
      </c>
      <c r="AC4" s="0" t="n">
        <f aca="false">S_PT(AC$2,$A4)</f>
        <v>0.0014290453106546</v>
      </c>
      <c r="AD4" s="0" t="n">
        <f aca="false">S_PT(AD$2,$A4)</f>
        <v>0.0014354229773234</v>
      </c>
      <c r="AE4" s="0" t="n">
        <f aca="false">S_PT(AE$2,$A4)</f>
        <v>0.00144176250583024</v>
      </c>
      <c r="AF4" s="0" t="n">
        <f aca="false">S_PT(AF$2,$A4)</f>
        <v>0.00144806392383444</v>
      </c>
      <c r="AG4" s="0" t="n">
        <f aca="false">S_PT(AG$2,$A4)</f>
        <v>0.00145432725898084</v>
      </c>
      <c r="AH4" s="0" t="n">
        <f aca="false">S_PT(AH$2,$A4)</f>
        <v>0.00151487212466389</v>
      </c>
      <c r="AI4" s="0" t="n">
        <f aca="false">S_PT(AI$2,$A4)</f>
        <v>0.00157163900529114</v>
      </c>
      <c r="AJ4" s="0" t="n">
        <f aca="false">S_PT(AJ$2,$A4)</f>
        <v>0.00162465530425487</v>
      </c>
      <c r="AK4" s="0" t="n">
        <f aca="false">S_PT(AK$2,$A4)</f>
        <v>0.00167394827817088</v>
      </c>
      <c r="AL4" s="0" t="n">
        <f aca="false">S_PT(AL$2,$A4)</f>
        <v>0.00171954503647693</v>
      </c>
      <c r="AM4" s="0" t="n">
        <f aca="false">S_PT(AM$2,$A4)</f>
        <v>0.00176147254104117</v>
      </c>
      <c r="AN4" s="0" t="n">
        <f aca="false">S_PT(AN$2,$A4)</f>
        <v>0.00179975760578199</v>
      </c>
      <c r="AO4" s="0" t="n">
        <f aca="false">S_PT(AO$2,$A4)</f>
        <v>0.00183442689629695</v>
      </c>
      <c r="AP4" s="0" t="n">
        <f aca="false">S_PT(AP$2,$A4)</f>
        <v>0.00186550692950169</v>
      </c>
      <c r="AQ4" s="0" t="n">
        <f aca="false">S_PT(AQ$2,$A4)</f>
        <v>0.00198462484779725</v>
      </c>
      <c r="AR4" s="0" t="n">
        <f aca="false">S_PT(AR$2,$A4)</f>
        <v>0.00196720398873179</v>
      </c>
      <c r="AS4" s="0" t="n">
        <f aca="false">S_PT(AS$2,$A4)</f>
        <v>0.00195471765433672</v>
      </c>
    </row>
    <row r="5" customFormat="false" ht="13.8" hidden="false" customHeight="false" outlineLevel="0" collapsed="false">
      <c r="A5" s="0" t="n">
        <v>0.2</v>
      </c>
      <c r="B5" s="0" t="n">
        <f aca="false">S_PT(B$2,$A5)</f>
        <v>2015</v>
      </c>
      <c r="C5" s="0" t="n">
        <f aca="false">S_PT(C$2,$A5)</f>
        <v>0.00293389397961895</v>
      </c>
      <c r="D5" s="0" t="n">
        <f aca="false">S_PT(D$2,$A5)</f>
        <v>0.00293390042354095</v>
      </c>
      <c r="E5" s="0" t="n">
        <f aca="false">S_PT(E$2,$A5)</f>
        <v>0.00293390686742482</v>
      </c>
      <c r="F5" s="0" t="n">
        <f aca="false">S_PT(F$2,$A5)</f>
        <v>0.00293391331127042</v>
      </c>
      <c r="G5" s="0" t="n">
        <f aca="false">S_PT(G$2,$A5)</f>
        <v>0.00293397774762829</v>
      </c>
      <c r="H5" s="0" t="n">
        <f aca="false">S_PT(H$2,$A5)</f>
        <v>0.00293404218017044</v>
      </c>
      <c r="I5" s="0" t="n">
        <f aca="false">S_PT(I$2,$A5)</f>
        <v>0.00293410660889681</v>
      </c>
      <c r="J5" s="0" t="n">
        <f aca="false">S_PT(J$2,$A5)</f>
        <v>0.00293417103380755</v>
      </c>
      <c r="K5" s="0" t="n">
        <f aca="false">S_PT(K$2,$A5)</f>
        <v>0.00293423545490265</v>
      </c>
      <c r="L5" s="0" t="n">
        <f aca="false">S_PT(L$2,$A5)</f>
        <v>0.00293429987218192</v>
      </c>
      <c r="M5" s="0" t="n">
        <f aca="false">S_PT(M$2,$A5)</f>
        <v>0.00293436428564572</v>
      </c>
      <c r="N5" s="0" t="n">
        <f aca="false">S_PT(N$2,$A5)</f>
        <v>0.00293442869529398</v>
      </c>
      <c r="O5" s="0" t="n">
        <f aca="false">S_PT(O$2,$A5)</f>
        <v>0.00293449310112658</v>
      </c>
      <c r="P5" s="0" t="n">
        <f aca="false">S_PT(P$2,$A5)</f>
        <v>0.00293513694960315</v>
      </c>
      <c r="Q5" s="0" t="n">
        <f aca="false">S_PT(Q$2,$A5)</f>
        <v>0.00293578041655407</v>
      </c>
      <c r="R5" s="0" t="n">
        <f aca="false">S_PT(R$2,$A5)</f>
        <v>0.00293642350200676</v>
      </c>
      <c r="S5" s="0" t="n">
        <f aca="false">S_PT(S$2,$A5)</f>
        <v>0.00293706620598913</v>
      </c>
      <c r="T5" s="0" t="n">
        <f aca="false">S_PT(T$2,$A5)</f>
        <v>0.00293770852852852</v>
      </c>
      <c r="U5" s="0" t="n">
        <f aca="false">S_PT(U$2,$A5)</f>
        <v>0.0029383504696528</v>
      </c>
      <c r="V5" s="0" t="n">
        <f aca="false">S_PT(V$2,$A5)</f>
        <v>0.00293899202938928</v>
      </c>
      <c r="W5" s="0" t="n">
        <f aca="false">S_PT(W$2,$A5)</f>
        <v>0.00293963320776601</v>
      </c>
      <c r="X5" s="0" t="n">
        <f aca="false">S_PT(X$2,$A5)</f>
        <v>0.00294027400481029</v>
      </c>
      <c r="Y5" s="0" t="n">
        <f aca="false">S_PT(Y$2,$A5)</f>
        <v>0.00294666100804734</v>
      </c>
      <c r="Z5" s="0" t="n">
        <f aca="false">S_PT(Z$2,$A5)</f>
        <v>0.00295300990841435</v>
      </c>
      <c r="AA5" s="0" t="n">
        <f aca="false">S_PT(AA$2,$A5)</f>
        <v>0.00295932073350361</v>
      </c>
      <c r="AB5" s="0" t="n">
        <f aca="false">S_PT(AB$2,$A5)</f>
        <v>0.00296559351089266</v>
      </c>
      <c r="AC5" s="0" t="n">
        <f aca="false">S_PT(AC$2,$A5)</f>
        <v>0.00297182826814465</v>
      </c>
      <c r="AD5" s="0" t="n">
        <f aca="false">S_PT(AD$2,$A5)</f>
        <v>0.00297802503280838</v>
      </c>
      <c r="AE5" s="0" t="n">
        <f aca="false">S_PT(AE$2,$A5)</f>
        <v>0.00298418383241813</v>
      </c>
      <c r="AF5" s="0" t="n">
        <f aca="false">S_PT(AF$2,$A5)</f>
        <v>0.00299030469449333</v>
      </c>
      <c r="AG5" s="0" t="n">
        <f aca="false">S_PT(AG$2,$A5)</f>
        <v>0.00299638764653957</v>
      </c>
      <c r="AH5" s="0" t="n">
        <f aca="false">S_PT(AH$2,$A5)</f>
        <v>0.00305513815618346</v>
      </c>
      <c r="AI5" s="0" t="n">
        <f aca="false">S_PT(AI$2,$A5)</f>
        <v>0.00311012781091412</v>
      </c>
      <c r="AJ5" s="0" t="n">
        <f aca="false">S_PT(AJ$2,$A5)</f>
        <v>0.00316138387619202</v>
      </c>
      <c r="AK5" s="0" t="n">
        <f aca="false">S_PT(AK$2,$A5)</f>
        <v>0.0032089334716389</v>
      </c>
      <c r="AL5" s="0" t="n">
        <f aca="false">S_PT(AL$2,$A5)</f>
        <v>0.00325280357063493</v>
      </c>
      <c r="AM5" s="0" t="n">
        <f aca="false">S_PT(AM$2,$A5)</f>
        <v>0.00329302099992696</v>
      </c>
      <c r="AN5" s="0" t="n">
        <f aca="false">S_PT(AN$2,$A5)</f>
        <v>0.00332961243924566</v>
      </c>
      <c r="AO5" s="0" t="n">
        <f aca="false">S_PT(AO$2,$A5)</f>
        <v>0.00336260442093469</v>
      </c>
      <c r="AP5" s="0" t="n">
        <f aca="false">S_PT(AP$2,$A5)</f>
        <v>0.0033920233295876</v>
      </c>
      <c r="AQ5" s="0" t="n">
        <f aca="false">S_PT(AQ$2,$A5)</f>
        <v>0.00349539169103247</v>
      </c>
      <c r="AR5" s="0" t="n">
        <f aca="false">S_PT(AR$2,$A5)</f>
        <v>0.0034749084361065</v>
      </c>
      <c r="AS5" s="0" t="n">
        <f aca="false">S_PT(AS$2,$A5)</f>
        <v>0.00346105370488624</v>
      </c>
    </row>
    <row r="6" customFormat="false" ht="13.8" hidden="false" customHeight="false" outlineLevel="0" collapsed="false">
      <c r="A6" s="0" t="n">
        <v>0.3</v>
      </c>
      <c r="B6" s="0" t="n">
        <f aca="false">S_PT(B$2,$A6)</f>
        <v>9.15749449976605</v>
      </c>
      <c r="C6" s="0" t="n">
        <f aca="false">S_PT(C$2,$A6)</f>
        <v>0.00447707110790128</v>
      </c>
      <c r="D6" s="0" t="n">
        <f aca="false">S_PT(D$2,$A6)</f>
        <v>0.00447707737044503</v>
      </c>
      <c r="E6" s="0" t="n">
        <f aca="false">S_PT(E$2,$A6)</f>
        <v>0.00447708363295073</v>
      </c>
      <c r="F6" s="0" t="n">
        <f aca="false">S_PT(F$2,$A6)</f>
        <v>0.00447708989541844</v>
      </c>
      <c r="G6" s="0" t="n">
        <f aca="false">S_PT(G$2,$A6)</f>
        <v>0.00447715251800658</v>
      </c>
      <c r="H6" s="0" t="n">
        <f aca="false">S_PT(H$2,$A6)</f>
        <v>0.00447721513679645</v>
      </c>
      <c r="I6" s="0" t="n">
        <f aca="false">S_PT(I$2,$A6)</f>
        <v>0.00447727775178771</v>
      </c>
      <c r="J6" s="0" t="n">
        <f aca="false">S_PT(J$2,$A6)</f>
        <v>0.00447734036298088</v>
      </c>
      <c r="K6" s="0" t="n">
        <f aca="false">S_PT(K$2,$A6)</f>
        <v>0.00447740297037565</v>
      </c>
      <c r="L6" s="0" t="n">
        <f aca="false">S_PT(L$2,$A6)</f>
        <v>0.0044774655739719</v>
      </c>
      <c r="M6" s="0" t="n">
        <f aca="false">S_PT(M$2,$A6)</f>
        <v>0.00447752817376996</v>
      </c>
      <c r="N6" s="0" t="n">
        <f aca="false">S_PT(N$2,$A6)</f>
        <v>0.00447759076976979</v>
      </c>
      <c r="O6" s="0" t="n">
        <f aca="false">S_PT(O$2,$A6)</f>
        <v>0.00447765336197147</v>
      </c>
      <c r="P6" s="0" t="n">
        <f aca="false">S_PT(P$2,$A6)</f>
        <v>0.0044782790750907</v>
      </c>
      <c r="Q6" s="0" t="n">
        <f aca="false">S_PT(Q$2,$A6)</f>
        <v>0.00447890440841713</v>
      </c>
      <c r="R6" s="0" t="n">
        <f aca="false">S_PT(R$2,$A6)</f>
        <v>0.00447952936197839</v>
      </c>
      <c r="S6" s="0" t="n">
        <f aca="false">S_PT(S$2,$A6)</f>
        <v>0.00448015393580156</v>
      </c>
      <c r="T6" s="0" t="n">
        <f aca="false">S_PT(T$2,$A6)</f>
        <v>0.00448077812991468</v>
      </c>
      <c r="U6" s="0" t="n">
        <f aca="false">S_PT(U$2,$A6)</f>
        <v>0.00448140194434479</v>
      </c>
      <c r="V6" s="0" t="n">
        <f aca="false">S_PT(V$2,$A6)</f>
        <v>0.00448202537911957</v>
      </c>
      <c r="W6" s="0" t="n">
        <f aca="false">S_PT(W$2,$A6)</f>
        <v>0.00448264843426643</v>
      </c>
      <c r="X6" s="0" t="n">
        <f aca="false">S_PT(X$2,$A6)</f>
        <v>0.00448327110981286</v>
      </c>
      <c r="Y6" s="0" t="n">
        <f aca="false">S_PT(Y$2,$A6)</f>
        <v>0.00448947699329729</v>
      </c>
      <c r="Z6" s="0" t="n">
        <f aca="false">S_PT(Z$2,$A6)</f>
        <v>0.00449564494695235</v>
      </c>
      <c r="AA6" s="0" t="n">
        <f aca="false">S_PT(AA$2,$A6)</f>
        <v>0.00450177499823043</v>
      </c>
      <c r="AB6" s="0" t="n">
        <f aca="false">S_PT(AB$2,$A6)</f>
        <v>0.00450786717457014</v>
      </c>
      <c r="AC6" s="0" t="n">
        <f aca="false">S_PT(AC$2,$A6)</f>
        <v>0.00451392150339517</v>
      </c>
      <c r="AD6" s="0" t="n">
        <f aca="false">S_PT(AD$2,$A6)</f>
        <v>0.00451993801211514</v>
      </c>
      <c r="AE6" s="0" t="n">
        <f aca="false">S_PT(AE$2,$A6)</f>
        <v>0.00452591672812522</v>
      </c>
      <c r="AF6" s="0" t="n">
        <f aca="false">S_PT(AF$2,$A6)</f>
        <v>0.00453185767880599</v>
      </c>
      <c r="AG6" s="0" t="n">
        <f aca="false">S_PT(AG$2,$A6)</f>
        <v>0.004537760891524</v>
      </c>
      <c r="AH6" s="0" t="n">
        <f aca="false">S_PT(AH$2,$A6)</f>
        <v>0.00459472344103931</v>
      </c>
      <c r="AI6" s="0" t="n">
        <f aca="false">S_PT(AI$2,$A6)</f>
        <v>0.00464794219017837</v>
      </c>
      <c r="AJ6" s="0" t="n">
        <f aca="false">S_PT(AJ$2,$A6)</f>
        <v>0.00469744426705128</v>
      </c>
      <c r="AK6" s="0" t="n">
        <f aca="false">S_PT(AK$2,$A6)</f>
        <v>0.00474325665486359</v>
      </c>
      <c r="AL6" s="0" t="n">
        <f aca="false">S_PT(AL$2,$A6)</f>
        <v>0.00478540619151133</v>
      </c>
      <c r="AM6" s="0" t="n">
        <f aca="false">S_PT(AM$2,$A6)</f>
        <v>0.00482391956918881</v>
      </c>
      <c r="AN6" s="0" t="n">
        <f aca="false">S_PT(AN$2,$A6)</f>
        <v>0.00485882333400508</v>
      </c>
      <c r="AO6" s="0" t="n">
        <f aca="false">S_PT(AO$2,$A6)</f>
        <v>0.00489014388561004</v>
      </c>
      <c r="AP6" s="0" t="n">
        <f aca="false">S_PT(AP$2,$A6)</f>
        <v>0.0049179074768324</v>
      </c>
      <c r="AQ6" s="0" t="n">
        <f aca="false">S_PT(AQ$2,$A6)</f>
        <v>0.00500558053302262</v>
      </c>
      <c r="AR6" s="0" t="n">
        <f aca="false">S_PT(AR$2,$A6)</f>
        <v>0.00498204524349095</v>
      </c>
      <c r="AS6" s="0" t="n">
        <f aca="false">S_PT(AS$2,$A6)</f>
        <v>0.00496682672339441</v>
      </c>
    </row>
    <row r="7" customFormat="false" ht="13.8" hidden="false" customHeight="false" outlineLevel="0" collapsed="false">
      <c r="A7" s="0" t="n">
        <v>0.4</v>
      </c>
      <c r="B7" s="0" t="n">
        <f aca="false">S_PT(B$2,$A7)</f>
        <v>9.15818446144184</v>
      </c>
      <c r="C7" s="0" t="n">
        <f aca="false">S_PT(C$2,$A7)</f>
        <v>0.00601955625910301</v>
      </c>
      <c r="D7" s="0" t="n">
        <f aca="false">S_PT(D$2,$A7)</f>
        <v>0.00601956234091519</v>
      </c>
      <c r="E7" s="0" t="n">
        <f aca="false">S_PT(E$2,$A7)</f>
        <v>0.00601956842268971</v>
      </c>
      <c r="F7" s="0" t="n">
        <f aca="false">S_PT(F$2,$A7)</f>
        <v>0.0060195745044264</v>
      </c>
      <c r="G7" s="0" t="n">
        <f aca="false">S_PT(G$2,$A7)</f>
        <v>0.00601963531971313</v>
      </c>
      <c r="H7" s="0" t="n">
        <f aca="false">S_PT(H$2,$A7)</f>
        <v>0.0060196961312186</v>
      </c>
      <c r="I7" s="0" t="n">
        <f aca="false">S_PT(I$2,$A7)</f>
        <v>0.00601975693894304</v>
      </c>
      <c r="J7" s="0" t="n">
        <f aca="false">S_PT(J$2,$A7)</f>
        <v>0.00601981774288637</v>
      </c>
      <c r="K7" s="0" t="n">
        <f aca="false">S_PT(K$2,$A7)</f>
        <v>0.00601987854304855</v>
      </c>
      <c r="L7" s="0" t="n">
        <f aca="false">S_PT(L$2,$A7)</f>
        <v>0.00601993933942964</v>
      </c>
      <c r="M7" s="0" t="n">
        <f aca="false">S_PT(M$2,$A7)</f>
        <v>0.00602000013202974</v>
      </c>
      <c r="N7" s="0" t="n">
        <f aca="false">S_PT(N$2,$A7)</f>
        <v>0.00602006092084889</v>
      </c>
      <c r="O7" s="0" t="n">
        <f aca="false">S_PT(O$2,$A7)</f>
        <v>0.00602012170588708</v>
      </c>
      <c r="P7" s="0" t="n">
        <f aca="false">S_PT(P$2,$A7)</f>
        <v>0.00602072934832086</v>
      </c>
      <c r="Q7" s="0" t="n">
        <f aca="false">S_PT(Q$2,$A7)</f>
        <v>0.00602133661268706</v>
      </c>
      <c r="R7" s="0" t="n">
        <f aca="false">S_PT(R$2,$A7)</f>
        <v>0.00602194349901315</v>
      </c>
      <c r="S7" s="0" t="n">
        <f aca="false">S_PT(S$2,$A7)</f>
        <v>0.00602255000732654</v>
      </c>
      <c r="T7" s="0" t="n">
        <f aca="false">S_PT(T$2,$A7)</f>
        <v>0.00602315613765431</v>
      </c>
      <c r="U7" s="0" t="n">
        <f aca="false">S_PT(U$2,$A7)</f>
        <v>0.00602376189002402</v>
      </c>
      <c r="V7" s="0" t="n">
        <f aca="false">S_PT(V$2,$A7)</f>
        <v>0.00602436726446294</v>
      </c>
      <c r="W7" s="0" t="n">
        <f aca="false">S_PT(W$2,$A7)</f>
        <v>0.00602497226099835</v>
      </c>
      <c r="X7" s="0" t="n">
        <f aca="false">S_PT(X$2,$A7)</f>
        <v>0.0060255768796576</v>
      </c>
      <c r="Y7" s="0" t="n">
        <f aca="false">S_PT(Y$2,$A7)</f>
        <v>0.00603160228907785</v>
      </c>
      <c r="Z7" s="0" t="n">
        <f aca="false">S_PT(Z$2,$A7)</f>
        <v>0.00603758994094715</v>
      </c>
      <c r="AA7" s="0" t="n">
        <f aca="false">S_PT(AA$2,$A7)</f>
        <v>0.00604353986257934</v>
      </c>
      <c r="AB7" s="0" t="n">
        <f aca="false">S_PT(AB$2,$A7)</f>
        <v>0.00604945208127398</v>
      </c>
      <c r="AC7" s="0" t="n">
        <f aca="false">S_PT(AC$2,$A7)</f>
        <v>0.00605532662431614</v>
      </c>
      <c r="AD7" s="0" t="n">
        <f aca="false">S_PT(AD$2,$A7)</f>
        <v>0.00606116351897684</v>
      </c>
      <c r="AE7" s="0" t="n">
        <f aca="false">S_PT(AE$2,$A7)</f>
        <v>0.00606696279251293</v>
      </c>
      <c r="AF7" s="0" t="n">
        <f aca="false">S_PT(AF$2,$A7)</f>
        <v>0.00607272447216645</v>
      </c>
      <c r="AG7" s="0" t="n">
        <f aca="false">S_PT(AG$2,$A7)</f>
        <v>0.00607844858516553</v>
      </c>
      <c r="AH7" s="0" t="n">
        <f aca="false">S_PT(AH$2,$A7)</f>
        <v>0.0061336295290957</v>
      </c>
      <c r="AI7" s="0" t="n">
        <f aca="false">S_PT(AI$2,$A7)</f>
        <v>0.00618508365204711</v>
      </c>
      <c r="AJ7" s="0" t="n">
        <f aca="false">S_PT(AJ$2,$A7)</f>
        <v>0.00623283794535866</v>
      </c>
      <c r="AK7" s="0" t="n">
        <f aca="false">S_PT(AK$2,$A7)</f>
        <v>0.00627691925639413</v>
      </c>
      <c r="AL7" s="0" t="n">
        <f aca="false">S_PT(AL$2,$A7)</f>
        <v>0.00631735428813632</v>
      </c>
      <c r="AM7" s="0" t="n">
        <f aca="false">S_PT(AM$2,$A7)</f>
        <v>0.00635416959879365</v>
      </c>
      <c r="AN7" s="0" t="n">
        <f aca="false">S_PT(AN$2,$A7)</f>
        <v>0.00638739160141496</v>
      </c>
      <c r="AO7" s="0" t="n">
        <f aca="false">S_PT(AO$2,$A7)</f>
        <v>0.00641704656351563</v>
      </c>
      <c r="AP7" s="0" t="n">
        <f aca="false">S_PT(AP$2,$A7)</f>
        <v>0.00644316060671304</v>
      </c>
      <c r="AQ7" s="0" t="n">
        <f aca="false">S_PT(AQ$2,$A7)</f>
        <v>0.00651519225605418</v>
      </c>
      <c r="AR7" s="0" t="n">
        <f aca="false">S_PT(AR$2,$A7)</f>
        <v>0.00648861522555769</v>
      </c>
      <c r="AS7" s="0" t="n">
        <f aca="false">S_PT(AS$2,$A7)</f>
        <v>0.00647203749444997</v>
      </c>
    </row>
    <row r="8" customFormat="false" ht="13.8" hidden="false" customHeight="false" outlineLevel="0" collapsed="false">
      <c r="A8" s="0" t="n">
        <v>0.5</v>
      </c>
      <c r="B8" s="0" t="n">
        <f aca="false">S_PT(B$2,$A8)</f>
        <v>9.15887404920894</v>
      </c>
      <c r="C8" s="0" t="n">
        <f aca="false">S_PT(C$2,$A8)</f>
        <v>0.00756135105370237</v>
      </c>
      <c r="D8" s="0" t="n">
        <f aca="false">S_PT(D$2,$A8)</f>
        <v>0.00756135695542587</v>
      </c>
      <c r="E8" s="0" t="n">
        <f aca="false">S_PT(E$2,$A8)</f>
        <v>0.00756136285711175</v>
      </c>
      <c r="F8" s="0" t="n">
        <f aca="false">S_PT(F$2,$A8)</f>
        <v>0.00756136875875984</v>
      </c>
      <c r="G8" s="0" t="n">
        <f aca="false">S_PT(G$2,$A8)</f>
        <v>0.00756142777317166</v>
      </c>
      <c r="H8" s="0" t="n">
        <f aca="false">S_PT(H$2,$A8)</f>
        <v>0.00756148678381926</v>
      </c>
      <c r="I8" s="0" t="n">
        <f aca="false">S_PT(I$2,$A8)</f>
        <v>0.00756154579070308</v>
      </c>
      <c r="J8" s="0" t="n">
        <f aca="false">S_PT(J$2,$A8)</f>
        <v>0.0075616047938228</v>
      </c>
      <c r="K8" s="0" t="n">
        <f aca="false">S_PT(K$2,$A8)</f>
        <v>0.00756166379317876</v>
      </c>
      <c r="L8" s="0" t="n">
        <f aca="false">S_PT(L$2,$A8)</f>
        <v>0.00756172278877075</v>
      </c>
      <c r="M8" s="0" t="n">
        <f aca="false">S_PT(M$2,$A8)</f>
        <v>0.00756178178059889</v>
      </c>
      <c r="N8" s="0" t="n">
        <f aca="false">S_PT(N$2,$A8)</f>
        <v>0.00756184076866331</v>
      </c>
      <c r="O8" s="0" t="n">
        <f aca="false">S_PT(O$2,$A8)</f>
        <v>0.00756189975296382</v>
      </c>
      <c r="P8" s="0" t="n">
        <f aca="false">S_PT(P$2,$A8)</f>
        <v>0.00756248938896644</v>
      </c>
      <c r="Q8" s="0" t="n">
        <f aca="false">S_PT(Q$2,$A8)</f>
        <v>0.00756307864861934</v>
      </c>
      <c r="R8" s="0" t="n">
        <f aca="false">S_PT(R$2,$A8)</f>
        <v>0.00756366753194957</v>
      </c>
      <c r="S8" s="0" t="n">
        <f aca="false">S_PT(S$2,$A8)</f>
        <v>0.00756425603898444</v>
      </c>
      <c r="T8" s="0" t="n">
        <f aca="false">S_PT(T$2,$A8)</f>
        <v>0.00756484416975108</v>
      </c>
      <c r="U8" s="0" t="n">
        <f aca="false">S_PT(U$2,$A8)</f>
        <v>0.0075654319242768</v>
      </c>
      <c r="V8" s="0" t="n">
        <f aca="false">S_PT(V$2,$A8)</f>
        <v>0.00756601930258869</v>
      </c>
      <c r="W8" s="0" t="n">
        <f aca="false">S_PT(W$2,$A8)</f>
        <v>0.00756660630471416</v>
      </c>
      <c r="X8" s="0" t="n">
        <f aca="false">S_PT(X$2,$A8)</f>
        <v>0.00756719293068003</v>
      </c>
      <c r="Y8" s="0" t="n">
        <f aca="false">S_PT(Y$2,$A8)</f>
        <v>0.00757303850755651</v>
      </c>
      <c r="Z8" s="0" t="n">
        <f aca="false">S_PT(Z$2,$A8)</f>
        <v>0.00757884649840333</v>
      </c>
      <c r="AA8" s="0" t="n">
        <f aca="false">S_PT(AA$2,$A8)</f>
        <v>0.0075846169303961</v>
      </c>
      <c r="AB8" s="0" t="n">
        <f aca="false">S_PT(AB$2,$A8)</f>
        <v>0.00759034983069627</v>
      </c>
      <c r="AC8" s="0" t="n">
        <f aca="false">S_PT(AC$2,$A8)</f>
        <v>0.00759604522645065</v>
      </c>
      <c r="AD8" s="0" t="n">
        <f aca="false">S_PT(AD$2,$A8)</f>
        <v>0.00760170314479246</v>
      </c>
      <c r="AE8" s="0" t="n">
        <f aca="false">S_PT(AE$2,$A8)</f>
        <v>0.00760732361284038</v>
      </c>
      <c r="AF8" s="0" t="n">
        <f aca="false">S_PT(AF$2,$A8)</f>
        <v>0.00761290665769878</v>
      </c>
      <c r="AG8" s="0" t="n">
        <f aca="false">S_PT(AG$2,$A8)</f>
        <v>0.00761845230645804</v>
      </c>
      <c r="AH8" s="0" t="n">
        <f aca="false">S_PT(AH$2,$A8)</f>
        <v>0.00767185795829862</v>
      </c>
      <c r="AI8" s="0" t="n">
        <f aca="false">S_PT(AI$2,$A8)</f>
        <v>0.00772155369388171</v>
      </c>
      <c r="AJ8" s="0" t="n">
        <f aca="false">S_PT(AJ$2,$A8)</f>
        <v>0.00776756636835114</v>
      </c>
      <c r="AK8" s="0" t="n">
        <f aca="false">S_PT(AK$2,$A8)</f>
        <v>0.00780992269380044</v>
      </c>
      <c r="AL8" s="0" t="n">
        <f aca="false">S_PT(AL$2,$A8)</f>
        <v>0.00784864923886742</v>
      </c>
      <c r="AM8" s="0" t="n">
        <f aca="false">S_PT(AM$2,$A8)</f>
        <v>0.0078837724283377</v>
      </c>
      <c r="AN8" s="0" t="n">
        <f aca="false">S_PT(AN$2,$A8)</f>
        <v>0.00791531854276007</v>
      </c>
      <c r="AO8" s="0" t="n">
        <f aca="false">S_PT(AO$2,$A8)</f>
        <v>0.00794331371807026</v>
      </c>
      <c r="AP8" s="0" t="n">
        <f aca="false">S_PT(AP$2,$A8)</f>
        <v>0.00796778394522573</v>
      </c>
      <c r="AQ8" s="0" t="n">
        <f aca="false">S_PT(AQ$2,$A8)</f>
        <v>0.00802422773568967</v>
      </c>
      <c r="AR8" s="0" t="n">
        <f aca="false">S_PT(AR$2,$A8)</f>
        <v>0.00799461919078608</v>
      </c>
      <c r="AS8" s="0" t="n">
        <f aca="false">S_PT(AS$2,$A8)</f>
        <v>0.00797668679668408</v>
      </c>
    </row>
    <row r="9" customFormat="false" ht="13.8" hidden="false" customHeight="false" outlineLevel="0" collapsed="false">
      <c r="A9" s="0" t="n">
        <v>0.6</v>
      </c>
      <c r="B9" s="0" t="n">
        <f aca="false">S_PT(B$2,$A9)</f>
        <v>9.15956326546607</v>
      </c>
      <c r="C9" s="0" t="n">
        <f aca="false">S_PT(C$2,$A9)</f>
        <v>0.00910245709977816</v>
      </c>
      <c r="D9" s="0" t="n">
        <f aca="false">S_PT(D$2,$A9)</f>
        <v>0.00910246282205137</v>
      </c>
      <c r="E9" s="0" t="n">
        <f aca="false">S_PT(E$2,$A9)</f>
        <v>0.00910246854428714</v>
      </c>
      <c r="F9" s="0" t="n">
        <f aca="false">S_PT(F$2,$A9)</f>
        <v>0.00910247426648536</v>
      </c>
      <c r="G9" s="0" t="n">
        <f aca="false">S_PT(G$2,$A9)</f>
        <v>0.0091025314864071</v>
      </c>
      <c r="H9" s="0" t="n">
        <f aca="false">S_PT(H$2,$A9)</f>
        <v>0.00910258870258188</v>
      </c>
      <c r="I9" s="0" t="n">
        <f aca="false">S_PT(I$2,$A9)</f>
        <v>0.00910264591500983</v>
      </c>
      <c r="J9" s="0" t="n">
        <f aca="false">S_PT(J$2,$A9)</f>
        <v>0.00910270312369103</v>
      </c>
      <c r="K9" s="0" t="n">
        <f aca="false">S_PT(K$2,$A9)</f>
        <v>0.00910276032862536</v>
      </c>
      <c r="L9" s="0" t="n">
        <f aca="false">S_PT(L$2,$A9)</f>
        <v>0.00910281752981285</v>
      </c>
      <c r="M9" s="0" t="n">
        <f aca="false">S_PT(M$2,$A9)</f>
        <v>0.00910287472725361</v>
      </c>
      <c r="N9" s="0" t="n">
        <f aca="false">S_PT(N$2,$A9)</f>
        <v>0.00910293192094785</v>
      </c>
      <c r="O9" s="0" t="n">
        <f aca="false">S_PT(O$2,$A9)</f>
        <v>0.00910298911089526</v>
      </c>
      <c r="P9" s="0" t="n">
        <f aca="false">S_PT(P$2,$A9)</f>
        <v>0.00910356080430678</v>
      </c>
      <c r="Q9" s="0" t="n">
        <f aca="false">S_PT(Q$2,$A9)</f>
        <v>0.00910413212307888</v>
      </c>
      <c r="R9" s="0" t="n">
        <f aca="false">S_PT(R$2,$A9)</f>
        <v>0.00910470306723846</v>
      </c>
      <c r="S9" s="0" t="n">
        <f aca="false">S_PT(S$2,$A9)</f>
        <v>0.00910527363681234</v>
      </c>
      <c r="T9" s="0" t="n">
        <f aca="false">S_PT(T$2,$A9)</f>
        <v>0.00910584383182786</v>
      </c>
      <c r="U9" s="0" t="n">
        <f aca="false">S_PT(U$2,$A9)</f>
        <v>0.00910641365231213</v>
      </c>
      <c r="V9" s="0" t="n">
        <f aca="false">S_PT(V$2,$A9)</f>
        <v>0.009106983098292</v>
      </c>
      <c r="W9" s="0" t="n">
        <f aca="false">S_PT(W$2,$A9)</f>
        <v>0.00910755216979467</v>
      </c>
      <c r="X9" s="0" t="n">
        <f aca="false">S_PT(X$2,$A9)</f>
        <v>0.00910812086684715</v>
      </c>
      <c r="Y9" s="0" t="n">
        <f aca="false">S_PT(Y$2,$A9)</f>
        <v>0.00911378724856487</v>
      </c>
      <c r="Z9" s="0" t="n">
        <f aca="false">S_PT(Z$2,$A9)</f>
        <v>0.00911941621502164</v>
      </c>
      <c r="AA9" s="0" t="n">
        <f aca="false">S_PT(AA$2,$A9)</f>
        <v>0.00912500779325538</v>
      </c>
      <c r="AB9" s="0" t="n">
        <f aca="false">S_PT(AB$2,$A9)</f>
        <v>0.00913056201028987</v>
      </c>
      <c r="AC9" s="0" t="n">
        <f aca="false">S_PT(AC$2,$A9)</f>
        <v>0.0091360788931347</v>
      </c>
      <c r="AD9" s="0" t="n">
        <f aca="false">S_PT(AD$2,$A9)</f>
        <v>0.00914155846878532</v>
      </c>
      <c r="AE9" s="0" t="n">
        <f aca="false">S_PT(AE$2,$A9)</f>
        <v>0.00914700076422308</v>
      </c>
      <c r="AF9" s="0" t="n">
        <f aca="false">S_PT(AF$2,$A9)</f>
        <v>0.00915240580641557</v>
      </c>
      <c r="AG9" s="0" t="n">
        <f aca="false">S_PT(AG$2,$A9)</f>
        <v>0.00915777362231553</v>
      </c>
      <c r="AH9" s="0" t="n">
        <f aca="false">S_PT(AH$2,$A9)</f>
        <v>0.00920941025483113</v>
      </c>
      <c r="AI9" s="0" t="n">
        <f aca="false">S_PT(AI$2,$A9)</f>
        <v>0.00925735380159454</v>
      </c>
      <c r="AJ9" s="0" t="n">
        <f aca="false">S_PT(AJ$2,$A9)</f>
        <v>0.00930163098212666</v>
      </c>
      <c r="AK9" s="0" t="n">
        <f aca="false">S_PT(AK$2,$A9)</f>
        <v>0.00934226837382092</v>
      </c>
      <c r="AL9" s="0" t="n">
        <f aca="false">S_PT(AL$2,$A9)</f>
        <v>0.00937929241153387</v>
      </c>
      <c r="AM9" s="0" t="n">
        <f aca="false">S_PT(AM$2,$A9)</f>
        <v>0.00941272938719003</v>
      </c>
      <c r="AN9" s="0" t="n">
        <f aca="false">S_PT(AN$2,$A9)</f>
        <v>0.00944260544939447</v>
      </c>
      <c r="AO9" s="0" t="n">
        <f aca="false">S_PT(AO$2,$A9)</f>
        <v>0.00946894660305599</v>
      </c>
      <c r="AP9" s="0" t="n">
        <f aca="false">S_PT(AP$2,$A9)</f>
        <v>0.00949177870902075</v>
      </c>
      <c r="AQ9" s="0" t="n">
        <f aca="false">S_PT(AQ$2,$A9)</f>
        <v>0.00953268784087899</v>
      </c>
      <c r="AR9" s="0" t="n">
        <f aca="false">S_PT(AR$2,$A9)</f>
        <v>0.00950005794156861</v>
      </c>
      <c r="AS9" s="0" t="n">
        <f aca="false">S_PT(AS$2,$A9)</f>
        <v>0.00948077540287527</v>
      </c>
    </row>
    <row r="10" customFormat="false" ht="13.8" hidden="false" customHeight="false" outlineLevel="0" collapsed="false">
      <c r="A10" s="0" t="n">
        <v>0.7</v>
      </c>
      <c r="B10" s="0" t="n">
        <f aca="false">S_PT(B$2,$A10)</f>
        <v>9.1602521125724</v>
      </c>
      <c r="C10" s="0" t="n">
        <f aca="false">S_PT(C$2,$A10)</f>
        <v>0.0106428759930842</v>
      </c>
      <c r="D10" s="0" t="n">
        <f aca="false">S_PT(D$2,$A10)</f>
        <v>0.0106428815365416</v>
      </c>
      <c r="E10" s="0" t="n">
        <f aca="false">S_PT(E$2,$A10)</f>
        <v>0.0106428870799616</v>
      </c>
      <c r="F10" s="0" t="n">
        <f aca="false">S_PT(F$2,$A10)</f>
        <v>0.0106428926233443</v>
      </c>
      <c r="G10" s="0" t="n">
        <f aca="false">S_PT(G$2,$A10)</f>
        <v>0.01064294805512</v>
      </c>
      <c r="H10" s="0" t="n">
        <f aca="false">S_PT(H$2,$A10)</f>
        <v>0.0106430034831657</v>
      </c>
      <c r="I10" s="0" t="n">
        <f aca="false">S_PT(I$2,$A10)</f>
        <v>0.0106430589074817</v>
      </c>
      <c r="J10" s="0" t="n">
        <f aca="false">S_PT(J$2,$A10)</f>
        <v>0.0106431143280678</v>
      </c>
      <c r="K10" s="0" t="n">
        <f aca="false">S_PT(K$2,$A10)</f>
        <v>0.0106431697449242</v>
      </c>
      <c r="L10" s="0" t="n">
        <f aca="false">S_PT(L$2,$A10)</f>
        <v>0.0106432251580508</v>
      </c>
      <c r="M10" s="0" t="n">
        <f aca="false">S_PT(M$2,$A10)</f>
        <v>0.0106432805674477</v>
      </c>
      <c r="N10" s="0" t="n">
        <f aca="false">S_PT(N$2,$A10)</f>
        <v>0.010643335973115</v>
      </c>
      <c r="O10" s="0" t="n">
        <f aca="false">S_PT(O$2,$A10)</f>
        <v>0.0106433913750525</v>
      </c>
      <c r="P10" s="0" t="n">
        <f aca="false">S_PT(P$2,$A10)</f>
        <v>0.0106439451893025</v>
      </c>
      <c r="Q10" s="0" t="n">
        <f aca="false">S_PT(Q$2,$A10)</f>
        <v>0.0106444986306155</v>
      </c>
      <c r="R10" s="0" t="n">
        <f aca="false">S_PT(R$2,$A10)</f>
        <v>0.0106450516990184</v>
      </c>
      <c r="S10" s="0" t="n">
        <f aca="false">S_PT(S$2,$A10)</f>
        <v>0.0106456043945382</v>
      </c>
      <c r="T10" s="0" t="n">
        <f aca="false">S_PT(T$2,$A10)</f>
        <v>0.0106461567172019</v>
      </c>
      <c r="U10" s="0" t="n">
        <f aca="false">S_PT(U$2,$A10)</f>
        <v>0.0106467086670363</v>
      </c>
      <c r="V10" s="0" t="n">
        <f aca="false">S_PT(V$2,$A10)</f>
        <v>0.0106472602440684</v>
      </c>
      <c r="W10" s="0" t="n">
        <f aca="false">S_PT(W$2,$A10)</f>
        <v>0.0106478114483252</v>
      </c>
      <c r="X10" s="0" t="n">
        <f aca="false">S_PT(X$2,$A10)</f>
        <v>0.0106483622798335</v>
      </c>
      <c r="Y10" s="0" t="n">
        <f aca="false">S_PT(Y$2,$A10)</f>
        <v>0.0106538500996735</v>
      </c>
      <c r="Z10" s="0" t="n">
        <f aca="false">S_PT(Z$2,$A10)</f>
        <v>0.0106593006742734</v>
      </c>
      <c r="AA10" s="0" t="n">
        <f aca="false">S_PT(AA$2,$A10)</f>
        <v>0.010664714030534</v>
      </c>
      <c r="AB10" s="0" t="n">
        <f aca="false">S_PT(AB$2,$A10)</f>
        <v>0.0106700901953418</v>
      </c>
      <c r="AC10" s="0" t="n">
        <f aca="false">S_PT(AC$2,$A10)</f>
        <v>0.0106754291955697</v>
      </c>
      <c r="AD10" s="0" t="n">
        <f aca="false">S_PT(AD$2,$A10)</f>
        <v>0.0106807310580764</v>
      </c>
      <c r="AE10" s="0" t="n">
        <f aca="false">S_PT(AE$2,$A10)</f>
        <v>0.0106859958097064</v>
      </c>
      <c r="AF10" s="0" t="n">
        <f aca="false">S_PT(AF$2,$A10)</f>
        <v>0.0106912234772902</v>
      </c>
      <c r="AG10" s="0" t="n">
        <f aca="false">S_PT(AG$2,$A10)</f>
        <v>0.0106964140876447</v>
      </c>
      <c r="AH10" s="0" t="n">
        <f aca="false">S_PT(AH$2,$A10)</f>
        <v>0.0107462879331835</v>
      </c>
      <c r="AI10" s="0" t="n">
        <f aca="false">S_PT(AI$2,$A10)</f>
        <v>0.0107924854497152</v>
      </c>
      <c r="AJ10" s="0" t="n">
        <f aca="false">S_PT(AJ$2,$A10)</f>
        <v>0.0108350332217088</v>
      </c>
      <c r="AK10" s="0" t="n">
        <f aca="false">S_PT(AK$2,$A10)</f>
        <v>0.0108739576924227</v>
      </c>
      <c r="AL10" s="0" t="n">
        <f aca="false">S_PT(AL$2,$A10)</f>
        <v>0.0109092851634954</v>
      </c>
      <c r="AM10" s="0" t="n">
        <f aca="false">S_PT(AM$2,$A10)</f>
        <v>0.0109410417945479</v>
      </c>
      <c r="AN10" s="0" t="n">
        <f aca="false">S_PT(AN$2,$A10)</f>
        <v>0.0109692536027952</v>
      </c>
      <c r="AO10" s="0" t="n">
        <f aca="false">S_PT(AO$2,$A10)</f>
        <v>0.0109939464626693</v>
      </c>
      <c r="AP10" s="0" t="n">
        <f aca="false">S_PT(AP$2,$A10)</f>
        <v>0.011015146105451</v>
      </c>
      <c r="AQ10" s="0" t="n">
        <f aca="false">S_PT(AQ$2,$A10)</f>
        <v>0.0110405734339847</v>
      </c>
      <c r="AR10" s="0" t="n">
        <f aca="false">S_PT(AR$2,$A10)</f>
        <v>0.0110049322742305</v>
      </c>
      <c r="AS10" s="0" t="n">
        <f aca="false">S_PT(AS$2,$A10)</f>
        <v>0.010984304079967</v>
      </c>
    </row>
    <row r="11" customFormat="false" ht="13.8" hidden="false" customHeight="false" outlineLevel="0" collapsed="false">
      <c r="A11" s="0" t="n">
        <v>0.8</v>
      </c>
      <c r="B11" s="0" t="n">
        <f aca="false">S_PT(B$2,$A11)</f>
        <v>9.16094059284831</v>
      </c>
      <c r="C11" s="0" t="n">
        <f aca="false">S_PT(C$2,$A11)</f>
        <v>0.0121826093172159</v>
      </c>
      <c r="D11" s="0" t="n">
        <f aca="false">S_PT(D$2,$A11)</f>
        <v>0.0121826146824877</v>
      </c>
      <c r="E11" s="0" t="n">
        <f aca="false">S_PT(E$2,$A11)</f>
        <v>0.0121826200477224</v>
      </c>
      <c r="F11" s="0" t="n">
        <f aca="false">S_PT(F$2,$A11)</f>
        <v>0.0121826254129198</v>
      </c>
      <c r="G11" s="0" t="n">
        <f aca="false">S_PT(G$2,$A11)</f>
        <v>0.0121826790628525</v>
      </c>
      <c r="H11" s="0" t="n">
        <f aca="false">S_PT(H$2,$A11)</f>
        <v>0.0121827327090723</v>
      </c>
      <c r="I11" s="0" t="n">
        <f aca="false">S_PT(I$2,$A11)</f>
        <v>0.0121827863515793</v>
      </c>
      <c r="J11" s="0" t="n">
        <f aca="false">S_PT(J$2,$A11)</f>
        <v>0.0121828399903734</v>
      </c>
      <c r="K11" s="0" t="n">
        <f aca="false">S_PT(K$2,$A11)</f>
        <v>0.0121828936254547</v>
      </c>
      <c r="L11" s="0" t="n">
        <f aca="false">S_PT(L$2,$A11)</f>
        <v>0.012182947256823</v>
      </c>
      <c r="M11" s="0" t="n">
        <f aca="false">S_PT(M$2,$A11)</f>
        <v>0.0121830008844789</v>
      </c>
      <c r="N11" s="0" t="n">
        <f aca="false">S_PT(N$2,$A11)</f>
        <v>0.0121830545084219</v>
      </c>
      <c r="O11" s="0" t="n">
        <f aca="false">S_PT(O$2,$A11)</f>
        <v>0.0121831081286522</v>
      </c>
      <c r="P11" s="0" t="n">
        <f aca="false">S_PT(P$2,$A11)</f>
        <v>0.0121836441267616</v>
      </c>
      <c r="Q11" s="0" t="n">
        <f aca="false">S_PT(Q$2,$A11)</f>
        <v>0.0121841797536294</v>
      </c>
      <c r="R11" s="0" t="n">
        <f aca="false">S_PT(R$2,$A11)</f>
        <v>0.0121847150092822</v>
      </c>
      <c r="S11" s="0" t="n">
        <f aca="false">S_PT(S$2,$A11)</f>
        <v>0.0121852498937468</v>
      </c>
      <c r="T11" s="0" t="n">
        <f aca="false">S_PT(T$2,$A11)</f>
        <v>0.0121857844070502</v>
      </c>
      <c r="U11" s="0" t="n">
        <f aca="false">S_PT(U$2,$A11)</f>
        <v>0.0121863185492191</v>
      </c>
      <c r="V11" s="0" t="n">
        <f aca="false">S_PT(V$2,$A11)</f>
        <v>0.0121868523202801</v>
      </c>
      <c r="W11" s="0" t="n">
        <f aca="false">S_PT(W$2,$A11)</f>
        <v>0.0121873857202602</v>
      </c>
      <c r="X11" s="0" t="n">
        <f aca="false">S_PT(X$2,$A11)</f>
        <v>0.0121879187491861</v>
      </c>
      <c r="Y11" s="0" t="n">
        <f aca="false">S_PT(Y$2,$A11)</f>
        <v>0.0121932286363575</v>
      </c>
      <c r="Z11" s="0" t="n">
        <f aca="false">S_PT(Z$2,$A11)</f>
        <v>0.0121985014475662</v>
      </c>
      <c r="AA11" s="0" t="n">
        <f aca="false">S_PT(AA$2,$A11)</f>
        <v>0.0122037372095763</v>
      </c>
      <c r="AB11" s="0" t="n">
        <f aca="false">S_PT(AB$2,$A11)</f>
        <v>0.0122089359491383</v>
      </c>
      <c r="AC11" s="0" t="n">
        <f aca="false">S_PT(AC$2,$A11)</f>
        <v>0.0122140976929881</v>
      </c>
      <c r="AD11" s="0" t="n">
        <f aca="false">S_PT(AD$2,$A11)</f>
        <v>0.0122192224678487</v>
      </c>
      <c r="AE11" s="0" t="n">
        <f aca="false">S_PT(AE$2,$A11)</f>
        <v>0.0122243103004281</v>
      </c>
      <c r="AF11" s="0" t="n">
        <f aca="false">S_PT(AF$2,$A11)</f>
        <v>0.0122293612174211</v>
      </c>
      <c r="AG11" s="0" t="n">
        <f aca="false">S_PT(AG$2,$A11)</f>
        <v>0.0122343752455081</v>
      </c>
      <c r="AH11" s="0" t="n">
        <f aca="false">S_PT(AH$2,$A11)</f>
        <v>0.0122824924963128</v>
      </c>
      <c r="AI11" s="0" t="n">
        <f aca="false">S_PT(AI$2,$A11)</f>
        <v>0.0123269501015492</v>
      </c>
      <c r="AJ11" s="0" t="n">
        <f aca="false">S_PT(AJ$2,$A11)</f>
        <v>0.0123677745112012</v>
      </c>
      <c r="AK11" s="0" t="n">
        <f aca="false">S_PT(AK$2,$A11)</f>
        <v>0.0124049920349559</v>
      </c>
      <c r="AL11" s="0" t="n">
        <f aca="false">S_PT(AL$2,$A11)</f>
        <v>0.0124386288417928</v>
      </c>
      <c r="AM11" s="0" t="n">
        <f aca="false">S_PT(AM$2,$A11)</f>
        <v>0.0124687109595844</v>
      </c>
      <c r="AN11" s="0" t="n">
        <f aca="false">S_PT(AN$2,$A11)</f>
        <v>0.0124952642747075</v>
      </c>
      <c r="AO11" s="0" t="n">
        <f aca="false">S_PT(AO$2,$A11)</f>
        <v>0.012518314531664</v>
      </c>
      <c r="AP11" s="0" t="n">
        <f aca="false">S_PT(AP$2,$A11)</f>
        <v>0.0125378873327126</v>
      </c>
      <c r="AQ11" s="0" t="n">
        <f aca="false">S_PT(AQ$2,$A11)</f>
        <v>0.0125478853708984</v>
      </c>
      <c r="AR11" s="0" t="n">
        <f aca="false">S_PT(AR$2,$A11)</f>
        <v>0.0125092429791435</v>
      </c>
      <c r="AS11" s="0" t="n">
        <f aca="false">S_PT(AS$2,$A11)</f>
        <v>0.0124872735891787</v>
      </c>
    </row>
    <row r="12" customFormat="false" ht="13.8" hidden="false" customHeight="false" outlineLevel="0" collapsed="false">
      <c r="A12" s="0" t="n">
        <v>0.9</v>
      </c>
      <c r="B12" s="0" t="n">
        <f aca="false">S_PT(B$2,$A12)</f>
        <v>9.16162870857607</v>
      </c>
      <c r="C12" s="0" t="n">
        <f aca="false">S_PT(C$2,$A12)</f>
        <v>0.0137216586437043</v>
      </c>
      <c r="D12" s="0" t="n">
        <f aca="false">S_PT(D$2,$A12)</f>
        <v>0.0137216638314168</v>
      </c>
      <c r="E12" s="0" t="n">
        <f aca="false">S_PT(E$2,$A12)</f>
        <v>0.0137216690190922</v>
      </c>
      <c r="F12" s="0" t="n">
        <f aca="false">S_PT(F$2,$A12)</f>
        <v>0.0137216742067307</v>
      </c>
      <c r="G12" s="0" t="n">
        <f aca="false">S_PT(G$2,$A12)</f>
        <v>0.0137217260810832</v>
      </c>
      <c r="H12" s="0" t="n">
        <f aca="false">S_PT(H$2,$A12)</f>
        <v>0.0137217779517396</v>
      </c>
      <c r="I12" s="0" t="n">
        <f aca="false">S_PT(I$2,$A12)</f>
        <v>0.0137218298187001</v>
      </c>
      <c r="J12" s="0" t="n">
        <f aca="false">S_PT(J$2,$A12)</f>
        <v>0.0137218816819645</v>
      </c>
      <c r="K12" s="0" t="n">
        <f aca="false">S_PT(K$2,$A12)</f>
        <v>0.0137219335415332</v>
      </c>
      <c r="L12" s="0" t="n">
        <f aca="false">S_PT(L$2,$A12)</f>
        <v>0.0137219853974057</v>
      </c>
      <c r="M12" s="0" t="n">
        <f aca="false">S_PT(M$2,$A12)</f>
        <v>0.0137220372495825</v>
      </c>
      <c r="N12" s="0" t="n">
        <f aca="false">S_PT(N$2,$A12)</f>
        <v>0.0137220890980634</v>
      </c>
      <c r="O12" s="0" t="n">
        <f aca="false">S_PT(O$2,$A12)</f>
        <v>0.0137221409428484</v>
      </c>
      <c r="P12" s="0" t="n">
        <f aca="false">S_PT(P$2,$A12)</f>
        <v>0.0137226591874341</v>
      </c>
      <c r="Q12" s="0" t="n">
        <f aca="false">S_PT(Q$2,$A12)</f>
        <v>0.013723177062466</v>
      </c>
      <c r="R12" s="0" t="n">
        <f aca="false">S_PT(R$2,$A12)</f>
        <v>0.0137236945679707</v>
      </c>
      <c r="S12" s="0" t="n">
        <f aca="false">S_PT(S$2,$A12)</f>
        <v>0.0137242117039745</v>
      </c>
      <c r="T12" s="0" t="n">
        <f aca="false">S_PT(T$2,$A12)</f>
        <v>0.0137247284705047</v>
      </c>
      <c r="U12" s="0" t="n">
        <f aca="false">S_PT(U$2,$A12)</f>
        <v>0.0137252448675876</v>
      </c>
      <c r="V12" s="0" t="n">
        <f aca="false">S_PT(V$2,$A12)</f>
        <v>0.0137257608952498</v>
      </c>
      <c r="W12" s="0" t="n">
        <f aca="false">S_PT(W$2,$A12)</f>
        <v>0.0137262765535181</v>
      </c>
      <c r="X12" s="0" t="n">
        <f aca="false">S_PT(X$2,$A12)</f>
        <v>0.0137267918424191</v>
      </c>
      <c r="Y12" s="0" t="n">
        <f aca="false">S_PT(Y$2,$A12)</f>
        <v>0.0137319244220899</v>
      </c>
      <c r="Z12" s="0" t="n">
        <f aca="false">S_PT(Z$2,$A12)</f>
        <v>0.0137370200943367</v>
      </c>
      <c r="AA12" s="0" t="n">
        <f aca="false">S_PT(AA$2,$A12)</f>
        <v>0.0137420788857876</v>
      </c>
      <c r="AB12" s="0" t="n">
        <f aca="false">S_PT(AB$2,$A12)</f>
        <v>0.013747100823057</v>
      </c>
      <c r="AC12" s="0" t="n">
        <f aca="false">S_PT(AC$2,$A12)</f>
        <v>0.0137520859327454</v>
      </c>
      <c r="AD12" s="0" t="n">
        <f aca="false">S_PT(AD$2,$A12)</f>
        <v>0.0137570342414396</v>
      </c>
      <c r="AE12" s="0" t="n">
        <f aca="false">S_PT(AE$2,$A12)</f>
        <v>0.0137619457757124</v>
      </c>
      <c r="AF12" s="0" t="n">
        <f aca="false">S_PT(AF$2,$A12)</f>
        <v>0.0137668205621226</v>
      </c>
      <c r="AG12" s="0" t="n">
        <f aca="false">S_PT(AG$2,$A12)</f>
        <v>0.0137716586272158</v>
      </c>
      <c r="AH12" s="0" t="n">
        <f aca="false">S_PT(AH$2,$A12)</f>
        <v>0.0138180254357332</v>
      </c>
      <c r="AI12" s="0" t="n">
        <f aca="false">S_PT(AI$2,$A12)</f>
        <v>0.0138607492092639</v>
      </c>
      <c r="AJ12" s="0" t="n">
        <f aca="false">S_PT(AJ$2,$A12)</f>
        <v>0.0138998562638722</v>
      </c>
      <c r="AK12" s="0" t="n">
        <f aca="false">S_PT(AK$2,$A12)</f>
        <v>0.0139353727762341</v>
      </c>
      <c r="AL12" s="0" t="n">
        <f aca="false">S_PT(AL$2,$A12)</f>
        <v>0.0139673247832262</v>
      </c>
      <c r="AM12" s="0" t="n">
        <f aca="false">S_PT(AM$2,$A12)</f>
        <v>0.0139957381815255</v>
      </c>
      <c r="AN12" s="0" t="n">
        <f aca="false">S_PT(AN$2,$A12)</f>
        <v>0.0140206387272187</v>
      </c>
      <c r="AO12" s="0" t="n">
        <f aca="false">S_PT(AO$2,$A12)</f>
        <v>0.0140420520354222</v>
      </c>
      <c r="AP12" s="0" t="n">
        <f aca="false">S_PT(AP$2,$A12)</f>
        <v>0.0140600035799129</v>
      </c>
      <c r="AQ12" s="0" t="n">
        <f aca="false">S_PT(AQ$2,$A12)</f>
        <v>0.014054624501087</v>
      </c>
      <c r="AR12" s="0" t="n">
        <f aca="false">S_PT(AR$2,$A12)</f>
        <v>0.0140129908407653</v>
      </c>
      <c r="AS12" s="0" t="n">
        <f aca="false">S_PT(AS$2,$A12)</f>
        <v>0.013989684686045</v>
      </c>
    </row>
    <row r="13" customFormat="false" ht="13.8" hidden="false" customHeight="false" outlineLevel="0" collapsed="false">
      <c r="A13" s="0" t="n">
        <v>1</v>
      </c>
      <c r="B13" s="0" t="n">
        <f aca="false">S_PT(B$2,$A13)</f>
        <v>9.1623164620005</v>
      </c>
      <c r="C13" s="0" t="n">
        <f aca="false">S_PT(C$2,$A13)</f>
        <v>0.0152600255321542</v>
      </c>
      <c r="D13" s="0" t="n">
        <f aca="false">S_PT(D$2,$A13)</f>
        <v>0.0152600305429296</v>
      </c>
      <c r="E13" s="0" t="n">
        <f aca="false">S_PT(E$2,$A13)</f>
        <v>0.0152600355536682</v>
      </c>
      <c r="F13" s="0" t="n">
        <f aca="false">S_PT(F$2,$A13)</f>
        <v>0.01526004056437</v>
      </c>
      <c r="G13" s="0" t="n">
        <f aca="false">S_PT(G$2,$A13)</f>
        <v>0.0152600906693648</v>
      </c>
      <c r="H13" s="0" t="n">
        <f aca="false">S_PT(H$2,$A13)</f>
        <v>0.0152601407706803</v>
      </c>
      <c r="I13" s="0" t="n">
        <f aca="false">S_PT(I$2,$A13)</f>
        <v>0.0152601908683165</v>
      </c>
      <c r="J13" s="0" t="n">
        <f aca="false">S_PT(J$2,$A13)</f>
        <v>0.0152602409622738</v>
      </c>
      <c r="K13" s="0" t="n">
        <f aca="false">S_PT(K$2,$A13)</f>
        <v>0.0152602910525518</v>
      </c>
      <c r="L13" s="0" t="n">
        <f aca="false">S_PT(L$2,$A13)</f>
        <v>0.0152603411391506</v>
      </c>
      <c r="M13" s="0" t="n">
        <f aca="false">S_PT(M$2,$A13)</f>
        <v>0.0152603912220704</v>
      </c>
      <c r="N13" s="0" t="n">
        <f aca="false">S_PT(N$2,$A13)</f>
        <v>0.0152604413013113</v>
      </c>
      <c r="O13" s="0" t="n">
        <f aca="false">S_PT(O$2,$A13)</f>
        <v>0.0152604913768731</v>
      </c>
      <c r="P13" s="0" t="n">
        <f aca="false">S_PT(P$2,$A13)</f>
        <v>0.01526099193015</v>
      </c>
      <c r="Q13" s="0" t="n">
        <f aca="false">S_PT(Q$2,$A13)</f>
        <v>0.0152614921155536</v>
      </c>
      <c r="R13" s="0" t="n">
        <f aca="false">S_PT(R$2,$A13)</f>
        <v>0.0152619919331103</v>
      </c>
      <c r="S13" s="0" t="n">
        <f aca="false">S_PT(S$2,$A13)</f>
        <v>0.0152624913828467</v>
      </c>
      <c r="T13" s="0" t="n">
        <f aca="false">S_PT(T$2,$A13)</f>
        <v>0.0152629904647892</v>
      </c>
      <c r="U13" s="0" t="n">
        <f aca="false">S_PT(U$2,$A13)</f>
        <v>0.0152634891789643</v>
      </c>
      <c r="V13" s="0" t="n">
        <f aca="false">S_PT(V$2,$A13)</f>
        <v>0.0152639875253987</v>
      </c>
      <c r="W13" s="0" t="n">
        <f aca="false">S_PT(W$2,$A13)</f>
        <v>0.0152644855041189</v>
      </c>
      <c r="X13" s="0" t="n">
        <f aca="false">S_PT(X$2,$A13)</f>
        <v>0.0152649831151512</v>
      </c>
      <c r="Y13" s="0" t="n">
        <f aca="false">S_PT(Y$2,$A13)</f>
        <v>0.0152699390084798</v>
      </c>
      <c r="Z13" s="0" t="n">
        <f aca="false">S_PT(Z$2,$A13)</f>
        <v>0.015274858162189</v>
      </c>
      <c r="AA13" s="0" t="n">
        <f aca="false">S_PT(AA$2,$A13)</f>
        <v>0.015279740602771</v>
      </c>
      <c r="AB13" s="0" t="n">
        <f aca="false">S_PT(AB$2,$A13)</f>
        <v>0.0152845863567051</v>
      </c>
      <c r="AC13" s="0" t="n">
        <f aca="false">S_PT(AC$2,$A13)</f>
        <v>0.0152893954504564</v>
      </c>
      <c r="AD13" s="0" t="n">
        <f aca="false">S_PT(AD$2,$A13)</f>
        <v>0.0152941679104768</v>
      </c>
      <c r="AE13" s="0" t="n">
        <f aca="false">S_PT(AE$2,$A13)</f>
        <v>0.0152989037632042</v>
      </c>
      <c r="AF13" s="0" t="n">
        <f aca="false">S_PT(AF$2,$A13)</f>
        <v>0.0153036030350621</v>
      </c>
      <c r="AG13" s="0" t="n">
        <f aca="false">S_PT(AG$2,$A13)</f>
        <v>0.0153082657524614</v>
      </c>
      <c r="AH13" s="0" t="n">
        <f aca="false">S_PT(AH$2,$A13)</f>
        <v>0.0153528882316476</v>
      </c>
      <c r="AI13" s="0" t="n">
        <f aca="false">S_PT(AI$2,$A13)</f>
        <v>0.0153938842140194</v>
      </c>
      <c r="AJ13" s="0" t="n">
        <f aca="false">S_PT(AJ$2,$A13)</f>
        <v>0.0154312798822824</v>
      </c>
      <c r="AK13" s="0" t="n">
        <f aca="false">S_PT(AK$2,$A13)</f>
        <v>0.0154651012806592</v>
      </c>
      <c r="AL13" s="0" t="n">
        <f aca="false">S_PT(AL$2,$A13)</f>
        <v>0.0154953743144779</v>
      </c>
      <c r="AM13" s="0" t="n">
        <f aca="false">S_PT(AM$2,$A13)</f>
        <v>0.0155221247497694</v>
      </c>
      <c r="AN13" s="0" t="n">
        <f aca="false">S_PT(AN$2,$A13)</f>
        <v>0.0155453782128755</v>
      </c>
      <c r="AO13" s="0" t="n">
        <f aca="false">S_PT(AO$2,$A13)</f>
        <v>0.0155651601900698</v>
      </c>
      <c r="AP13" s="0" t="n">
        <f aca="false">S_PT(AP$2,$A13)</f>
        <v>0.0155814960271839</v>
      </c>
      <c r="AQ13" s="0" t="n">
        <f aca="false">S_PT(AQ$2,$A13)</f>
        <v>0.0155607916676816</v>
      </c>
      <c r="AR13" s="0" t="n">
        <f aca="false">S_PT(AR$2,$A13)</f>
        <v>0.015516176637727</v>
      </c>
      <c r="AS13" s="0" t="n">
        <f aca="false">S_PT(AS$2,$A13)</f>
        <v>0.0154915381204982</v>
      </c>
    </row>
    <row r="14" customFormat="false" ht="13.8" hidden="false" customHeight="false" outlineLevel="0" collapsed="false">
      <c r="A14" s="0" t="n">
        <v>2</v>
      </c>
      <c r="B14" s="0" t="n">
        <f aca="false">S_PT(B$2,$A14)</f>
        <v>9.16917453797722</v>
      </c>
      <c r="C14" s="0" t="n">
        <f aca="false">S_PT(C$2,$A14)</f>
        <v>2015</v>
      </c>
      <c r="D14" s="0" t="n">
        <f aca="false">S_PT(D$2,$A14)</f>
        <v>0.0306064984124775</v>
      </c>
      <c r="E14" s="0" t="n">
        <f aca="false">S_PT(E$2,$A14)</f>
        <v>0.0306065016872096</v>
      </c>
      <c r="F14" s="0" t="n">
        <f aca="false">S_PT(F$2,$A14)</f>
        <v>0.0306065049619065</v>
      </c>
      <c r="G14" s="0" t="n">
        <f aca="false">S_PT(G$2,$A14)</f>
        <v>0.030606537706942</v>
      </c>
      <c r="H14" s="0" t="n">
        <f aca="false">S_PT(H$2,$A14)</f>
        <v>0.0306065704484623</v>
      </c>
      <c r="I14" s="0" t="n">
        <f aca="false">S_PT(I$2,$A14)</f>
        <v>0.0306066031864677</v>
      </c>
      <c r="J14" s="0" t="n">
        <f aca="false">S_PT(J$2,$A14)</f>
        <v>0.030606635920958</v>
      </c>
      <c r="K14" s="0" t="n">
        <f aca="false">S_PT(K$2,$A14)</f>
        <v>0.0306066686519333</v>
      </c>
      <c r="L14" s="0" t="n">
        <f aca="false">S_PT(L$2,$A14)</f>
        <v>0.0306067013793935</v>
      </c>
      <c r="M14" s="0" t="n">
        <f aca="false">S_PT(M$2,$A14)</f>
        <v>0.0306067341033388</v>
      </c>
      <c r="N14" s="0" t="n">
        <f aca="false">S_PT(N$2,$A14)</f>
        <v>0.0306067668237692</v>
      </c>
      <c r="O14" s="0" t="n">
        <f aca="false">S_PT(O$2,$A14)</f>
        <v>0.0306067995406847</v>
      </c>
      <c r="P14" s="0" t="n">
        <f aca="false">S_PT(P$2,$A14)</f>
        <v>0.030607126516525</v>
      </c>
      <c r="Q14" s="0" t="n">
        <f aca="false">S_PT(Q$2,$A14)</f>
        <v>0.030607453140902</v>
      </c>
      <c r="R14" s="0" t="n">
        <f aca="false">S_PT(R$2,$A14)</f>
        <v>0.030607779413841</v>
      </c>
      <c r="S14" s="0" t="n">
        <f aca="false">S_PT(S$2,$A14)</f>
        <v>0.030608105335367</v>
      </c>
      <c r="T14" s="0" t="n">
        <f aca="false">S_PT(T$2,$A14)</f>
        <v>0.0306084309055052</v>
      </c>
      <c r="U14" s="0" t="n">
        <f aca="false">S_PT(U$2,$A14)</f>
        <v>0.0306087561242812</v>
      </c>
      <c r="V14" s="0" t="n">
        <f aca="false">S_PT(V$2,$A14)</f>
        <v>0.0306090809917197</v>
      </c>
      <c r="W14" s="0" t="n">
        <f aca="false">S_PT(W$2,$A14)</f>
        <v>0.0306094055078461</v>
      </c>
      <c r="X14" s="0" t="n">
        <f aca="false">S_PT(X$2,$A14)</f>
        <v>0.0306097296726856</v>
      </c>
      <c r="Y14" s="0" t="n">
        <f aca="false">S_PT(Y$2,$A14)</f>
        <v>0.0306129520058405</v>
      </c>
      <c r="Z14" s="0" t="n">
        <f aca="false">S_PT(Z$2,$A14)</f>
        <v>0.0306161392380032</v>
      </c>
      <c r="AA14" s="0" t="n">
        <f aca="false">S_PT(AA$2,$A14)</f>
        <v>0.0306192913943431</v>
      </c>
      <c r="AB14" s="0" t="n">
        <f aca="false">S_PT(AB$2,$A14)</f>
        <v>0.0306224085000171</v>
      </c>
      <c r="AC14" s="0" t="n">
        <f aca="false">S_PT(AC$2,$A14)</f>
        <v>0.0306254905801688</v>
      </c>
      <c r="AD14" s="0" t="n">
        <f aca="false">S_PT(AD$2,$A14)</f>
        <v>0.0306285376599293</v>
      </c>
      <c r="AE14" s="0" t="n">
        <f aca="false">S_PT(AE$2,$A14)</f>
        <v>0.0306315497644168</v>
      </c>
      <c r="AF14" s="0" t="n">
        <f aca="false">S_PT(AF$2,$A14)</f>
        <v>0.0306345269187365</v>
      </c>
      <c r="AG14" s="0" t="n">
        <f aca="false">S_PT(AG$2,$A14)</f>
        <v>0.030637469147981</v>
      </c>
      <c r="AH14" s="0" t="n">
        <f aca="false">S_PT(AH$2,$A14)</f>
        <v>0.0306649760724023</v>
      </c>
      <c r="AI14" s="0" t="n">
        <f aca="false">S_PT(AI$2,$A14)</f>
        <v>0.0306890179952309</v>
      </c>
      <c r="AJ14" s="0" t="n">
        <f aca="false">S_PT(AJ$2,$A14)</f>
        <v>0.0307096197958706</v>
      </c>
      <c r="AK14" s="0" t="n">
        <f aca="false">S_PT(AK$2,$A14)</f>
        <v>0.0307268062240817</v>
      </c>
      <c r="AL14" s="0" t="n">
        <f aca="false">S_PT(AL$2,$A14)</f>
        <v>0.0307406018995561</v>
      </c>
      <c r="AM14" s="0" t="n">
        <f aca="false">S_PT(AM$2,$A14)</f>
        <v>0.0307510313115021</v>
      </c>
      <c r="AN14" s="0" t="n">
        <f aca="false">S_PT(AN$2,$A14)</f>
        <v>0.0307581188182429</v>
      </c>
      <c r="AO14" s="0" t="n">
        <f aca="false">S_PT(AO$2,$A14)</f>
        <v>0.0307618886468209</v>
      </c>
      <c r="AP14" s="0" t="n">
        <f aca="false">S_PT(AP$2,$A14)</f>
        <v>0.0307623648926179</v>
      </c>
      <c r="AQ14" s="0" t="n">
        <f aca="false">S_PT(AQ$2,$A14)</f>
        <v>0.0305911864276584</v>
      </c>
      <c r="AR14" s="0" t="n">
        <f aca="false">S_PT(AR$2,$A14)</f>
        <v>0.0305172883067807</v>
      </c>
      <c r="AS14" s="0" t="n">
        <f aca="false">S_PT(AS$2,$A14)</f>
        <v>0.0304795621323256</v>
      </c>
    </row>
    <row r="15" customFormat="false" ht="13.8" hidden="false" customHeight="false" outlineLevel="0" collapsed="false">
      <c r="A15" s="0" t="n">
        <v>3</v>
      </c>
      <c r="B15" s="0" t="n">
        <f aca="false">S_PT(B$2,$A15)</f>
        <v>9.17599859949531</v>
      </c>
      <c r="C15" s="0" t="n">
        <f aca="false">S_PT(C$2,$A15)</f>
        <v>9.1058087675167</v>
      </c>
      <c r="D15" s="0" t="n">
        <f aca="false">S_PT(D$2,$A15)</f>
        <v>0.0458863539106115</v>
      </c>
      <c r="E15" s="0" t="n">
        <f aca="false">S_PT(E$2,$A15)</f>
        <v>0.0458863555073652</v>
      </c>
      <c r="F15" s="0" t="n">
        <f aca="false">S_PT(F$2,$A15)</f>
        <v>0.0458863571040855</v>
      </c>
      <c r="G15" s="0" t="n">
        <f aca="false">S_PT(G$2,$A15)</f>
        <v>0.0458863730694408</v>
      </c>
      <c r="H15" s="0" t="n">
        <f aca="false">S_PT(H$2,$A15)</f>
        <v>0.0458863890314382</v>
      </c>
      <c r="I15" s="0" t="n">
        <f aca="false">S_PT(I$2,$A15)</f>
        <v>0.0458864049900778</v>
      </c>
      <c r="J15" s="0" t="n">
        <f aca="false">S_PT(J$2,$A15)</f>
        <v>0.0458864209453596</v>
      </c>
      <c r="K15" s="0" t="n">
        <f aca="false">S_PT(K$2,$A15)</f>
        <v>0.0458864368972837</v>
      </c>
      <c r="L15" s="0" t="n">
        <f aca="false">S_PT(L$2,$A15)</f>
        <v>0.0458864528458501</v>
      </c>
      <c r="M15" s="0" t="n">
        <f aca="false">S_PT(M$2,$A15)</f>
        <v>0.0458864687910586</v>
      </c>
      <c r="N15" s="0" t="n">
        <f aca="false">S_PT(N$2,$A15)</f>
        <v>0.0458864847329095</v>
      </c>
      <c r="O15" s="0" t="n">
        <f aca="false">S_PT(O$2,$A15)</f>
        <v>0.0458865006714028</v>
      </c>
      <c r="P15" s="0" t="n">
        <f aca="false">S_PT(P$2,$A15)</f>
        <v>0.0458866598716682</v>
      </c>
      <c r="Q15" s="0" t="n">
        <f aca="false">S_PT(Q$2,$A15)</f>
        <v>0.0458868187361928</v>
      </c>
      <c r="R15" s="0" t="n">
        <f aca="false">S_PT(R$2,$A15)</f>
        <v>0.045886977265</v>
      </c>
      <c r="S15" s="0" t="n">
        <f aca="false">S_PT(S$2,$A15)</f>
        <v>0.0458871354581141</v>
      </c>
      <c r="T15" s="0" t="n">
        <f aca="false">S_PT(T$2,$A15)</f>
        <v>0.0458872933155589</v>
      </c>
      <c r="U15" s="0" t="n">
        <f aca="false">S_PT(U$2,$A15)</f>
        <v>0.0458874508373584</v>
      </c>
      <c r="V15" s="0" t="n">
        <f aca="false">S_PT(V$2,$A15)</f>
        <v>0.0458876080235364</v>
      </c>
      <c r="W15" s="0" t="n">
        <f aca="false">S_PT(W$2,$A15)</f>
        <v>0.0458877648741169</v>
      </c>
      <c r="X15" s="0" t="n">
        <f aca="false">S_PT(X$2,$A15)</f>
        <v>0.0458879213891239</v>
      </c>
      <c r="Y15" s="0" t="n">
        <f aca="false">S_PT(Y$2,$A15)</f>
        <v>0.0458894680879076</v>
      </c>
      <c r="Z15" s="0" t="n">
        <f aca="false">S_PT(Z$2,$A15)</f>
        <v>0.0458909812556356</v>
      </c>
      <c r="AA15" s="0" t="n">
        <f aca="false">S_PT(AA$2,$A15)</f>
        <v>0.0458924609162085</v>
      </c>
      <c r="AB15" s="0" t="n">
        <f aca="false">S_PT(AB$2,$A15)</f>
        <v>0.0458939070935144</v>
      </c>
      <c r="AC15" s="0" t="n">
        <f aca="false">S_PT(AC$2,$A15)</f>
        <v>0.0458953198114297</v>
      </c>
      <c r="AD15" s="0" t="n">
        <f aca="false">S_PT(AD$2,$A15)</f>
        <v>0.0458966990938187</v>
      </c>
      <c r="AE15" s="0" t="n">
        <f aca="false">S_PT(AE$2,$A15)</f>
        <v>0.0458980449645337</v>
      </c>
      <c r="AF15" s="0" t="n">
        <f aca="false">S_PT(AF$2,$A15)</f>
        <v>0.045899357447415</v>
      </c>
      <c r="AG15" s="0" t="n">
        <f aca="false">S_PT(AG$2,$A15)</f>
        <v>0.0459006365662911</v>
      </c>
      <c r="AH15" s="0" t="n">
        <f aca="false">S_PT(AH$2,$A15)</f>
        <v>0.0459115979683795</v>
      </c>
      <c r="AI15" s="0" t="n">
        <f aca="false">S_PT(AI$2,$A15)</f>
        <v>0.0459192490916446</v>
      </c>
      <c r="AJ15" s="0" t="n">
        <f aca="false">S_PT(AJ$2,$A15)</f>
        <v>0.0459236135653625</v>
      </c>
      <c r="AK15" s="0" t="n">
        <f aca="false">S_PT(AK$2,$A15)</f>
        <v>0.0459247148976296</v>
      </c>
      <c r="AL15" s="0" t="n">
        <f aca="false">S_PT(AL$2,$A15)</f>
        <v>0.0459225764749237</v>
      </c>
      <c r="AM15" s="0" t="n">
        <f aca="false">S_PT(AM$2,$A15)</f>
        <v>0.045917221561677</v>
      </c>
      <c r="AN15" s="0" t="n">
        <f aca="false">S_PT(AN$2,$A15)</f>
        <v>0.0459086732998608</v>
      </c>
      <c r="AO15" s="0" t="n">
        <f aca="false">S_PT(AO$2,$A15)</f>
        <v>0.0458969547085797</v>
      </c>
      <c r="AP15" s="0" t="n">
        <f aca="false">S_PT(AP$2,$A15)</f>
        <v>0.0458820886836781</v>
      </c>
      <c r="AQ15" s="0" t="n">
        <f aca="false">S_PT(AQ$2,$A15)</f>
        <v>0.0455652678022893</v>
      </c>
      <c r="AR15" s="0" t="n">
        <f aca="false">S_PT(AR$2,$A15)</f>
        <v>0.0454630091378931</v>
      </c>
      <c r="AS15" s="0" t="n">
        <f aca="false">S_PT(AS$2,$A15)</f>
        <v>0.0454126055688525</v>
      </c>
    </row>
    <row r="16" customFormat="false" ht="13.8" hidden="false" customHeight="false" outlineLevel="0" collapsed="false">
      <c r="A16" s="0" t="n">
        <v>4</v>
      </c>
      <c r="B16" s="0" t="n">
        <f aca="false">S_PT(B$2,$A16)</f>
        <v>9.18279036878154</v>
      </c>
      <c r="C16" s="0" t="n">
        <f aca="false">S_PT(C$2,$A16)</f>
        <v>9.11262321856949</v>
      </c>
      <c r="D16" s="0" t="n">
        <f aca="false">S_PT(D$2,$A16)</f>
        <v>2015</v>
      </c>
      <c r="E16" s="0" t="n">
        <f aca="false">S_PT(E$2,$A16)</f>
        <v>0.0611009772401116</v>
      </c>
      <c r="F16" s="0" t="n">
        <f aca="false">S_PT(F$2,$A16)</f>
        <v>0.0611009772133408</v>
      </c>
      <c r="G16" s="0" t="n">
        <f aca="false">S_PT(G$2,$A16)</f>
        <v>0.0611009769438688</v>
      </c>
      <c r="H16" s="0" t="n">
        <f aca="false">S_PT(H$2,$A16)</f>
        <v>0.0611009766711896</v>
      </c>
      <c r="I16" s="0" t="n">
        <f aca="false">S_PT(I$2,$A16)</f>
        <v>0.0611009763953034</v>
      </c>
      <c r="J16" s="0" t="n">
        <f aca="false">S_PT(J$2,$A16)</f>
        <v>0.0611009761162102</v>
      </c>
      <c r="K16" s="0" t="n">
        <f aca="false">S_PT(K$2,$A16)</f>
        <v>0.0611009758339101</v>
      </c>
      <c r="L16" s="0" t="n">
        <f aca="false">S_PT(L$2,$A16)</f>
        <v>0.0611009755484029</v>
      </c>
      <c r="M16" s="0" t="n">
        <f aca="false">S_PT(M$2,$A16)</f>
        <v>0.0611009752596887</v>
      </c>
      <c r="N16" s="0" t="n">
        <f aca="false">S_PT(N$2,$A16)</f>
        <v>0.0611009749677676</v>
      </c>
      <c r="O16" s="0" t="n">
        <f aca="false">S_PT(O$2,$A16)</f>
        <v>0.0611009746726397</v>
      </c>
      <c r="P16" s="0" t="n">
        <f aca="false">S_PT(P$2,$A16)</f>
        <v>0.0611009715449843</v>
      </c>
      <c r="Q16" s="0" t="n">
        <f aca="false">S_PT(Q$2,$A16)</f>
        <v>0.0611009680966627</v>
      </c>
      <c r="R16" s="0" t="n">
        <f aca="false">S_PT(R$2,$A16)</f>
        <v>0.0611009643276972</v>
      </c>
      <c r="S16" s="0" t="n">
        <f aca="false">S_PT(S$2,$A16)</f>
        <v>0.0611009602381107</v>
      </c>
      <c r="T16" s="0" t="n">
        <f aca="false">S_PT(T$2,$A16)</f>
        <v>0.0611009558279261</v>
      </c>
      <c r="U16" s="0" t="n">
        <f aca="false">S_PT(U$2,$A16)</f>
        <v>0.0611009510971656</v>
      </c>
      <c r="V16" s="0" t="n">
        <f aca="false">S_PT(V$2,$A16)</f>
        <v>0.0611009460458524</v>
      </c>
      <c r="W16" s="0" t="n">
        <f aca="false">S_PT(W$2,$A16)</f>
        <v>0.061100940674009</v>
      </c>
      <c r="X16" s="0" t="n">
        <f aca="false">S_PT(X$2,$A16)</f>
        <v>0.061100934981658</v>
      </c>
      <c r="Y16" s="0" t="n">
        <f aca="false">S_PT(Y$2,$A16)</f>
        <v>0.0611008604352292</v>
      </c>
      <c r="Z16" s="0" t="n">
        <f aca="false">S_PT(Z$2,$A16)</f>
        <v>0.0611007538630131</v>
      </c>
      <c r="AA16" s="0" t="n">
        <f aca="false">S_PT(AA$2,$A16)</f>
        <v>0.061100615287692</v>
      </c>
      <c r="AB16" s="0" t="n">
        <f aca="false">S_PT(AB$2,$A16)</f>
        <v>0.0611004447319376</v>
      </c>
      <c r="AC16" s="0" t="n">
        <f aca="false">S_PT(AC$2,$A16)</f>
        <v>0.0611002422184098</v>
      </c>
      <c r="AD16" s="0" t="n">
        <f aca="false">S_PT(AD$2,$A16)</f>
        <v>0.0611000077697575</v>
      </c>
      <c r="AE16" s="0" t="n">
        <f aca="false">S_PT(AE$2,$A16)</f>
        <v>0.0610997414086185</v>
      </c>
      <c r="AF16" s="0" t="n">
        <f aca="false">S_PT(AF$2,$A16)</f>
        <v>0.0610994431576192</v>
      </c>
      <c r="AG16" s="0" t="n">
        <f aca="false">S_PT(AG$2,$A16)</f>
        <v>0.0610991130393751</v>
      </c>
      <c r="AH16" s="0" t="n">
        <f aca="false">S_PT(AH$2,$A16)</f>
        <v>0.0610940641258257</v>
      </c>
      <c r="AI16" s="0" t="n">
        <f aca="false">S_PT(AI$2,$A16)</f>
        <v>0.0610858532813005</v>
      </c>
      <c r="AJ16" s="0" t="n">
        <f aca="false">S_PT(AJ$2,$A16)</f>
        <v>0.061074502935534</v>
      </c>
      <c r="AK16" s="0" t="n">
        <f aca="false">S_PT(AK$2,$A16)</f>
        <v>0.061060035405188</v>
      </c>
      <c r="AL16" s="0" t="n">
        <f aca="false">S_PT(AL$2,$A16)</f>
        <v>0.0610424728934002</v>
      </c>
      <c r="AM16" s="0" t="n">
        <f aca="false">S_PT(AM$2,$A16)</f>
        <v>0.0610218374893431</v>
      </c>
      <c r="AN16" s="0" t="n">
        <f aca="false">S_PT(AN$2,$A16)</f>
        <v>0.0609981511677971</v>
      </c>
      <c r="AO16" s="0" t="n">
        <f aca="false">S_PT(AO$2,$A16)</f>
        <v>0.0609714357887319</v>
      </c>
      <c r="AP16" s="0" t="n">
        <f aca="false">S_PT(AP$2,$A16)</f>
        <v>0.0609417130968998</v>
      </c>
      <c r="AQ16" s="0" t="n">
        <f aca="false">S_PT(AQ$2,$A16)</f>
        <v>0.060483784681704</v>
      </c>
      <c r="AR16" s="0" t="n">
        <f aca="false">S_PT(AR$2,$A16)</f>
        <v>0.0603540312448297</v>
      </c>
      <c r="AS16" s="0" t="n">
        <f aca="false">S_PT(AS$2,$A16)</f>
        <v>0.0602913352860683</v>
      </c>
    </row>
    <row r="17" customFormat="false" ht="13.8" hidden="false" customHeight="false" outlineLevel="0" collapsed="false">
      <c r="A17" s="0" t="n">
        <v>5</v>
      </c>
      <c r="B17" s="0" t="n">
        <f aca="false">S_PT(B$2,$A17)</f>
        <v>9.1895513155046</v>
      </c>
      <c r="C17" s="0" t="n">
        <f aca="false">S_PT(C$2,$A17)</f>
        <v>9.11940384311993</v>
      </c>
      <c r="D17" s="0" t="n">
        <f aca="false">S_PT(D$2,$A17)</f>
        <v>9.05844092474489</v>
      </c>
      <c r="E17" s="0" t="n">
        <f aca="false">S_PT(E$2,$A17)</f>
        <v>0.0762516511735614</v>
      </c>
      <c r="F17" s="0" t="n">
        <f aca="false">S_PT(F$2,$A17)</f>
        <v>0.0762516495745008</v>
      </c>
      <c r="G17" s="0" t="n">
        <f aca="false">S_PT(G$2,$A17)</f>
        <v>0.0762516335822107</v>
      </c>
      <c r="H17" s="0" t="n">
        <f aca="false">S_PT(H$2,$A17)</f>
        <v>0.0762516175868581</v>
      </c>
      <c r="I17" s="0" t="n">
        <f aca="false">S_PT(I$2,$A17)</f>
        <v>0.0762516015884432</v>
      </c>
      <c r="J17" s="0" t="n">
        <f aca="false">S_PT(J$2,$A17)</f>
        <v>0.0762515855869659</v>
      </c>
      <c r="K17" s="0" t="n">
        <f aca="false">S_PT(K$2,$A17)</f>
        <v>0.0762515695824263</v>
      </c>
      <c r="L17" s="0" t="n">
        <f aca="false">S_PT(L$2,$A17)</f>
        <v>0.0762515535748243</v>
      </c>
      <c r="M17" s="0" t="n">
        <f aca="false">S_PT(M$2,$A17)</f>
        <v>0.07625153756416</v>
      </c>
      <c r="N17" s="0" t="n">
        <f aca="false">S_PT(N$2,$A17)</f>
        <v>0.0762515215504335</v>
      </c>
      <c r="O17" s="0" t="n">
        <f aca="false">S_PT(O$2,$A17)</f>
        <v>0.0762515055336447</v>
      </c>
      <c r="P17" s="0" t="n">
        <f aca="false">S_PT(P$2,$A17)</f>
        <v>0.0762513451973373</v>
      </c>
      <c r="Q17" s="0" t="n">
        <f aca="false">S_PT(Q$2,$A17)</f>
        <v>0.0762511845548281</v>
      </c>
      <c r="R17" s="0" t="n">
        <f aca="false">S_PT(R$2,$A17)</f>
        <v>0.0762510236061387</v>
      </c>
      <c r="S17" s="0" t="n">
        <f aca="false">S_PT(S$2,$A17)</f>
        <v>0.0762508623512902</v>
      </c>
      <c r="T17" s="0" t="n">
        <f aca="false">S_PT(T$2,$A17)</f>
        <v>0.0762507007903047</v>
      </c>
      <c r="U17" s="0" t="n">
        <f aca="false">S_PT(U$2,$A17)</f>
        <v>0.0762505389232033</v>
      </c>
      <c r="V17" s="0" t="n">
        <f aca="false">S_PT(V$2,$A17)</f>
        <v>0.0762503767500079</v>
      </c>
      <c r="W17" s="0" t="n">
        <f aca="false">S_PT(W$2,$A17)</f>
        <v>0.0762502142707398</v>
      </c>
      <c r="X17" s="0" t="n">
        <f aca="false">S_PT(X$2,$A17)</f>
        <v>0.0762500514854203</v>
      </c>
      <c r="Y17" s="0" t="n">
        <f aca="false">S_PT(Y$2,$A17)</f>
        <v>0.0762484068041505</v>
      </c>
      <c r="Z17" s="0" t="n">
        <f aca="false">S_PT(Z$2,$A17)</f>
        <v>0.076246731541443</v>
      </c>
      <c r="AA17" s="0" t="n">
        <f aca="false">S_PT(AA$2,$A17)</f>
        <v>0.0762450257188116</v>
      </c>
      <c r="AB17" s="0" t="n">
        <f aca="false">S_PT(AB$2,$A17)</f>
        <v>0.0762432893577594</v>
      </c>
      <c r="AC17" s="0" t="n">
        <f aca="false">S_PT(AC$2,$A17)</f>
        <v>0.0762415224797787</v>
      </c>
      <c r="AD17" s="0" t="n">
        <f aca="false">S_PT(AD$2,$A17)</f>
        <v>0.0762397251063524</v>
      </c>
      <c r="AE17" s="0" t="n">
        <f aca="false">S_PT(AE$2,$A17)</f>
        <v>0.0762378972589523</v>
      </c>
      <c r="AF17" s="0" t="n">
        <f aca="false">S_PT(AF$2,$A17)</f>
        <v>0.0762360389590396</v>
      </c>
      <c r="AG17" s="0" t="n">
        <f aca="false">S_PT(AG$2,$A17)</f>
        <v>0.0762341502280655</v>
      </c>
      <c r="AH17" s="0" t="n">
        <f aca="false">S_PT(AH$2,$A17)</f>
        <v>0.0762135939217268</v>
      </c>
      <c r="AI17" s="0" t="n">
        <f aca="false">S_PT(AI$2,$A17)</f>
        <v>0.0761900180278564</v>
      </c>
      <c r="AJ17" s="0" t="n">
        <f aca="false">S_PT(AJ$2,$A17)</f>
        <v>0.0761634438247742</v>
      </c>
      <c r="AK17" s="0" t="n">
        <f aca="false">S_PT(AK$2,$A17)</f>
        <v>0.0761338924854987</v>
      </c>
      <c r="AL17" s="0" t="n">
        <f aca="false">S_PT(AL$2,$A17)</f>
        <v>0.0761013850772809</v>
      </c>
      <c r="AM17" s="0" t="n">
        <f aca="false">S_PT(AM$2,$A17)</f>
        <v>0.0760659425611513</v>
      </c>
      <c r="AN17" s="0" t="n">
        <f aca="false">S_PT(AN$2,$A17)</f>
        <v>0.076027585791478</v>
      </c>
      <c r="AO17" s="0" t="n">
        <f aca="false">S_PT(AO$2,$A17)</f>
        <v>0.075986335515536</v>
      </c>
      <c r="AP17" s="0" t="n">
        <f aca="false">S_PT(AP$2,$A17)</f>
        <v>0.0759422123730891</v>
      </c>
      <c r="AQ17" s="0" t="n">
        <f aca="false">S_PT(AQ$2,$A17)</f>
        <v>0.075347436384571</v>
      </c>
      <c r="AR17" s="0" t="n">
        <f aca="false">S_PT(AR$2,$A17)</f>
        <v>0.0751910013739646</v>
      </c>
      <c r="AS17" s="0" t="n">
        <f aca="false">S_PT(AS$2,$A17)</f>
        <v>0.0751163746446538</v>
      </c>
    </row>
    <row r="18" customFormat="false" ht="13.8" hidden="false" customHeight="false" outlineLevel="0" collapsed="false">
      <c r="A18" s="0" t="n">
        <v>6</v>
      </c>
      <c r="B18" s="0" t="n">
        <f aca="false">S_PT(B$2,$A18)</f>
        <v>9.19628269842151</v>
      </c>
      <c r="C18" s="0" t="n">
        <f aca="false">S_PT(C$2,$A18)</f>
        <v>9.12615236677379</v>
      </c>
      <c r="D18" s="0" t="n">
        <f aca="false">S_PT(D$2,$A18)</f>
        <v>9.06520962038915</v>
      </c>
      <c r="E18" s="0" t="n">
        <f aca="false">S_PT(E$2,$A18)</f>
        <v>9.01130825248764</v>
      </c>
      <c r="F18" s="0" t="n">
        <f aca="false">S_PT(F$2,$A18)</f>
        <v>0.0913395716372999</v>
      </c>
      <c r="G18" s="0" t="n">
        <f aca="false">S_PT(G$2,$A18)</f>
        <v>0.091339540403731</v>
      </c>
      <c r="H18" s="0" t="n">
        <f aca="false">S_PT(H$2,$A18)</f>
        <v>0.0913395091672385</v>
      </c>
      <c r="I18" s="0" t="n">
        <f aca="false">S_PT(I$2,$A18)</f>
        <v>0.0913394779278226</v>
      </c>
      <c r="J18" s="0" t="n">
        <f aca="false">S_PT(J$2,$A18)</f>
        <v>0.0913394466854832</v>
      </c>
      <c r="K18" s="0" t="n">
        <f aca="false">S_PT(K$2,$A18)</f>
        <v>0.0913394154402203</v>
      </c>
      <c r="L18" s="0" t="n">
        <f aca="false">S_PT(L$2,$A18)</f>
        <v>0.0913393841920341</v>
      </c>
      <c r="M18" s="0" t="n">
        <f aca="false">S_PT(M$2,$A18)</f>
        <v>0.0913393529409245</v>
      </c>
      <c r="N18" s="0" t="n">
        <f aca="false">S_PT(N$2,$A18)</f>
        <v>0.0913393216868916</v>
      </c>
      <c r="O18" s="0" t="n">
        <f aca="false">S_PT(O$2,$A18)</f>
        <v>0.0913392904299352</v>
      </c>
      <c r="P18" s="0" t="n">
        <f aca="false">S_PT(P$2,$A18)</f>
        <v>0.0913389776995922</v>
      </c>
      <c r="Q18" s="0" t="n">
        <f aca="false">S_PT(Q$2,$A18)</f>
        <v>0.0913386646769367</v>
      </c>
      <c r="R18" s="0" t="n">
        <f aca="false">S_PT(R$2,$A18)</f>
        <v>0.0913383513619895</v>
      </c>
      <c r="S18" s="0" t="n">
        <f aca="false">S_PT(S$2,$A18)</f>
        <v>0.0913380377547705</v>
      </c>
      <c r="T18" s="0" t="n">
        <f aca="false">S_PT(T$2,$A18)</f>
        <v>0.0913377238553006</v>
      </c>
      <c r="U18" s="0" t="n">
        <f aca="false">S_PT(U$2,$A18)</f>
        <v>0.0913374096635999</v>
      </c>
      <c r="V18" s="0" t="n">
        <f aca="false">S_PT(V$2,$A18)</f>
        <v>0.0913370951796889</v>
      </c>
      <c r="W18" s="0" t="n">
        <f aca="false">S_PT(W$2,$A18)</f>
        <v>0.091336780403588</v>
      </c>
      <c r="X18" s="0" t="n">
        <f aca="false">S_PT(X$2,$A18)</f>
        <v>0.0913364653353176</v>
      </c>
      <c r="Y18" s="0" t="n">
        <f aca="false">S_PT(Y$2,$A18)</f>
        <v>0.0913332985877809</v>
      </c>
      <c r="Z18" s="0" t="n">
        <f aca="false">S_PT(Z$2,$A18)</f>
        <v>0.0913301026457358</v>
      </c>
      <c r="AA18" s="0" t="n">
        <f aca="false">S_PT(AA$2,$A18)</f>
        <v>0.0913268775295734</v>
      </c>
      <c r="AB18" s="0" t="n">
        <f aca="false">S_PT(AB$2,$A18)</f>
        <v>0.0913236232596752</v>
      </c>
      <c r="AC18" s="0" t="n">
        <f aca="false">S_PT(AC$2,$A18)</f>
        <v>0.091320339856413</v>
      </c>
      <c r="AD18" s="0" t="n">
        <f aca="false">S_PT(AD$2,$A18)</f>
        <v>0.091317027340149</v>
      </c>
      <c r="AE18" s="0" t="n">
        <f aca="false">S_PT(AE$2,$A18)</f>
        <v>0.0913136857312357</v>
      </c>
      <c r="AF18" s="0" t="n">
        <f aca="false">S_PT(AF$2,$A18)</f>
        <v>0.0913103150500158</v>
      </c>
      <c r="AG18" s="0" t="n">
        <f aca="false">S_PT(AG$2,$A18)</f>
        <v>0.0913069153168223</v>
      </c>
      <c r="AH18" s="0" t="n">
        <f aca="false">S_PT(AH$2,$A18)</f>
        <v>0.0912713245927113</v>
      </c>
      <c r="AI18" s="0" t="n">
        <f aca="false">S_PT(AI$2,$A18)</f>
        <v>0.0912328509656685</v>
      </c>
      <c r="AJ18" s="0" t="n">
        <f aca="false">S_PT(AJ$2,$A18)</f>
        <v>0.0911915146083935</v>
      </c>
      <c r="AK18" s="0" t="n">
        <f aca="false">S_PT(AK$2,$A18)</f>
        <v>0.0911473355957371</v>
      </c>
      <c r="AL18" s="0" t="n">
        <f aca="false">S_PT(AL$2,$A18)</f>
        <v>0.0911003339042206</v>
      </c>
      <c r="AM18" s="0" t="n">
        <f aca="false">S_PT(AM$2,$A18)</f>
        <v>0.0910505294115693</v>
      </c>
      <c r="AN18" s="0" t="n">
        <f aca="false">S_PT(AN$2,$A18)</f>
        <v>0.0909979418962566</v>
      </c>
      <c r="AO18" s="0" t="n">
        <f aca="false">S_PT(AO$2,$A18)</f>
        <v>0.0909425910370612</v>
      </c>
      <c r="AP18" s="0" t="n">
        <f aca="false">S_PT(AP$2,$A18)</f>
        <v>0.090884496412635</v>
      </c>
      <c r="AQ18" s="0" t="n">
        <f aca="false">S_PT(AQ$2,$A18)</f>
        <v>0.0901568779861021</v>
      </c>
      <c r="AR18" s="0" t="n">
        <f aca="false">S_PT(AR$2,$A18)</f>
        <v>0.0899745258877059</v>
      </c>
      <c r="AS18" s="0" t="n">
        <f aca="false">S_PT(AS$2,$A18)</f>
        <v>0.0898883083398348</v>
      </c>
    </row>
    <row r="19" customFormat="false" ht="13.8" hidden="false" customHeight="false" outlineLevel="0" collapsed="false">
      <c r="A19" s="0" t="n">
        <v>7</v>
      </c>
      <c r="B19" s="0" t="n">
        <f aca="false">S_PT(B$2,$A19)</f>
        <v>9.20298560002189</v>
      </c>
      <c r="C19" s="0" t="n">
        <f aca="false">S_PT(C$2,$A19)</f>
        <v>9.13287026328926</v>
      </c>
      <c r="D19" s="0" t="n">
        <f aca="false">S_PT(D$2,$A19)</f>
        <v>9.07194506498144</v>
      </c>
      <c r="E19" s="0" t="n">
        <f aca="false">S_PT(E$2,$A19)</f>
        <v>9.01806404299061</v>
      </c>
      <c r="F19" s="0" t="n">
        <f aca="false">S_PT(F$2,$A19)</f>
        <v>2015</v>
      </c>
      <c r="G19" s="0" t="n">
        <f aca="false">S_PT(G$2,$A19)</f>
        <v>0.106365816215512</v>
      </c>
      <c r="H19" s="0" t="n">
        <f aca="false">S_PT(H$2,$A19)</f>
        <v>0.106365770191126</v>
      </c>
      <c r="I19" s="0" t="n">
        <f aca="false">S_PT(I$2,$A19)</f>
        <v>0.10636572416395</v>
      </c>
      <c r="J19" s="0" t="n">
        <f aca="false">S_PT(J$2,$A19)</f>
        <v>0.106365678133984</v>
      </c>
      <c r="K19" s="0" t="n">
        <f aca="false">S_PT(K$2,$A19)</f>
        <v>0.106365632101228</v>
      </c>
      <c r="L19" s="0" t="n">
        <f aca="false">S_PT(L$2,$A19)</f>
        <v>0.106365586065683</v>
      </c>
      <c r="M19" s="0" t="n">
        <f aca="false">S_PT(M$2,$A19)</f>
        <v>0.106365540027347</v>
      </c>
      <c r="N19" s="0" t="n">
        <f aca="false">S_PT(N$2,$A19)</f>
        <v>0.106365493986222</v>
      </c>
      <c r="O19" s="0" t="n">
        <f aca="false">S_PT(O$2,$A19)</f>
        <v>0.106365447942306</v>
      </c>
      <c r="P19" s="0" t="n">
        <f aca="false">S_PT(P$2,$A19)</f>
        <v>0.106364987349715</v>
      </c>
      <c r="Q19" s="0" t="n">
        <f aca="false">S_PT(Q$2,$A19)</f>
        <v>0.106364526478158</v>
      </c>
      <c r="R19" s="0" t="n">
        <f aca="false">S_PT(R$2,$A19)</f>
        <v>0.106364065327655</v>
      </c>
      <c r="S19" s="0" t="n">
        <f aca="false">S_PT(S$2,$A19)</f>
        <v>0.106363603898225</v>
      </c>
      <c r="T19" s="0" t="n">
        <f aca="false">S_PT(T$2,$A19)</f>
        <v>0.106363142189889</v>
      </c>
      <c r="U19" s="0" t="n">
        <f aca="false">S_PT(U$2,$A19)</f>
        <v>0.106362680202664</v>
      </c>
      <c r="V19" s="0" t="n">
        <f aca="false">S_PT(V$2,$A19)</f>
        <v>0.106362217936571</v>
      </c>
      <c r="W19" s="0" t="n">
        <f aca="false">S_PT(W$2,$A19)</f>
        <v>0.106361755391629</v>
      </c>
      <c r="X19" s="0" t="n">
        <f aca="false">S_PT(X$2,$A19)</f>
        <v>0.106361292567857</v>
      </c>
      <c r="Y19" s="0" t="n">
        <f aca="false">S_PT(Y$2,$A19)</f>
        <v>0.106356648998745</v>
      </c>
      <c r="Z19" s="0" t="n">
        <f aca="false">S_PT(Z$2,$A19)</f>
        <v>0.106351977567898</v>
      </c>
      <c r="AA19" s="0" t="n">
        <f aca="false">S_PT(AA$2,$A19)</f>
        <v>0.106347278294629</v>
      </c>
      <c r="AB19" s="0" t="n">
        <f aca="false">S_PT(AB$2,$A19)</f>
        <v>0.106342551198243</v>
      </c>
      <c r="AC19" s="0" t="n">
        <f aca="false">S_PT(AC$2,$A19)</f>
        <v>0.106337796298035</v>
      </c>
      <c r="AD19" s="0" t="n">
        <f aca="false">S_PT(AD$2,$A19)</f>
        <v>0.106333013613291</v>
      </c>
      <c r="AE19" s="0" t="n">
        <f aca="false">S_PT(AE$2,$A19)</f>
        <v>0.106328203163287</v>
      </c>
      <c r="AF19" s="0" t="n">
        <f aca="false">S_PT(AF$2,$A19)</f>
        <v>0.106323364967293</v>
      </c>
      <c r="AG19" s="0" t="n">
        <f aca="false">S_PT(AG$2,$A19)</f>
        <v>0.106318499044567</v>
      </c>
      <c r="AH19" s="0" t="n">
        <f aca="false">S_PT(AH$2,$A19)</f>
        <v>0.106268319077687</v>
      </c>
      <c r="AI19" s="0" t="n">
        <f aca="false">S_PT(AI$2,$A19)</f>
        <v>0.106215387556123</v>
      </c>
      <c r="AJ19" s="0" t="n">
        <f aca="false">S_PT(AJ$2,$A19)</f>
        <v>0.106159723590531</v>
      </c>
      <c r="AK19" s="0" t="n">
        <f aca="false">S_PT(AK$2,$A19)</f>
        <v>0.10610134620087</v>
      </c>
      <c r="AL19" s="0" t="n">
        <f aca="false">S_PT(AL$2,$A19)</f>
        <v>0.106040274315906</v>
      </c>
      <c r="AM19" s="0" t="n">
        <f aca="false">S_PT(AM$2,$A19)</f>
        <v>0.105976526772732</v>
      </c>
      <c r="AN19" s="0" t="n">
        <f aca="false">S_PT(AN$2,$A19)</f>
        <v>0.105910122316296</v>
      </c>
      <c r="AO19" s="0" t="n">
        <f aca="false">S_PT(AO$2,$A19)</f>
        <v>0.105841079598948</v>
      </c>
      <c r="AP19" s="0" t="n">
        <f aca="false">S_PT(AP$2,$A19)</f>
        <v>0.105769417179991</v>
      </c>
      <c r="AQ19" s="0" t="n">
        <f aca="false">S_PT(AQ$2,$A19)</f>
        <v>0.104912725089638</v>
      </c>
      <c r="AR19" s="0" t="n">
        <f aca="false">S_PT(AR$2,$A19)</f>
        <v>0.104705175221346</v>
      </c>
      <c r="AS19" s="0" t="n">
        <f aca="false">S_PT(AS$2,$A19)</f>
        <v>0.10460768671797</v>
      </c>
    </row>
    <row r="20" customFormat="false" ht="13.8" hidden="false" customHeight="false" outlineLevel="0" collapsed="false">
      <c r="A20" s="0" t="n">
        <v>8</v>
      </c>
      <c r="B20" s="0" t="n">
        <f aca="false">S_PT(B$2,$A20)</f>
        <v>9.20966095536214</v>
      </c>
      <c r="C20" s="0" t="n">
        <f aca="false">S_PT(C$2,$A20)</f>
        <v>9.13955879586332</v>
      </c>
      <c r="D20" s="0" t="n">
        <f aca="false">S_PT(D$2,$A20)</f>
        <v>9.07864892618354</v>
      </c>
      <c r="E20" s="0" t="n">
        <f aca="false">S_PT(E$2,$A20)</f>
        <v>9.02478559068454</v>
      </c>
      <c r="F20" s="0" t="n">
        <f aca="false">S_PT(F$2,$A20)</f>
        <v>8.97649499536162</v>
      </c>
      <c r="G20" s="0" t="n">
        <f aca="false">S_PT(G$2,$A20)</f>
        <v>0.121331508636323</v>
      </c>
      <c r="H20" s="0" t="n">
        <f aca="false">S_PT(H$2,$A20)</f>
        <v>0.121331448251011</v>
      </c>
      <c r="I20" s="0" t="n">
        <f aca="false">S_PT(I$2,$A20)</f>
        <v>0.121331387863038</v>
      </c>
      <c r="J20" s="0" t="n">
        <f aca="false">S_PT(J$2,$A20)</f>
        <v>0.121331327472403</v>
      </c>
      <c r="K20" s="0" t="n">
        <f aca="false">S_PT(K$2,$A20)</f>
        <v>0.121331267079106</v>
      </c>
      <c r="L20" s="0" t="n">
        <f aca="false">S_PT(L$2,$A20)</f>
        <v>0.121331206683148</v>
      </c>
      <c r="M20" s="0" t="n">
        <f aca="false">S_PT(M$2,$A20)</f>
        <v>0.121331146284528</v>
      </c>
      <c r="N20" s="0" t="n">
        <f aca="false">S_PT(N$2,$A20)</f>
        <v>0.121331085883246</v>
      </c>
      <c r="O20" s="0" t="n">
        <f aca="false">S_PT(O$2,$A20)</f>
        <v>0.121331025479304</v>
      </c>
      <c r="P20" s="0" t="n">
        <f aca="false">S_PT(P$2,$A20)</f>
        <v>0.121330421293497</v>
      </c>
      <c r="Q20" s="0" t="n">
        <f aca="false">S_PT(Q$2,$A20)</f>
        <v>0.12132981684156</v>
      </c>
      <c r="R20" s="0" t="n">
        <f aca="false">S_PT(R$2,$A20)</f>
        <v>0.121329212123512</v>
      </c>
      <c r="S20" s="0" t="n">
        <f aca="false">S_PT(S$2,$A20)</f>
        <v>0.12132860713937</v>
      </c>
      <c r="T20" s="0" t="n">
        <f aca="false">S_PT(T$2,$A20)</f>
        <v>0.121328001889153</v>
      </c>
      <c r="U20" s="0" t="n">
        <f aca="false">S_PT(U$2,$A20)</f>
        <v>0.12132739637288</v>
      </c>
      <c r="V20" s="0" t="n">
        <f aca="false">S_PT(V$2,$A20)</f>
        <v>0.121326790590569</v>
      </c>
      <c r="W20" s="0" t="n">
        <f aca="false">S_PT(W$2,$A20)</f>
        <v>0.121326184542237</v>
      </c>
      <c r="X20" s="0" t="n">
        <f aca="false">S_PT(X$2,$A20)</f>
        <v>0.121325578227903</v>
      </c>
      <c r="Y20" s="0" t="n">
        <f aca="false">S_PT(Y$2,$A20)</f>
        <v>0.121319500458494</v>
      </c>
      <c r="Z20" s="0" t="n">
        <f aca="false">S_PT(Z$2,$A20)</f>
        <v>0.121313396109018</v>
      </c>
      <c r="AA20" s="0" t="n">
        <f aca="false">S_PT(AA$2,$A20)</f>
        <v>0.121307265197753</v>
      </c>
      <c r="AB20" s="0" t="n">
        <f aca="false">S_PT(AB$2,$A20)</f>
        <v>0.121301107742969</v>
      </c>
      <c r="AC20" s="0" t="n">
        <f aca="false">S_PT(AC$2,$A20)</f>
        <v>0.121294923762924</v>
      </c>
      <c r="AD20" s="0" t="n">
        <f aca="false">S_PT(AD$2,$A20)</f>
        <v>0.121288713275871</v>
      </c>
      <c r="AE20" s="0" t="n">
        <f aca="false">S_PT(AE$2,$A20)</f>
        <v>0.121282476300054</v>
      </c>
      <c r="AF20" s="0" t="n">
        <f aca="false">S_PT(AF$2,$A20)</f>
        <v>0.121276212853709</v>
      </c>
      <c r="AG20" s="0" t="n">
        <f aca="false">S_PT(AG$2,$A20)</f>
        <v>0.121269922955063</v>
      </c>
      <c r="AH20" s="0" t="n">
        <f aca="false">S_PT(AH$2,$A20)</f>
        <v>0.121205573096132</v>
      </c>
      <c r="AI20" s="0" t="n">
        <f aca="false">S_PT(AI$2,$A20)</f>
        <v>0.121138597995564</v>
      </c>
      <c r="AJ20" s="0" t="n">
        <f aca="false">S_PT(AJ$2,$A20)</f>
        <v>0.121069015743446</v>
      </c>
      <c r="AK20" s="0" t="n">
        <f aca="false">S_PT(AK$2,$A20)</f>
        <v>0.120996844346031</v>
      </c>
      <c r="AL20" s="0" t="n">
        <f aca="false">S_PT(AL$2,$A20)</f>
        <v>0.120922101725232</v>
      </c>
      <c r="AM20" s="0" t="n">
        <f aca="false">S_PT(AM$2,$A20)</f>
        <v>0.120844805718125</v>
      </c>
      <c r="AN20" s="0" t="n">
        <f aca="false">S_PT(AN$2,$A20)</f>
        <v>0.120764974076463</v>
      </c>
      <c r="AO20" s="0" t="n">
        <f aca="false">S_PT(AO$2,$A20)</f>
        <v>0.120682624466209</v>
      </c>
      <c r="AP20" s="0" t="n">
        <f aca="false">S_PT(AP$2,$A20)</f>
        <v>0.120597774467076</v>
      </c>
      <c r="AQ20" s="0" t="n">
        <f aca="false">S_PT(AQ$2,$A20)</f>
        <v>0.119615558097664</v>
      </c>
      <c r="AR20" s="0" t="n">
        <f aca="false">S_PT(AR$2,$A20)</f>
        <v>0.119383487866493</v>
      </c>
      <c r="AS20" s="0" t="n">
        <f aca="false">S_PT(AS$2,$A20)</f>
        <v>0.119275029631826</v>
      </c>
    </row>
    <row r="21" customFormat="false" ht="13.8" hidden="false" customHeight="false" outlineLevel="0" collapsed="false">
      <c r="A21" s="0" t="n">
        <v>9</v>
      </c>
      <c r="B21" s="0" t="n">
        <f aca="false">S_PT(B$2,$A21)</f>
        <v>9.21630957607627</v>
      </c>
      <c r="C21" s="0" t="n">
        <f aca="false">S_PT(C$2,$A21)</f>
        <v>9.14621905151623</v>
      </c>
      <c r="D21" s="0" t="n">
        <f aca="false">S_PT(D$2,$A21)</f>
        <v>9.08532263039559</v>
      </c>
      <c r="E21" s="0" t="n">
        <f aca="false">S_PT(E$2,$A21)</f>
        <v>9.03147473137853</v>
      </c>
      <c r="F21" s="0" t="n">
        <f aca="false">S_PT(F$2,$A21)</f>
        <v>8.9832017347632</v>
      </c>
      <c r="G21" s="0" t="n">
        <f aca="false">S_PT(G$2,$A21)</f>
        <v>0.136237600800704</v>
      </c>
      <c r="H21" s="0" t="n">
        <f aca="false">S_PT(H$2,$A21)</f>
        <v>0.136237526457002</v>
      </c>
      <c r="I21" s="0" t="n">
        <f aca="false">S_PT(I$2,$A21)</f>
        <v>0.136237452110762</v>
      </c>
      <c r="J21" s="0" t="n">
        <f aca="false">S_PT(J$2,$A21)</f>
        <v>0.136237377761985</v>
      </c>
      <c r="K21" s="0" t="n">
        <f aca="false">S_PT(K$2,$A21)</f>
        <v>0.136237303410669</v>
      </c>
      <c r="L21" s="0" t="n">
        <f aca="false">S_PT(L$2,$A21)</f>
        <v>0.136237229056815</v>
      </c>
      <c r="M21" s="0" t="n">
        <f aca="false">S_PT(M$2,$A21)</f>
        <v>0.136237154700423</v>
      </c>
      <c r="N21" s="0" t="n">
        <f aca="false">S_PT(N$2,$A21)</f>
        <v>0.136237080341493</v>
      </c>
      <c r="O21" s="0" t="n">
        <f aca="false">S_PT(O$2,$A21)</f>
        <v>0.136237005980025</v>
      </c>
      <c r="P21" s="0" t="n">
        <f aca="false">S_PT(P$2,$A21)</f>
        <v>0.136236262225761</v>
      </c>
      <c r="Q21" s="0" t="n">
        <f aca="false">S_PT(Q$2,$A21)</f>
        <v>0.136235518217719</v>
      </c>
      <c r="R21" s="0" t="n">
        <f aca="false">S_PT(R$2,$A21)</f>
        <v>0.136234773955917</v>
      </c>
      <c r="S21" s="0" t="n">
        <f aca="false">S_PT(S$2,$A21)</f>
        <v>0.136234029440372</v>
      </c>
      <c r="T21" s="0" t="n">
        <f aca="false">S_PT(T$2,$A21)</f>
        <v>0.136233284671101</v>
      </c>
      <c r="U21" s="0" t="n">
        <f aca="false">S_PT(U$2,$A21)</f>
        <v>0.136232539648121</v>
      </c>
      <c r="V21" s="0" t="n">
        <f aca="false">S_PT(V$2,$A21)</f>
        <v>0.13623179437145</v>
      </c>
      <c r="W21" s="0" t="n">
        <f aca="false">S_PT(W$2,$A21)</f>
        <v>0.136231048841105</v>
      </c>
      <c r="X21" s="0" t="n">
        <f aca="false">S_PT(X$2,$A21)</f>
        <v>0.136230303057103</v>
      </c>
      <c r="Y21" s="0" t="n">
        <f aca="false">S_PT(Y$2,$A21)</f>
        <v>0.136222831269773</v>
      </c>
      <c r="Z21" s="0" t="n">
        <f aca="false">S_PT(Z$2,$A21)</f>
        <v>0.13621533413579</v>
      </c>
      <c r="AA21" s="0" t="n">
        <f aca="false">S_PT(AA$2,$A21)</f>
        <v>0.136207811672435</v>
      </c>
      <c r="AB21" s="0" t="n">
        <f aca="false">S_PT(AB$2,$A21)</f>
        <v>0.136200263896983</v>
      </c>
      <c r="AC21" s="0" t="n">
        <f aca="false">S_PT(AC$2,$A21)</f>
        <v>0.136192690826699</v>
      </c>
      <c r="AD21" s="0" t="n">
        <f aca="false">S_PT(AD$2,$A21)</f>
        <v>0.13618509247884</v>
      </c>
      <c r="AE21" s="0" t="n">
        <f aca="false">S_PT(AE$2,$A21)</f>
        <v>0.136177468870658</v>
      </c>
      <c r="AF21" s="0" t="n">
        <f aca="false">S_PT(AF$2,$A21)</f>
        <v>0.136169820019395</v>
      </c>
      <c r="AG21" s="0" t="n">
        <f aca="false">S_PT(AG$2,$A21)</f>
        <v>0.136162145942286</v>
      </c>
      <c r="AH21" s="0" t="n">
        <f aca="false">S_PT(AH$2,$A21)</f>
        <v>0.136084021536019</v>
      </c>
      <c r="AI21" s="0" t="n">
        <f aca="false">S_PT(AI$2,$A21)</f>
        <v>0.136003393447376</v>
      </c>
      <c r="AJ21" s="0" t="n">
        <f aca="false">S_PT(AJ$2,$A21)</f>
        <v>0.135920278785342</v>
      </c>
      <c r="AK21" s="0" t="n">
        <f aca="false">S_PT(AK$2,$A21)</f>
        <v>0.135834694581671</v>
      </c>
      <c r="AL21" s="0" t="n">
        <f aca="false">S_PT(AL$2,$A21)</f>
        <v>0.135746657790351</v>
      </c>
      <c r="AM21" s="0" t="n">
        <f aca="false">S_PT(AM$2,$A21)</f>
        <v>0.135656185287104</v>
      </c>
      <c r="AN21" s="0" t="n">
        <f aca="false">S_PT(AN$2,$A21)</f>
        <v>0.135563293868878</v>
      </c>
      <c r="AO21" s="0" t="n">
        <f aca="false">S_PT(AO$2,$A21)</f>
        <v>0.135468000253368</v>
      </c>
      <c r="AP21" s="0" t="n">
        <f aca="false">S_PT(AP$2,$A21)</f>
        <v>0.135370321078544</v>
      </c>
      <c r="AQ21" s="0" t="n">
        <f aca="false">S_PT(AQ$2,$A21)</f>
        <v>0.134265926032594</v>
      </c>
      <c r="AR21" s="0" t="n">
        <f aca="false">S_PT(AR$2,$A21)</f>
        <v>0.134009973928986</v>
      </c>
      <c r="AS21" s="0" t="n">
        <f aca="false">S_PT(AS$2,$A21)</f>
        <v>0.133890829881355</v>
      </c>
    </row>
    <row r="22" customFormat="false" ht="13.8" hidden="false" customHeight="false" outlineLevel="0" collapsed="false">
      <c r="A22" s="0" t="n">
        <v>10</v>
      </c>
      <c r="B22" s="0" t="n">
        <f aca="false">S_PT(B$2,$A22)</f>
        <v>9.22293217038034</v>
      </c>
      <c r="C22" s="0" t="n">
        <f aca="false">S_PT(C$2,$A22)</f>
        <v>9.15285196974246</v>
      </c>
      <c r="D22" s="0" t="n">
        <f aca="false">S_PT(D$2,$A22)</f>
        <v>9.09196740206925</v>
      </c>
      <c r="E22" s="0" t="n">
        <f aca="false">S_PT(E$2,$A22)</f>
        <v>9.03813303323091</v>
      </c>
      <c r="F22" s="0" t="n">
        <f aca="false">S_PT(F$2,$A22)</f>
        <v>8.98987539073197</v>
      </c>
      <c r="G22" s="0" t="n">
        <f aca="false">S_PT(G$2,$A22)</f>
        <v>0.15108501741269</v>
      </c>
      <c r="H22" s="0" t="n">
        <f aca="false">S_PT(H$2,$A22)</f>
        <v>0.151084929490406</v>
      </c>
      <c r="I22" s="0" t="n">
        <f aca="false">S_PT(I$2,$A22)</f>
        <v>0.151084841565702</v>
      </c>
      <c r="J22" s="0" t="n">
        <f aca="false">S_PT(J$2,$A22)</f>
        <v>0.151084753638579</v>
      </c>
      <c r="K22" s="0" t="n">
        <f aca="false">S_PT(K$2,$A22)</f>
        <v>0.151084665709037</v>
      </c>
      <c r="L22" s="0" t="n">
        <f aca="false">S_PT(L$2,$A22)</f>
        <v>0.151084577777076</v>
      </c>
      <c r="M22" s="0" t="n">
        <f aca="false">S_PT(M$2,$A22)</f>
        <v>0.151084489842696</v>
      </c>
      <c r="N22" s="0" t="n">
        <f aca="false">S_PT(N$2,$A22)</f>
        <v>0.151084401905897</v>
      </c>
      <c r="O22" s="0" t="n">
        <f aca="false">S_PT(O$2,$A22)</f>
        <v>0.151084313966678</v>
      </c>
      <c r="P22" s="0" t="n">
        <f aca="false">S_PT(P$2,$A22)</f>
        <v>0.151083434441456</v>
      </c>
      <c r="Q22" s="0" t="n">
        <f aca="false">S_PT(Q$2,$A22)</f>
        <v>0.151082554674351</v>
      </c>
      <c r="R22" s="0" t="n">
        <f aca="false">S_PT(R$2,$A22)</f>
        <v>0.15108167466538</v>
      </c>
      <c r="S22" s="0" t="n">
        <f aca="false">S_PT(S$2,$A22)</f>
        <v>0.15108079441456</v>
      </c>
      <c r="T22" s="0" t="n">
        <f aca="false">S_PT(T$2,$A22)</f>
        <v>0.151079913921906</v>
      </c>
      <c r="U22" s="0" t="n">
        <f aca="false">S_PT(U$2,$A22)</f>
        <v>0.151079033187435</v>
      </c>
      <c r="V22" s="0" t="n">
        <f aca="false">S_PT(V$2,$A22)</f>
        <v>0.151078152211164</v>
      </c>
      <c r="W22" s="0" t="n">
        <f aca="false">S_PT(W$2,$A22)</f>
        <v>0.151077270993109</v>
      </c>
      <c r="X22" s="0" t="n">
        <f aca="false">S_PT(X$2,$A22)</f>
        <v>0.151076389533286</v>
      </c>
      <c r="Y22" s="0" t="n">
        <f aca="false">S_PT(Y$2,$A22)</f>
        <v>0.151067561641412</v>
      </c>
      <c r="Z22" s="0" t="n">
        <f aca="false">S_PT(Z$2,$A22)</f>
        <v>0.15105870959071</v>
      </c>
      <c r="AA22" s="0" t="n">
        <f aca="false">S_PT(AA$2,$A22)</f>
        <v>0.151049833397504</v>
      </c>
      <c r="AB22" s="0" t="n">
        <f aca="false">S_PT(AB$2,$A22)</f>
        <v>0.15104093307811</v>
      </c>
      <c r="AC22" s="0" t="n">
        <f aca="false">S_PT(AC$2,$A22)</f>
        <v>0.151032008648836</v>
      </c>
      <c r="AD22" s="0" t="n">
        <f aca="false">S_PT(AD$2,$A22)</f>
        <v>0.151023060125985</v>
      </c>
      <c r="AE22" s="0" t="n">
        <f aca="false">S_PT(AE$2,$A22)</f>
        <v>0.151014087525852</v>
      </c>
      <c r="AF22" s="0" t="n">
        <f aca="false">S_PT(AF$2,$A22)</f>
        <v>0.151005090864725</v>
      </c>
      <c r="AG22" s="0" t="n">
        <f aca="false">S_PT(AG$2,$A22)</f>
        <v>0.150996070158886</v>
      </c>
      <c r="AH22" s="0" t="n">
        <f aca="false">S_PT(AH$2,$A22)</f>
        <v>0.150904544218203</v>
      </c>
      <c r="AI22" s="0" t="n">
        <f aca="false">S_PT(AI$2,$A22)</f>
        <v>0.150810631663749</v>
      </c>
      <c r="AJ22" s="0" t="n">
        <f aca="false">S_PT(AJ$2,$A22)</f>
        <v>0.150714348660979</v>
      </c>
      <c r="AK22" s="0" t="n">
        <f aca="false">S_PT(AK$2,$A22)</f>
        <v>0.150615711304457</v>
      </c>
      <c r="AL22" s="0" t="n">
        <f aca="false">S_PT(AL$2,$A22)</f>
        <v>0.150514735617312</v>
      </c>
      <c r="AM22" s="0" t="n">
        <f aca="false">S_PT(AM$2,$A22)</f>
        <v>0.150411437550711</v>
      </c>
      <c r="AN22" s="0" t="n">
        <f aca="false">S_PT(AN$2,$A22)</f>
        <v>0.150305832983347</v>
      </c>
      <c r="AO22" s="0" t="n">
        <f aca="false">S_PT(AO$2,$A22)</f>
        <v>0.15019793772094</v>
      </c>
      <c r="AP22" s="0" t="n">
        <f aca="false">S_PT(AP$2,$A22)</f>
        <v>0.150087767495748</v>
      </c>
      <c r="AQ22" s="0" t="n">
        <f aca="false">S_PT(AQ$2,$A22)</f>
        <v>0.148864349952714</v>
      </c>
      <c r="AR22" s="0" t="n">
        <f aca="false">S_PT(AR$2,$A22)</f>
        <v>0.148585118304456</v>
      </c>
      <c r="AS22" s="0" t="n">
        <f aca="false">S_PT(AS$2,$A22)</f>
        <v>0.148455556282155</v>
      </c>
    </row>
    <row r="23" customFormat="false" ht="13.8" hidden="false" customHeight="false" outlineLevel="0" collapsed="false">
      <c r="A23" s="0" t="n">
        <v>20</v>
      </c>
      <c r="B23" s="0" t="n">
        <f aca="false">S_PT(B$2,$A23)</f>
        <v>9.28783498114178</v>
      </c>
      <c r="C23" s="0" t="n">
        <f aca="false">S_PT(C$2,$A23)</f>
        <v>9.21781670137266</v>
      </c>
      <c r="D23" s="0" t="n">
        <f aca="false">S_PT(D$2,$A23)</f>
        <v>9.15700083123898</v>
      </c>
      <c r="E23" s="0" t="n">
        <f aca="false">S_PT(E$2,$A23)</f>
        <v>9.10324259240572</v>
      </c>
      <c r="F23" s="0" t="n">
        <f aca="false">S_PT(F$2,$A23)</f>
        <v>9.05506916817372</v>
      </c>
      <c r="G23" s="0" t="n">
        <f aca="false">S_PT(G$2,$A23)</f>
        <v>8.73631629341062</v>
      </c>
      <c r="H23" s="0" t="n">
        <f aca="false">S_PT(H$2,$A23)</f>
        <v>0.296502988674693</v>
      </c>
      <c r="I23" s="0" t="n">
        <f aca="false">S_PT(I$2,$A23)</f>
        <v>0.29650278183333</v>
      </c>
      <c r="J23" s="0" t="n">
        <f aca="false">S_PT(J$2,$A23)</f>
        <v>0.296502574990536</v>
      </c>
      <c r="K23" s="0" t="n">
        <f aca="false">S_PT(K$2,$A23)</f>
        <v>0.296502368146308</v>
      </c>
      <c r="L23" s="0" t="n">
        <f aca="false">S_PT(L$2,$A23)</f>
        <v>0.296502161300648</v>
      </c>
      <c r="M23" s="0" t="n">
        <f aca="false">S_PT(M$2,$A23)</f>
        <v>0.296501954453555</v>
      </c>
      <c r="N23" s="0" t="n">
        <f aca="false">S_PT(N$2,$A23)</f>
        <v>0.29650174760503</v>
      </c>
      <c r="O23" s="0" t="n">
        <f aca="false">S_PT(O$2,$A23)</f>
        <v>0.296501540755072</v>
      </c>
      <c r="P23" s="0" t="n">
        <f aca="false">S_PT(P$2,$A23)</f>
        <v>0.296499472176705</v>
      </c>
      <c r="Q23" s="0" t="n">
        <f aca="false">S_PT(Q$2,$A23)</f>
        <v>0.296497403455092</v>
      </c>
      <c r="R23" s="0" t="n">
        <f aca="false">S_PT(R$2,$A23)</f>
        <v>0.296495334590243</v>
      </c>
      <c r="S23" s="0" t="n">
        <f aca="false">S_PT(S$2,$A23)</f>
        <v>0.296493265582166</v>
      </c>
      <c r="T23" s="0" t="n">
        <f aca="false">S_PT(T$2,$A23)</f>
        <v>0.296491196430868</v>
      </c>
      <c r="U23" s="0" t="n">
        <f aca="false">S_PT(U$2,$A23)</f>
        <v>0.29648912713636</v>
      </c>
      <c r="V23" s="0" t="n">
        <f aca="false">S_PT(V$2,$A23)</f>
        <v>0.296487057698648</v>
      </c>
      <c r="W23" s="0" t="n">
        <f aca="false">S_PT(W$2,$A23)</f>
        <v>0.296484988117742</v>
      </c>
      <c r="X23" s="0" t="n">
        <f aca="false">S_PT(X$2,$A23)</f>
        <v>0.29648291839365</v>
      </c>
      <c r="Y23" s="0" t="n">
        <f aca="false">S_PT(Y$2,$A23)</f>
        <v>0.29646221327937</v>
      </c>
      <c r="Z23" s="0" t="n">
        <f aca="false">S_PT(Z$2,$A23)</f>
        <v>0.296441493855824</v>
      </c>
      <c r="AA23" s="0" t="n">
        <f aca="false">S_PT(AA$2,$A23)</f>
        <v>0.296420760131492</v>
      </c>
      <c r="AB23" s="0" t="n">
        <f aca="false">S_PT(AB$2,$A23)</f>
        <v>0.296400012114851</v>
      </c>
      <c r="AC23" s="0" t="n">
        <f aca="false">S_PT(AC$2,$A23)</f>
        <v>0.296379249814376</v>
      </c>
      <c r="AD23" s="0" t="n">
        <f aca="false">S_PT(AD$2,$A23)</f>
        <v>0.29635847323854</v>
      </c>
      <c r="AE23" s="0" t="n">
        <f aca="false">S_PT(AE$2,$A23)</f>
        <v>0.296337682395815</v>
      </c>
      <c r="AF23" s="0" t="n">
        <f aca="false">S_PT(AF$2,$A23)</f>
        <v>0.296316877294673</v>
      </c>
      <c r="AG23" s="0" t="n">
        <f aca="false">S_PT(AG$2,$A23)</f>
        <v>0.29629605794358</v>
      </c>
      <c r="AH23" s="0" t="n">
        <f aca="false">S_PT(AH$2,$A23)</f>
        <v>0.296087082547259</v>
      </c>
      <c r="AI23" s="0" t="n">
        <f aca="false">S_PT(AI$2,$A23)</f>
        <v>0.295876691458381</v>
      </c>
      <c r="AJ23" s="0" t="n">
        <f aca="false">S_PT(AJ$2,$A23)</f>
        <v>0.295664893116116</v>
      </c>
      <c r="AK23" s="0" t="n">
        <f aca="false">S_PT(AK$2,$A23)</f>
        <v>0.295451695940901</v>
      </c>
      <c r="AL23" s="0" t="n">
        <f aca="false">S_PT(AL$2,$A23)</f>
        <v>0.295237108333713</v>
      </c>
      <c r="AM23" s="0" t="n">
        <f aca="false">S_PT(AM$2,$A23)</f>
        <v>0.29502113867536</v>
      </c>
      <c r="AN23" s="0" t="n">
        <f aca="false">S_PT(AN$2,$A23)</f>
        <v>0.294803795325792</v>
      </c>
      <c r="AO23" s="0" t="n">
        <f aca="false">S_PT(AO$2,$A23)</f>
        <v>0.29458508662343</v>
      </c>
      <c r="AP23" s="0" t="n">
        <f aca="false">S_PT(AP$2,$A23)</f>
        <v>0.294365020884509</v>
      </c>
      <c r="AQ23" s="0" t="n">
        <f aca="false">S_PT(AQ$2,$A23)</f>
        <v>0.29209153897115</v>
      </c>
      <c r="AR23" s="0" t="n">
        <f aca="false">S_PT(AR$2,$A23)</f>
        <v>0.291606263773256</v>
      </c>
      <c r="AS23" s="0" t="n">
        <f aca="false">S_PT(AS$2,$A23)</f>
        <v>0.291384418501257</v>
      </c>
    </row>
    <row r="24" customFormat="false" ht="13.8" hidden="false" customHeight="false" outlineLevel="0" collapsed="false">
      <c r="A24" s="0" t="n">
        <v>30</v>
      </c>
      <c r="B24" s="0" t="n">
        <f aca="false">S_PT(B$2,$A24)</f>
        <v>9.35054650732187</v>
      </c>
      <c r="C24" s="0" t="n">
        <f aca="false">S_PT(C$2,$A24)</f>
        <v>9.28055908227927</v>
      </c>
      <c r="D24" s="0" t="n">
        <f aca="false">S_PT(D$2,$A24)</f>
        <v>9.21977535195721</v>
      </c>
      <c r="E24" s="0" t="n">
        <f aca="false">S_PT(E$2,$A24)</f>
        <v>9.16605066365035</v>
      </c>
      <c r="F24" s="0" t="n">
        <f aca="false">S_PT(F$2,$A24)</f>
        <v>9.11791232628948</v>
      </c>
      <c r="G24" s="0" t="n">
        <f aca="false">S_PT(G$2,$A24)</f>
        <v>8.79962245818356</v>
      </c>
      <c r="H24" s="0" t="n">
        <f aca="false">S_PT(H$2,$A24)</f>
        <v>8.61225662458011</v>
      </c>
      <c r="I24" s="0" t="n">
        <f aca="false">S_PT(I$2,$A24)</f>
        <v>8.47869940043544</v>
      </c>
      <c r="J24" s="0" t="n">
        <f aca="false">S_PT(J$2,$A24)</f>
        <v>0.436792707960992</v>
      </c>
      <c r="K24" s="0" t="n">
        <f aca="false">S_PT(K$2,$A24)</f>
        <v>0.436792403825953</v>
      </c>
      <c r="L24" s="0" t="n">
        <f aca="false">S_PT(L$2,$A24)</f>
        <v>0.43679209969021</v>
      </c>
      <c r="M24" s="0" t="n">
        <f aca="false">S_PT(M$2,$A24)</f>
        <v>0.43679179555376</v>
      </c>
      <c r="N24" s="0" t="n">
        <f aca="false">S_PT(N$2,$A24)</f>
        <v>0.436791491416606</v>
      </c>
      <c r="O24" s="0" t="n">
        <f aca="false">S_PT(O$2,$A24)</f>
        <v>0.436791187278747</v>
      </c>
      <c r="P24" s="0" t="n">
        <f aca="false">S_PT(P$2,$A24)</f>
        <v>0.436788145861358</v>
      </c>
      <c r="Q24" s="0" t="n">
        <f aca="false">S_PT(Q$2,$A24)</f>
        <v>0.436785104373442</v>
      </c>
      <c r="R24" s="0" t="n">
        <f aca="false">S_PT(R$2,$A24)</f>
        <v>0.436782062815002</v>
      </c>
      <c r="S24" s="0" t="n">
        <f aca="false">S_PT(S$2,$A24)</f>
        <v>0.436779021186039</v>
      </c>
      <c r="T24" s="0" t="n">
        <f aca="false">S_PT(T$2,$A24)</f>
        <v>0.436775979486558</v>
      </c>
      <c r="U24" s="0" t="n">
        <f aca="false">S_PT(U$2,$A24)</f>
        <v>0.436772937716561</v>
      </c>
      <c r="V24" s="0" t="n">
        <f aca="false">S_PT(V$2,$A24)</f>
        <v>0.436769895876051</v>
      </c>
      <c r="W24" s="0" t="n">
        <f aca="false">S_PT(W$2,$A24)</f>
        <v>0.43676685396503</v>
      </c>
      <c r="X24" s="0" t="n">
        <f aca="false">S_PT(X$2,$A24)</f>
        <v>0.436763811983502</v>
      </c>
      <c r="Y24" s="0" t="n">
        <f aca="false">S_PT(Y$2,$A24)</f>
        <v>0.436733388290956</v>
      </c>
      <c r="Z24" s="0" t="n">
        <f aca="false">S_PT(Z$2,$A24)</f>
        <v>0.436702957550858</v>
      </c>
      <c r="AA24" s="0" t="n">
        <f aca="false">S_PT(AA$2,$A24)</f>
        <v>0.436672519766101</v>
      </c>
      <c r="AB24" s="0" t="n">
        <f aca="false">S_PT(AB$2,$A24)</f>
        <v>0.436642074939582</v>
      </c>
      <c r="AC24" s="0" t="n">
        <f aca="false">S_PT(AC$2,$A24)</f>
        <v>0.4366116230742</v>
      </c>
      <c r="AD24" s="0" t="n">
        <f aca="false">S_PT(AD$2,$A24)</f>
        <v>0.436581164172854</v>
      </c>
      <c r="AE24" s="0" t="n">
        <f aca="false">S_PT(AE$2,$A24)</f>
        <v>0.436550698238447</v>
      </c>
      <c r="AF24" s="0" t="n">
        <f aca="false">S_PT(AF$2,$A24)</f>
        <v>0.436520225273886</v>
      </c>
      <c r="AG24" s="0" t="n">
        <f aca="false">S_PT(AG$2,$A24)</f>
        <v>0.436489745282076</v>
      </c>
      <c r="AH24" s="0" t="n">
        <f aca="false">S_PT(AH$2,$A24)</f>
        <v>0.436184559506491</v>
      </c>
      <c r="AI24" s="0" t="n">
        <f aca="false">S_PT(AI$2,$A24)</f>
        <v>0.435878674220015</v>
      </c>
      <c r="AJ24" s="0" t="n">
        <f aca="false">S_PT(AJ$2,$A24)</f>
        <v>0.435572092364539</v>
      </c>
      <c r="AK24" s="0" t="n">
        <f aca="false">S_PT(AK$2,$A24)</f>
        <v>0.435264816901691</v>
      </c>
      <c r="AL24" s="0" t="n">
        <f aca="false">S_PT(AL$2,$A24)</f>
        <v>0.434956850811857</v>
      </c>
      <c r="AM24" s="0" t="n">
        <f aca="false">S_PT(AM$2,$A24)</f>
        <v>0.434648197093233</v>
      </c>
      <c r="AN24" s="0" t="n">
        <f aca="false">S_PT(AN$2,$A24)</f>
        <v>0.434338858760909</v>
      </c>
      <c r="AO24" s="0" t="n">
        <f aca="false">S_PT(AO$2,$A24)</f>
        <v>0.434028838845964</v>
      </c>
      <c r="AP24" s="0" t="n">
        <f aca="false">S_PT(AP$2,$A24)</f>
        <v>0.433718140394594</v>
      </c>
      <c r="AQ24" s="0" t="n">
        <f aca="false">S_PT(AQ$2,$A24)</f>
        <v>0.430574515711564</v>
      </c>
      <c r="AR24" s="0" t="n">
        <f aca="false">S_PT(AR$2,$A24)</f>
        <v>0.429917566629901</v>
      </c>
      <c r="AS24" s="0" t="n">
        <f aca="false">S_PT(AS$2,$A24)</f>
        <v>0.429618725974557</v>
      </c>
    </row>
    <row r="25" customFormat="false" ht="13.8" hidden="false" customHeight="false" outlineLevel="0" collapsed="false">
      <c r="A25" s="0" t="n">
        <v>40</v>
      </c>
      <c r="B25" s="0" t="n">
        <f aca="false">S_PT(B$2,$A25)</f>
        <v>9.41126442044041</v>
      </c>
      <c r="C25" s="0" t="n">
        <f aca="false">S_PT(C$2,$A25)</f>
        <v>9.3412976175136</v>
      </c>
      <c r="D25" s="0" t="n">
        <f aca="false">S_PT(D$2,$A25)</f>
        <v>9.28053476482521</v>
      </c>
      <c r="E25" s="0" t="n">
        <f aca="false">S_PT(E$2,$A25)</f>
        <v>9.22683123460876</v>
      </c>
      <c r="F25" s="0" t="n">
        <f aca="false">S_PT(F$2,$A25)</f>
        <v>9.17871436073402</v>
      </c>
      <c r="G25" s="0" t="n">
        <f aca="false">S_PT(G$2,$A25)</f>
        <v>8.8606614108962</v>
      </c>
      <c r="H25" s="0" t="n">
        <f aca="false">S_PT(H$2,$A25)</f>
        <v>8.67359046920432</v>
      </c>
      <c r="I25" s="0" t="n">
        <f aca="false">S_PT(I$2,$A25)</f>
        <v>8.54041105455935</v>
      </c>
      <c r="J25" s="0" t="n">
        <f aca="false">S_PT(J$2,$A25)</f>
        <v>8.43680993590104</v>
      </c>
      <c r="K25" s="0" t="n">
        <f aca="false">S_PT(K$2,$A25)</f>
        <v>8.3519239840663</v>
      </c>
      <c r="L25" s="0" t="n">
        <f aca="false">S_PT(L$2,$A25)</f>
        <v>8.27994612455633</v>
      </c>
      <c r="M25" s="0" t="n">
        <f aca="false">S_PT(M$2,$A25)</f>
        <v>0.572429359164508</v>
      </c>
      <c r="N25" s="0" t="n">
        <f aca="false">S_PT(N$2,$A25)</f>
        <v>0.572428971213006</v>
      </c>
      <c r="O25" s="0" t="n">
        <f aca="false">S_PT(O$2,$A25)</f>
        <v>0.57242858326137</v>
      </c>
      <c r="P25" s="0" t="n">
        <f aca="false">S_PT(P$2,$A25)</f>
        <v>0.572424703737558</v>
      </c>
      <c r="Q25" s="0" t="n">
        <f aca="false">S_PT(Q$2,$A25)</f>
        <v>0.572420824200204</v>
      </c>
      <c r="R25" s="0" t="n">
        <f aca="false">S_PT(R$2,$A25)</f>
        <v>0.572416944649306</v>
      </c>
      <c r="S25" s="0" t="n">
        <f aca="false">S_PT(S$2,$A25)</f>
        <v>0.572413065084864</v>
      </c>
      <c r="T25" s="0" t="n">
        <f aca="false">S_PT(T$2,$A25)</f>
        <v>0.572409185506874</v>
      </c>
      <c r="U25" s="0" t="n">
        <f aca="false">S_PT(U$2,$A25)</f>
        <v>0.572405305915338</v>
      </c>
      <c r="V25" s="0" t="n">
        <f aca="false">S_PT(V$2,$A25)</f>
        <v>0.572401426310252</v>
      </c>
      <c r="W25" s="0" t="n">
        <f aca="false">S_PT(W$2,$A25)</f>
        <v>0.572397546691616</v>
      </c>
      <c r="X25" s="0" t="n">
        <f aca="false">S_PT(X$2,$A25)</f>
        <v>0.572393667059429</v>
      </c>
      <c r="Y25" s="0" t="n">
        <f aca="false">S_PT(Y$2,$A25)</f>
        <v>0.572354869991919</v>
      </c>
      <c r="Z25" s="0" t="n">
        <f aca="false">S_PT(Z$2,$A25)</f>
        <v>0.572316071567782</v>
      </c>
      <c r="AA25" s="0" t="n">
        <f aca="false">S_PT(AA$2,$A25)</f>
        <v>0.572277271785688</v>
      </c>
      <c r="AB25" s="0" t="n">
        <f aca="false">S_PT(AB$2,$A25)</f>
        <v>0.572238470644318</v>
      </c>
      <c r="AC25" s="0" t="n">
        <f aca="false">S_PT(AC$2,$A25)</f>
        <v>0.572199668142355</v>
      </c>
      <c r="AD25" s="0" t="n">
        <f aca="false">S_PT(AD$2,$A25)</f>
        <v>0.572160864278489</v>
      </c>
      <c r="AE25" s="0" t="n">
        <f aca="false">S_PT(AE$2,$A25)</f>
        <v>0.572122059051416</v>
      </c>
      <c r="AF25" s="0" t="n">
        <f aca="false">S_PT(AF$2,$A25)</f>
        <v>0.572083252459835</v>
      </c>
      <c r="AG25" s="0" t="n">
        <f aca="false">S_PT(AG$2,$A25)</f>
        <v>0.572044444502453</v>
      </c>
      <c r="AH25" s="0" t="n">
        <f aca="false">S_PT(AH$2,$A25)</f>
        <v>0.571656289528746</v>
      </c>
      <c r="AI25" s="0" t="n">
        <f aca="false">S_PT(AI$2,$A25)</f>
        <v>0.571267996591331</v>
      </c>
      <c r="AJ25" s="0" t="n">
        <f aca="false">S_PT(AJ$2,$A25)</f>
        <v>0.570879564483699</v>
      </c>
      <c r="AK25" s="0" t="n">
        <f aca="false">S_PT(AK$2,$A25)</f>
        <v>0.570490992050696</v>
      </c>
      <c r="AL25" s="0" t="n">
        <f aca="false">S_PT(AL$2,$A25)</f>
        <v>0.570102278187223</v>
      </c>
      <c r="AM25" s="0" t="n">
        <f aca="false">S_PT(AM$2,$A25)</f>
        <v>0.569713421836979</v>
      </c>
      <c r="AN25" s="0" t="n">
        <f aca="false">S_PT(AN$2,$A25)</f>
        <v>0.569324421991228</v>
      </c>
      <c r="AO25" s="0" t="n">
        <f aca="false">S_PT(AO$2,$A25)</f>
        <v>0.568935277687604</v>
      </c>
      <c r="AP25" s="0" t="n">
        <f aca="false">S_PT(AP$2,$A25)</f>
        <v>0.568545988008946</v>
      </c>
      <c r="AQ25" s="0" t="n">
        <f aca="false">S_PT(AQ$2,$A25)</f>
        <v>0.564644923959822</v>
      </c>
      <c r="AR25" s="0" t="n">
        <f aca="false">S_PT(AR$2,$A25)</f>
        <v>0.563837884837522</v>
      </c>
      <c r="AS25" s="0" t="n">
        <f aca="false">S_PT(AS$2,$A25)</f>
        <v>0.563471655930445</v>
      </c>
    </row>
    <row r="26" customFormat="false" ht="13.8" hidden="false" customHeight="false" outlineLevel="0" collapsed="false">
      <c r="A26" s="0" t="n">
        <v>50</v>
      </c>
      <c r="B26" s="0" t="n">
        <f aca="false">S_PT(B$2,$A26)</f>
        <v>9.47013577593071</v>
      </c>
      <c r="C26" s="0" t="n">
        <f aca="false">S_PT(C$2,$A26)</f>
        <v>9.40018433024326</v>
      </c>
      <c r="D26" s="0" t="n">
        <f aca="false">S_PT(D$2,$A26)</f>
        <v>9.3394368893188</v>
      </c>
      <c r="E26" s="0" t="n">
        <f aca="false">S_PT(E$2,$A26)</f>
        <v>9.28574883050667</v>
      </c>
      <c r="F26" s="0" t="n">
        <f aca="false">S_PT(F$2,$A26)</f>
        <v>9.23764749279243</v>
      </c>
      <c r="G26" s="0" t="n">
        <f aca="false">S_PT(G$2,$A26)</f>
        <v>8.91975459164567</v>
      </c>
      <c r="H26" s="0" t="n">
        <f aca="false">S_PT(H$2,$A26)</f>
        <v>8.73285580191603</v>
      </c>
      <c r="I26" s="0" t="n">
        <f aca="false">S_PT(I$2,$A26)</f>
        <v>8.5998657593468</v>
      </c>
      <c r="J26" s="0" t="n">
        <f aca="false">S_PT(J$2,$A26)</f>
        <v>8.49647635141604</v>
      </c>
      <c r="K26" s="0" t="n">
        <f aca="false">S_PT(K$2,$A26)</f>
        <v>8.41182957046169</v>
      </c>
      <c r="L26" s="0" t="n">
        <f aca="false">S_PT(L$2,$A26)</f>
        <v>8.34012346807631</v>
      </c>
      <c r="M26" s="0" t="n">
        <f aca="false">S_PT(M$2,$A26)</f>
        <v>8.27789054306471</v>
      </c>
      <c r="N26" s="0" t="n">
        <f aca="false">S_PT(N$2,$A26)</f>
        <v>8.22289198317184</v>
      </c>
      <c r="O26" s="0" t="n">
        <f aca="false">S_PT(O$2,$A26)</f>
        <v>8.17359781987725</v>
      </c>
      <c r="P26" s="0" t="n">
        <f aca="false">S_PT(P$2,$A26)</f>
        <v>0.703790358136343</v>
      </c>
      <c r="Q26" s="0" t="n">
        <f aca="false">S_PT(Q$2,$A26)</f>
        <v>0.703785728472662</v>
      </c>
      <c r="R26" s="0" t="n">
        <f aca="false">S_PT(R$2,$A26)</f>
        <v>0.703781098842661</v>
      </c>
      <c r="S26" s="0" t="n">
        <f aca="false">S_PT(S$2,$A26)</f>
        <v>0.703776469246334</v>
      </c>
      <c r="T26" s="0" t="n">
        <f aca="false">S_PT(T$2,$A26)</f>
        <v>0.703771839683678</v>
      </c>
      <c r="U26" s="0" t="n">
        <f aca="false">S_PT(U$2,$A26)</f>
        <v>0.703767210154687</v>
      </c>
      <c r="V26" s="0" t="n">
        <f aca="false">S_PT(V$2,$A26)</f>
        <v>0.703762580659356</v>
      </c>
      <c r="W26" s="0" t="n">
        <f aca="false">S_PT(W$2,$A26)</f>
        <v>0.703757951197681</v>
      </c>
      <c r="X26" s="0" t="n">
        <f aca="false">S_PT(X$2,$A26)</f>
        <v>0.703753321769657</v>
      </c>
      <c r="Y26" s="0" t="n">
        <f aca="false">S_PT(Y$2,$A26)</f>
        <v>0.703707029339167</v>
      </c>
      <c r="Z26" s="0" t="n">
        <f aca="false">S_PT(Z$2,$A26)</f>
        <v>0.703660740268528</v>
      </c>
      <c r="AA26" s="0" t="n">
        <f aca="false">S_PT(AA$2,$A26)</f>
        <v>0.70361445455298</v>
      </c>
      <c r="AB26" s="0" t="n">
        <f aca="false">S_PT(AB$2,$A26)</f>
        <v>0.703568172187776</v>
      </c>
      <c r="AC26" s="0" t="n">
        <f aca="false">S_PT(AC$2,$A26)</f>
        <v>0.703521893168175</v>
      </c>
      <c r="AD26" s="0" t="n">
        <f aca="false">S_PT(AD$2,$A26)</f>
        <v>0.703475617489445</v>
      </c>
      <c r="AE26" s="0" t="n">
        <f aca="false">S_PT(AE$2,$A26)</f>
        <v>0.703429345146861</v>
      </c>
      <c r="AF26" s="0" t="n">
        <f aca="false">S_PT(AF$2,$A26)</f>
        <v>0.70338307613571</v>
      </c>
      <c r="AG26" s="0" t="n">
        <f aca="false">S_PT(AG$2,$A26)</f>
        <v>0.703336810451285</v>
      </c>
      <c r="AH26" s="0" t="n">
        <f aca="false">S_PT(AH$2,$A26)</f>
        <v>0.702874335547523</v>
      </c>
      <c r="AI26" s="0" t="n">
        <f aca="false">S_PT(AI$2,$A26)</f>
        <v>0.702412188201262</v>
      </c>
      <c r="AJ26" s="0" t="n">
        <f aca="false">S_PT(AJ$2,$A26)</f>
        <v>0.701950363842745</v>
      </c>
      <c r="AK26" s="0" t="n">
        <f aca="false">S_PT(AK$2,$A26)</f>
        <v>0.701488857982912</v>
      </c>
      <c r="AL26" s="0" t="n">
        <f aca="false">S_PT(AL$2,$A26)</f>
        <v>0.701027666211676</v>
      </c>
      <c r="AM26" s="0" t="n">
        <f aca="false">S_PT(AM$2,$A26)</f>
        <v>0.700566784196249</v>
      </c>
      <c r="AN26" s="0" t="n">
        <f aca="false">S_PT(AN$2,$A26)</f>
        <v>0.700106207679514</v>
      </c>
      <c r="AO26" s="0" t="n">
        <f aca="false">S_PT(AO$2,$A26)</f>
        <v>0.699645932478431</v>
      </c>
      <c r="AP26" s="0" t="n">
        <f aca="false">S_PT(AP$2,$A26)</f>
        <v>0.699185954482495</v>
      </c>
      <c r="AQ26" s="0" t="n">
        <f aca="false">S_PT(AQ$2,$A26)</f>
        <v>0.694601665459601</v>
      </c>
      <c r="AR26" s="0" t="n">
        <f aca="false">S_PT(AR$2,$A26)</f>
        <v>0.693658804448632</v>
      </c>
      <c r="AS26" s="0" t="n">
        <f aca="false">S_PT(AS$2,$A26)</f>
        <v>0.693231544418989</v>
      </c>
    </row>
    <row r="27" customFormat="false" ht="13.8" hidden="false" customHeight="false" outlineLevel="0" collapsed="false">
      <c r="A27" s="0" t="n">
        <v>60</v>
      </c>
      <c r="B27" s="0" t="n">
        <f aca="false">S_PT(B$2,$A27)</f>
        <v>9.52728746074632</v>
      </c>
      <c r="C27" s="0" t="n">
        <f aca="false">S_PT(C$2,$A27)</f>
        <v>9.45734787109739</v>
      </c>
      <c r="D27" s="0" t="n">
        <f aca="false">S_PT(D$2,$A27)</f>
        <v>9.39661229961785</v>
      </c>
      <c r="E27" s="0" t="n">
        <f aca="false">S_PT(E$2,$A27)</f>
        <v>9.34293612473871</v>
      </c>
      <c r="F27" s="0" t="n">
        <f aca="false">S_PT(F$2,$A27)</f>
        <v>9.29484668652724</v>
      </c>
      <c r="G27" s="0" t="n">
        <f aca="false">S_PT(G$2,$A27)</f>
        <v>8.977073874721</v>
      </c>
      <c r="H27" s="0" t="n">
        <f aca="false">S_PT(H$2,$A27)</f>
        <v>8.79029792122297</v>
      </c>
      <c r="I27" s="0" t="n">
        <f aca="false">S_PT(I$2,$A27)</f>
        <v>8.65743454368455</v>
      </c>
      <c r="J27" s="0" t="n">
        <f aca="false">S_PT(J$2,$A27)</f>
        <v>8.55417671185046</v>
      </c>
      <c r="K27" s="0" t="n">
        <f aca="false">S_PT(K$2,$A27)</f>
        <v>8.46966750095175</v>
      </c>
      <c r="L27" s="0" t="n">
        <f aca="false">S_PT(L$2,$A27)</f>
        <v>8.39810604644463</v>
      </c>
      <c r="M27" s="0" t="n">
        <f aca="false">S_PT(M$2,$A27)</f>
        <v>8.33602593238859</v>
      </c>
      <c r="N27" s="0" t="n">
        <f aca="false">S_PT(N$2,$A27)</f>
        <v>8.28118943367087</v>
      </c>
      <c r="O27" s="0" t="n">
        <f aca="false">S_PT(O$2,$A27)</f>
        <v>8.23206767137409</v>
      </c>
      <c r="P27" s="0" t="n">
        <f aca="false">S_PT(P$2,$A27)</f>
        <v>0.831216217103261</v>
      </c>
      <c r="Q27" s="0" t="n">
        <f aca="false">S_PT(Q$2,$A27)</f>
        <v>0.831210895868004</v>
      </c>
      <c r="R27" s="0" t="n">
        <f aca="false">S_PT(R$2,$A27)</f>
        <v>0.831205574707644</v>
      </c>
      <c r="S27" s="0" t="n">
        <f aca="false">S_PT(S$2,$A27)</f>
        <v>0.831200253622174</v>
      </c>
      <c r="T27" s="0" t="n">
        <f aca="false">S_PT(T$2,$A27)</f>
        <v>0.831194932611588</v>
      </c>
      <c r="U27" s="0" t="n">
        <f aca="false">S_PT(U$2,$A27)</f>
        <v>0.831189611675877</v>
      </c>
      <c r="V27" s="0" t="n">
        <f aca="false">S_PT(V$2,$A27)</f>
        <v>0.831184290815032</v>
      </c>
      <c r="W27" s="0" t="n">
        <f aca="false">S_PT(W$2,$A27)</f>
        <v>0.831178970029047</v>
      </c>
      <c r="X27" s="0" t="n">
        <f aca="false">S_PT(X$2,$A27)</f>
        <v>0.831173649317914</v>
      </c>
      <c r="Y27" s="0" t="n">
        <f aca="false">S_PT(Y$2,$A27)</f>
        <v>0.831120446321703</v>
      </c>
      <c r="Z27" s="0" t="n">
        <f aca="false">S_PT(Z$2,$A27)</f>
        <v>0.831067250802077</v>
      </c>
      <c r="AA27" s="0" t="n">
        <f aca="false">S_PT(AA$2,$A27)</f>
        <v>0.831014062751249</v>
      </c>
      <c r="AB27" s="0" t="n">
        <f aca="false">S_PT(AB$2,$A27)</f>
        <v>0.83096088216145</v>
      </c>
      <c r="AC27" s="0" t="n">
        <f aca="false">S_PT(AC$2,$A27)</f>
        <v>0.830907709024918</v>
      </c>
      <c r="AD27" s="0" t="n">
        <f aca="false">S_PT(AD$2,$A27)</f>
        <v>0.830854543333903</v>
      </c>
      <c r="AE27" s="0" t="n">
        <f aca="false">S_PT(AE$2,$A27)</f>
        <v>0.830801385080668</v>
      </c>
      <c r="AF27" s="0" t="n">
        <f aca="false">S_PT(AF$2,$A27)</f>
        <v>0.830748234257489</v>
      </c>
      <c r="AG27" s="0" t="n">
        <f aca="false">S_PT(AG$2,$A27)</f>
        <v>0.83069509085665</v>
      </c>
      <c r="AH27" s="0" t="n">
        <f aca="false">S_PT(AH$2,$A27)</f>
        <v>0.830164063388158</v>
      </c>
      <c r="AI27" s="0" t="n">
        <f aca="false">S_PT(AI$2,$A27)</f>
        <v>0.829633769753673</v>
      </c>
      <c r="AJ27" s="0" t="n">
        <f aca="false">S_PT(AJ$2,$A27)</f>
        <v>0.829104202427287</v>
      </c>
      <c r="AK27" s="0" t="n">
        <f aca="false">S_PT(AK$2,$A27)</f>
        <v>0.828575353994215</v>
      </c>
      <c r="AL27" s="0" t="n">
        <f aca="false">S_PT(AL$2,$A27)</f>
        <v>0.828047217148512</v>
      </c>
      <c r="AM27" s="0" t="n">
        <f aca="false">S_PT(AM$2,$A27)</f>
        <v>0.827519784690858</v>
      </c>
      <c r="AN27" s="0" t="n">
        <f aca="false">S_PT(AN$2,$A27)</f>
        <v>0.826993049526402</v>
      </c>
      <c r="AO27" s="0" t="n">
        <f aca="false">S_PT(AO$2,$A27)</f>
        <v>0.826467004662655</v>
      </c>
      <c r="AP27" s="0" t="n">
        <f aca="false">S_PT(AP$2,$A27)</f>
        <v>0.82594164320744</v>
      </c>
      <c r="AQ27" s="0" t="n">
        <f aca="false">S_PT(AQ$2,$A27)</f>
        <v>0.820724167736972</v>
      </c>
      <c r="AR27" s="0" t="n">
        <f aca="false">S_PT(AR$2,$A27)</f>
        <v>0.819655153445847</v>
      </c>
      <c r="AS27" s="0" t="n">
        <f aca="false">S_PT(AS$2,$A27)</f>
        <v>0.819171175428413</v>
      </c>
    </row>
    <row r="28" customFormat="false" ht="13.8" hidden="false" customHeight="false" outlineLevel="0" collapsed="false">
      <c r="A28" s="0" t="n">
        <v>70</v>
      </c>
      <c r="B28" s="0" t="n">
        <f aca="false">S_PT(B$2,$A28)</f>
        <v>9.58283298227395</v>
      </c>
      <c r="C28" s="0" t="n">
        <f aca="false">S_PT(C$2,$A28)</f>
        <v>9.51290268736639</v>
      </c>
      <c r="D28" s="0" t="n">
        <f aca="false">S_PT(D$2,$A28)</f>
        <v>9.45217641498432</v>
      </c>
      <c r="E28" s="0" t="n">
        <f aca="false">S_PT(E$2,$A28)</f>
        <v>9.39850954379395</v>
      </c>
      <c r="F28" s="0" t="n">
        <f aca="false">S_PT(F$2,$A28)</f>
        <v>9.35042941409777</v>
      </c>
      <c r="G28" s="0" t="n">
        <f aca="false">S_PT(G$2,$A28)</f>
        <v>9.03275000464727</v>
      </c>
      <c r="H28" s="0" t="n">
        <f aca="false">S_PT(H$2,$A28)</f>
        <v>8.84606819488936</v>
      </c>
      <c r="I28" s="0" t="n">
        <f aca="false">S_PT(I$2,$A28)</f>
        <v>8.71329993772455</v>
      </c>
      <c r="J28" s="0" t="n">
        <f aca="false">S_PT(J$2,$A28)</f>
        <v>8.61013843822468</v>
      </c>
      <c r="K28" s="0" t="n">
        <f aca="false">S_PT(K$2,$A28)</f>
        <v>8.52572700708413</v>
      </c>
      <c r="L28" s="0" t="n">
        <f aca="false">S_PT(L$2,$A28)</f>
        <v>8.45426501543346</v>
      </c>
      <c r="M28" s="0" t="n">
        <f aca="false">S_PT(M$2,$A28)</f>
        <v>8.39228628330893</v>
      </c>
      <c r="N28" s="0" t="n">
        <f aca="false">S_PT(N$2,$A28)</f>
        <v>8.33755332198502</v>
      </c>
      <c r="O28" s="0" t="n">
        <f aca="false">S_PT(O$2,$A28)</f>
        <v>8.28853748946661</v>
      </c>
      <c r="P28" s="0" t="n">
        <f aca="false">S_PT(P$2,$A28)</f>
        <v>7.96432633783012</v>
      </c>
      <c r="Q28" s="0" t="n">
        <f aca="false">S_PT(Q$2,$A28)</f>
        <v>7.77250269827729</v>
      </c>
      <c r="R28" s="0" t="n">
        <f aca="false">S_PT(R$2,$A28)</f>
        <v>0.95498737610664</v>
      </c>
      <c r="S28" s="0" t="n">
        <f aca="false">S_PT(S$2,$A28)</f>
        <v>0.954981401984647</v>
      </c>
      <c r="T28" s="0" t="n">
        <f aca="false">S_PT(T$2,$A28)</f>
        <v>0.954975427975283</v>
      </c>
      <c r="U28" s="0" t="n">
        <f aca="false">S_PT(U$2,$A28)</f>
        <v>0.954969454078539</v>
      </c>
      <c r="V28" s="0" t="n">
        <f aca="false">S_PT(V$2,$A28)</f>
        <v>0.954963480294403</v>
      </c>
      <c r="W28" s="0" t="n">
        <f aca="false">S_PT(W$2,$A28)</f>
        <v>0.954957506622864</v>
      </c>
      <c r="X28" s="0" t="n">
        <f aca="false">S_PT(X$2,$A28)</f>
        <v>0.954951533063913</v>
      </c>
      <c r="Y28" s="0" t="n">
        <f aca="false">S_PT(Y$2,$A28)</f>
        <v>0.954891803664318</v>
      </c>
      <c r="Z28" s="0" t="n">
        <f aca="false">S_PT(Z$2,$A28)</f>
        <v>0.95483208551164</v>
      </c>
      <c r="AA28" s="0" t="n">
        <f aca="false">S_PT(AA$2,$A28)</f>
        <v>0.954772378595195</v>
      </c>
      <c r="AB28" s="0" t="n">
        <f aca="false">S_PT(AB$2,$A28)</f>
        <v>0.954712682904314</v>
      </c>
      <c r="AC28" s="0" t="n">
        <f aca="false">S_PT(AC$2,$A28)</f>
        <v>0.954652998428344</v>
      </c>
      <c r="AD28" s="0" t="n">
        <f aca="false">S_PT(AD$2,$A28)</f>
        <v>0.954593325156648</v>
      </c>
      <c r="AE28" s="0" t="n">
        <f aca="false">S_PT(AE$2,$A28)</f>
        <v>0.954533663078602</v>
      </c>
      <c r="AF28" s="0" t="n">
        <f aca="false">S_PT(AF$2,$A28)</f>
        <v>0.9544740121836</v>
      </c>
      <c r="AG28" s="0" t="n">
        <f aca="false">S_PT(AG$2,$A28)</f>
        <v>0.954414372461049</v>
      </c>
      <c r="AH28" s="0" t="n">
        <f aca="false">S_PT(AH$2,$A28)</f>
        <v>0.953818587400948</v>
      </c>
      <c r="AI28" s="0" t="n">
        <f aca="false">S_PT(AI$2,$A28)</f>
        <v>0.953223908046619</v>
      </c>
      <c r="AJ28" s="0" t="n">
        <f aca="false">S_PT(AJ$2,$A28)</f>
        <v>0.952630324052403</v>
      </c>
      <c r="AK28" s="0" t="n">
        <f aca="false">S_PT(AK$2,$A28)</f>
        <v>0.952037825218095</v>
      </c>
      <c r="AL28" s="0" t="n">
        <f aca="false">S_PT(AL$2,$A28)</f>
        <v>0.951446401485944</v>
      </c>
      <c r="AM28" s="0" t="n">
        <f aca="false">S_PT(AM$2,$A28)</f>
        <v>0.950856042937718</v>
      </c>
      <c r="AN28" s="0" t="n">
        <f aca="false">S_PT(AN$2,$A28)</f>
        <v>0.950266739791858</v>
      </c>
      <c r="AO28" s="0" t="n">
        <f aca="false">S_PT(AO$2,$A28)</f>
        <v>0.949678482400694</v>
      </c>
      <c r="AP28" s="0" t="n">
        <f aca="false">S_PT(AP$2,$A28)</f>
        <v>0.949091261247747</v>
      </c>
      <c r="AQ28" s="0" t="n">
        <f aca="false">S_PT(AQ$2,$A28)</f>
        <v>0.943274037926264</v>
      </c>
      <c r="AR28" s="0" t="n">
        <f aca="false">S_PT(AR$2,$A28)</f>
        <v>0.942085374090944</v>
      </c>
      <c r="AS28" s="0" t="n">
        <f aca="false">S_PT(AS$2,$A28)</f>
        <v>0.941547583937016</v>
      </c>
    </row>
    <row r="29" customFormat="false" ht="13.8" hidden="false" customHeight="false" outlineLevel="0" collapsed="false">
      <c r="A29" s="0" t="n">
        <v>80</v>
      </c>
      <c r="B29" s="0" t="n">
        <f aca="false">S_PT(B$2,$A29)</f>
        <v>9.63687486275936</v>
      </c>
      <c r="C29" s="0" t="n">
        <f aca="false">S_PT(C$2,$A29)</f>
        <v>9.56695192605091</v>
      </c>
      <c r="D29" s="0" t="n">
        <f aca="false">S_PT(D$2,$A29)</f>
        <v>9.50623301391433</v>
      </c>
      <c r="E29" s="0" t="n">
        <f aca="false">S_PT(E$2,$A29)</f>
        <v>9.45257350506833</v>
      </c>
      <c r="F29" s="0" t="n">
        <f aca="false">S_PT(F$2,$A29)</f>
        <v>9.40450073986786</v>
      </c>
      <c r="G29" s="0" t="n">
        <f aca="false">S_PT(G$2,$A29)</f>
        <v>9.08689510524568</v>
      </c>
      <c r="H29" s="0" t="n">
        <f aca="false">S_PT(H$2,$A29)</f>
        <v>8.90028734318672</v>
      </c>
      <c r="I29" s="0" t="n">
        <f aca="false">S_PT(I$2,$A29)</f>
        <v>8.76759345908626</v>
      </c>
      <c r="J29" s="0" t="n">
        <f aca="false">S_PT(J$2,$A29)</f>
        <v>8.66450671052828</v>
      </c>
      <c r="K29" s="0" t="n">
        <f aca="false">S_PT(K$2,$A29)</f>
        <v>8.58017046074969</v>
      </c>
      <c r="L29" s="0" t="n">
        <f aca="false">S_PT(L$2,$A29)</f>
        <v>8.50878413347068</v>
      </c>
      <c r="M29" s="0" t="n">
        <f aca="false">S_PT(M$2,$A29)</f>
        <v>8.4468816013846</v>
      </c>
      <c r="N29" s="0" t="n">
        <f aca="false">S_PT(N$2,$A29)</f>
        <v>8.3922254285146</v>
      </c>
      <c r="O29" s="0" t="n">
        <f aca="false">S_PT(O$2,$A29)</f>
        <v>8.34328702573361</v>
      </c>
      <c r="P29" s="0" t="n">
        <f aca="false">S_PT(P$2,$A29)</f>
        <v>8.01989723257471</v>
      </c>
      <c r="Q29" s="0" t="n">
        <f aca="false">S_PT(Q$2,$A29)</f>
        <v>7.82901981034859</v>
      </c>
      <c r="R29" s="0" t="n">
        <f aca="false">S_PT(R$2,$A29)</f>
        <v>7.6923573301126</v>
      </c>
      <c r="S29" s="0" t="n">
        <f aca="false">S_PT(S$2,$A29)</f>
        <v>1.07538969483576</v>
      </c>
      <c r="T29" s="0" t="n">
        <f aca="false">S_PT(T$2,$A29)</f>
        <v>1.07538309138028</v>
      </c>
      <c r="U29" s="0" t="n">
        <f aca="false">S_PT(U$2,$A29)</f>
        <v>1.07537648807355</v>
      </c>
      <c r="V29" s="0" t="n">
        <f aca="false">S_PT(V$2,$A29)</f>
        <v>1.07536988491557</v>
      </c>
      <c r="W29" s="0" t="n">
        <f aca="false">S_PT(W$2,$A29)</f>
        <v>1.07536328190632</v>
      </c>
      <c r="X29" s="0" t="n">
        <f aca="false">S_PT(X$2,$A29)</f>
        <v>1.07535667904578</v>
      </c>
      <c r="Y29" s="0" t="n">
        <f aca="false">S_PT(Y$2,$A29)</f>
        <v>1.07529065861665</v>
      </c>
      <c r="Z29" s="0" t="n">
        <f aca="false">S_PT(Z$2,$A29)</f>
        <v>1.0752246530439</v>
      </c>
      <c r="AA29" s="0" t="n">
        <f aca="false">S_PT(AA$2,$A29)</f>
        <v>1.07515866231386</v>
      </c>
      <c r="AB29" s="0" t="n">
        <f aca="false">S_PT(AB$2,$A29)</f>
        <v>1.07509268641288</v>
      </c>
      <c r="AC29" s="0" t="n">
        <f aca="false">S_PT(AC$2,$A29)</f>
        <v>1.0750267253273</v>
      </c>
      <c r="AD29" s="0" t="n">
        <f aca="false">S_PT(AD$2,$A29)</f>
        <v>1.07496077904353</v>
      </c>
      <c r="AE29" s="0" t="n">
        <f aca="false">S_PT(AE$2,$A29)</f>
        <v>1.07489484754796</v>
      </c>
      <c r="AF29" s="0" t="n">
        <f aca="false">S_PT(AF$2,$A29)</f>
        <v>1.07482893082701</v>
      </c>
      <c r="AG29" s="0" t="n">
        <f aca="false">S_PT(AG$2,$A29)</f>
        <v>1.07476302886714</v>
      </c>
      <c r="AH29" s="0" t="n">
        <f aca="false">S_PT(AH$2,$A29)</f>
        <v>1.07410481815843</v>
      </c>
      <c r="AI29" s="0" t="n">
        <f aca="false">S_PT(AI$2,$A29)</f>
        <v>1.07344806878713</v>
      </c>
      <c r="AJ29" s="0" t="n">
        <f aca="false">S_PT(AJ$2,$A29)</f>
        <v>1.07279276751207</v>
      </c>
      <c r="AK29" s="0" t="n">
        <f aca="false">S_PT(AK$2,$A29)</f>
        <v>1.07213890127851</v>
      </c>
      <c r="AL29" s="0" t="n">
        <f aca="false">S_PT(AL$2,$A29)</f>
        <v>1.07148645721425</v>
      </c>
      <c r="AM29" s="0" t="n">
        <f aca="false">S_PT(AM$2,$A29)</f>
        <v>1.07083542262572</v>
      </c>
      <c r="AN29" s="0" t="n">
        <f aca="false">S_PT(AN$2,$A29)</f>
        <v>1.07018578499424</v>
      </c>
      <c r="AO29" s="0" t="n">
        <f aca="false">S_PT(AO$2,$A29)</f>
        <v>1.06953753197233</v>
      </c>
      <c r="AP29" s="0" t="n">
        <f aca="false">S_PT(AP$2,$A29)</f>
        <v>1.06889065138018</v>
      </c>
      <c r="AQ29" s="0" t="n">
        <f aca="false">S_PT(AQ$2,$A29)</f>
        <v>1.0624947627184</v>
      </c>
      <c r="AR29" s="0" t="n">
        <f aca="false">S_PT(AR$2,$A29)</f>
        <v>1.06119059200747</v>
      </c>
      <c r="AS29" s="0" t="n">
        <f aca="false">S_PT(AS$2,$A29)</f>
        <v>1.0606008450403</v>
      </c>
    </row>
    <row r="30" customFormat="false" ht="13.8" hidden="false" customHeight="false" outlineLevel="0" collapsed="false">
      <c r="A30" s="0" t="n">
        <v>90</v>
      </c>
      <c r="B30" s="0" t="n">
        <f aca="false">S_PT(B$2,$A30)</f>
        <v>9.68950607254041</v>
      </c>
      <c r="C30" s="0" t="n">
        <f aca="false">S_PT(C$2,$A30)</f>
        <v>9.61958900856397</v>
      </c>
      <c r="D30" s="0" t="n">
        <f aca="false">S_PT(D$2,$A30)</f>
        <v>9.55887597042569</v>
      </c>
      <c r="E30" s="0" t="n">
        <f aca="false">S_PT(E$2,$A30)</f>
        <v>9.50522233685626</v>
      </c>
      <c r="F30" s="0" t="n">
        <f aca="false">S_PT(F$2,$A30)</f>
        <v>9.45715544822264</v>
      </c>
      <c r="G30" s="0" t="n">
        <f aca="false">S_PT(G$2,$A30)</f>
        <v>9.1396086528737</v>
      </c>
      <c r="H30" s="0" t="n">
        <f aca="false">S_PT(H$2,$A30)</f>
        <v>8.95305987231399</v>
      </c>
      <c r="I30" s="0" t="n">
        <f aca="false">S_PT(I$2,$A30)</f>
        <v>8.82042512393925</v>
      </c>
      <c r="J30" s="0" t="n">
        <f aca="false">S_PT(J$2,$A30)</f>
        <v>8.71739767733791</v>
      </c>
      <c r="K30" s="0" t="n">
        <f aca="false">S_PT(K$2,$A30)</f>
        <v>8.63312090775828</v>
      </c>
      <c r="L30" s="0" t="n">
        <f aca="false">S_PT(L$2,$A30)</f>
        <v>8.56179425094267</v>
      </c>
      <c r="M30" s="0" t="n">
        <f aca="false">S_PT(M$2,$A30)</f>
        <v>8.49995159162201</v>
      </c>
      <c r="N30" s="0" t="n">
        <f aca="false">S_PT(N$2,$A30)</f>
        <v>8.44535550587795</v>
      </c>
      <c r="O30" s="0" t="n">
        <f aca="false">S_PT(O$2,$A30)</f>
        <v>8.39647741666917</v>
      </c>
      <c r="P30" s="0" t="n">
        <f aca="false">S_PT(P$2,$A30)</f>
        <v>8.07370590909962</v>
      </c>
      <c r="Q30" s="0" t="n">
        <f aca="false">S_PT(Q$2,$A30)</f>
        <v>7.88348329994712</v>
      </c>
      <c r="R30" s="0" t="n">
        <f aca="false">S_PT(R$2,$A30)</f>
        <v>7.74752662930776</v>
      </c>
      <c r="S30" s="0" t="n">
        <f aca="false">S_PT(S$2,$A30)</f>
        <v>7.64128335990803</v>
      </c>
      <c r="T30" s="0" t="n">
        <f aca="false">S_PT(T$2,$A30)</f>
        <v>7.55380884154457</v>
      </c>
      <c r="U30" s="0" t="n">
        <f aca="false">S_PT(U$2,$A30)</f>
        <v>7.47925697096688</v>
      </c>
      <c r="V30" s="0" t="n">
        <f aca="false">S_PT(V$2,$A30)</f>
        <v>1.19265013126772</v>
      </c>
      <c r="W30" s="0" t="n">
        <f aca="false">S_PT(W$2,$A30)</f>
        <v>1.19264291058671</v>
      </c>
      <c r="X30" s="0" t="n">
        <f aca="false">S_PT(X$2,$A30)</f>
        <v>1.19263569009043</v>
      </c>
      <c r="Y30" s="0" t="n">
        <f aca="false">S_PT(Y$2,$A30)</f>
        <v>1.1925634952834</v>
      </c>
      <c r="Z30" s="0" t="n">
        <f aca="false">S_PT(Z$2,$A30)</f>
        <v>1.19249131892962</v>
      </c>
      <c r="AA30" s="0" t="n">
        <f aca="false">S_PT(AA$2,$A30)</f>
        <v>1.19241916101214</v>
      </c>
      <c r="AB30" s="0" t="n">
        <f aca="false">S_PT(AB$2,$A30)</f>
        <v>1.19234702151403</v>
      </c>
      <c r="AC30" s="0" t="n">
        <f aca="false">S_PT(AC$2,$A30)</f>
        <v>1.19227490041839</v>
      </c>
      <c r="AD30" s="0" t="n">
        <f aca="false">S_PT(AD$2,$A30)</f>
        <v>1.19220279770835</v>
      </c>
      <c r="AE30" s="0" t="n">
        <f aca="false">S_PT(AE$2,$A30)</f>
        <v>1.19213071336705</v>
      </c>
      <c r="AF30" s="0" t="n">
        <f aca="false">S_PT(AF$2,$A30)</f>
        <v>1.19205864737767</v>
      </c>
      <c r="AG30" s="0" t="n">
        <f aca="false">S_PT(AG$2,$A30)</f>
        <v>1.1919865997234</v>
      </c>
      <c r="AH30" s="0" t="n">
        <f aca="false">S_PT(AH$2,$A30)</f>
        <v>1.19126712793368</v>
      </c>
      <c r="AI30" s="0" t="n">
        <f aca="false">S_PT(AI$2,$A30)</f>
        <v>1.19054947135743</v>
      </c>
      <c r="AJ30" s="0" t="n">
        <f aca="false">S_PT(AJ$2,$A30)</f>
        <v>1.18983361359617</v>
      </c>
      <c r="AK30" s="0" t="n">
        <f aca="false">S_PT(AK$2,$A30)</f>
        <v>1.18911953848862</v>
      </c>
      <c r="AL30" s="0" t="n">
        <f aca="false">S_PT(AL$2,$A30)</f>
        <v>1.1884072301055</v>
      </c>
      <c r="AM30" s="0" t="n">
        <f aca="false">S_PT(AM$2,$A30)</f>
        <v>1.1876966727444</v>
      </c>
      <c r="AN30" s="0" t="n">
        <f aca="false">S_PT(AN$2,$A30)</f>
        <v>1.18698785092489</v>
      </c>
      <c r="AO30" s="0" t="n">
        <f aca="false">S_PT(AO$2,$A30)</f>
        <v>1.18628074938364</v>
      </c>
      <c r="AP30" s="0" t="n">
        <f aca="false">S_PT(AP$2,$A30)</f>
        <v>1.18557535306971</v>
      </c>
      <c r="AQ30" s="0" t="n">
        <f aca="false">S_PT(AQ$2,$A30)</f>
        <v>1.17861200928927</v>
      </c>
      <c r="AR30" s="0" t="n">
        <f aca="false">S_PT(AR$2,$A30)</f>
        <v>1.17719458543371</v>
      </c>
      <c r="AS30" s="0" t="n">
        <f aca="false">S_PT(AS$2,$A30)</f>
        <v>1.17655389617873</v>
      </c>
    </row>
    <row r="31" customFormat="false" ht="13.8" hidden="false" customHeight="false" outlineLevel="0" collapsed="false">
      <c r="A31" s="0" t="n">
        <v>100</v>
      </c>
      <c r="B31" s="0" t="n">
        <f aca="false">S_PT(B$2,$A31)</f>
        <v>9.74081115399097</v>
      </c>
      <c r="C31" s="0" t="n">
        <f aca="false">S_PT(C$2,$A31)</f>
        <v>9.67089881282666</v>
      </c>
      <c r="D31" s="0" t="n">
        <f aca="false">S_PT(D$2,$A31)</f>
        <v>9.61019049839203</v>
      </c>
      <c r="E31" s="0" t="n">
        <f aca="false">S_PT(E$2,$A31)</f>
        <v>9.55654158942058</v>
      </c>
      <c r="F31" s="0" t="n">
        <f aca="false">S_PT(F$2,$A31)</f>
        <v>9.50847942628207</v>
      </c>
      <c r="G31" s="0" t="n">
        <f aca="false">S_PT(G$2,$A31)</f>
        <v>9.19097993584432</v>
      </c>
      <c r="H31" s="0" t="n">
        <f aca="false">S_PT(H$2,$A31)</f>
        <v>9.00447855299717</v>
      </c>
      <c r="I31" s="0" t="n">
        <f aca="false">S_PT(I$2,$A31)</f>
        <v>8.87189129794384</v>
      </c>
      <c r="J31" s="0" t="n">
        <f aca="false">S_PT(J$2,$A31)</f>
        <v>8.76891144308118</v>
      </c>
      <c r="K31" s="0" t="n">
        <f aca="false">S_PT(K$2,$A31)</f>
        <v>8.68468236646753</v>
      </c>
      <c r="L31" s="0" t="n">
        <f aca="false">S_PT(L$2,$A31)</f>
        <v>8.61340350665774</v>
      </c>
      <c r="M31" s="0" t="n">
        <f aca="false">S_PT(M$2,$A31)</f>
        <v>8.5516087511989</v>
      </c>
      <c r="N31" s="0" t="n">
        <f aca="false">S_PT(N$2,$A31)</f>
        <v>8.49706067899368</v>
      </c>
      <c r="O31" s="0" t="n">
        <f aca="false">S_PT(O$2,$A31)</f>
        <v>8.44823071582817</v>
      </c>
      <c r="P31" s="0" t="n">
        <f aca="false">S_PT(P$2,$A31)</f>
        <v>8.12594728697914</v>
      </c>
      <c r="Q31" s="0" t="n">
        <f aca="false">S_PT(Q$2,$A31)</f>
        <v>7.93622725459944</v>
      </c>
      <c r="R31" s="0" t="n">
        <f aca="false">S_PT(R$2,$A31)</f>
        <v>7.80079104285914</v>
      </c>
      <c r="S31" s="0" t="n">
        <f aca="false">S_PT(S$2,$A31)</f>
        <v>7.69509042245575</v>
      </c>
      <c r="T31" s="0" t="n">
        <f aca="false">S_PT(T$2,$A31)</f>
        <v>7.6081866695995</v>
      </c>
      <c r="U31" s="0" t="n">
        <f aca="false">S_PT(U$2,$A31)</f>
        <v>7.53424212120242</v>
      </c>
      <c r="V31" s="0" t="n">
        <f aca="false">S_PT(V$2,$A31)</f>
        <v>7.46976961954397</v>
      </c>
      <c r="W31" s="0" t="n">
        <f aca="false">S_PT(W$2,$A31)</f>
        <v>7.41251679792405</v>
      </c>
      <c r="X31" s="0" t="n">
        <f aca="false">S_PT(X$2,$A31)</f>
        <v>7.36094193824511</v>
      </c>
      <c r="Y31" s="0" t="n">
        <f aca="false">S_PT(Y$2,$A31)</f>
        <v>1.30693707612748</v>
      </c>
      <c r="Z31" s="0" t="n">
        <f aca="false">S_PT(Z$2,$A31)</f>
        <v>1.30685874452176</v>
      </c>
      <c r="AA31" s="0" t="n">
        <f aca="false">S_PT(AA$2,$A31)</f>
        <v>1.30678043506276</v>
      </c>
      <c r="AB31" s="0" t="n">
        <f aca="false">S_PT(AB$2,$A31)</f>
        <v>1.30670214772981</v>
      </c>
      <c r="AC31" s="0" t="n">
        <f aca="false">S_PT(AC$2,$A31)</f>
        <v>1.30662388250227</v>
      </c>
      <c r="AD31" s="0" t="n">
        <f aca="false">S_PT(AD$2,$A31)</f>
        <v>1.30654563935952</v>
      </c>
      <c r="AE31" s="0" t="n">
        <f aca="false">S_PT(AE$2,$A31)</f>
        <v>1.306467418281</v>
      </c>
      <c r="AF31" s="0" t="n">
        <f aca="false">S_PT(AF$2,$A31)</f>
        <v>1.30638921924615</v>
      </c>
      <c r="AG31" s="0" t="n">
        <f aca="false">S_PT(AG$2,$A31)</f>
        <v>1.30631104223447</v>
      </c>
      <c r="AH31" s="0" t="n">
        <f aca="false">S_PT(AH$2,$A31)</f>
        <v>1.30553047890135</v>
      </c>
      <c r="AI31" s="0" t="n">
        <f aca="false">S_PT(AI$2,$A31)</f>
        <v>1.30475209555295</v>
      </c>
      <c r="AJ31" s="0" t="n">
        <f aca="false">S_PT(AJ$2,$A31)</f>
        <v>1.30397587218816</v>
      </c>
      <c r="AK31" s="0" t="n">
        <f aca="false">S_PT(AK$2,$A31)</f>
        <v>1.30320178910722</v>
      </c>
      <c r="AL31" s="0" t="n">
        <f aca="false">S_PT(AL$2,$A31)</f>
        <v>1.30242982690491</v>
      </c>
      <c r="AM31" s="0" t="n">
        <f aca="false">S_PT(AM$2,$A31)</f>
        <v>1.30165996646381</v>
      </c>
      <c r="AN31" s="0" t="n">
        <f aca="false">S_PT(AN$2,$A31)</f>
        <v>1.30089218894776</v>
      </c>
      <c r="AO31" s="0" t="n">
        <f aca="false">S_PT(AO$2,$A31)</f>
        <v>1.30012647579549</v>
      </c>
      <c r="AP31" s="0" t="n">
        <f aca="false">S_PT(AP$2,$A31)</f>
        <v>1.29936280871443</v>
      </c>
      <c r="AQ31" s="0" t="n">
        <f aca="false">S_PT(AQ$2,$A31)</f>
        <v>1.29183482795757</v>
      </c>
      <c r="AR31" s="0" t="n">
        <f aca="false">S_PT(AR$2,$A31)</f>
        <v>1.29030479965172</v>
      </c>
      <c r="AS31" s="0" t="n">
        <f aca="false">S_PT(AS$2,$A31)</f>
        <v>1.28961346821782</v>
      </c>
    </row>
    <row r="32" customFormat="false" ht="13.8" hidden="false" customHeight="false" outlineLevel="0" collapsed="false">
      <c r="A32" s="0" t="n">
        <v>200</v>
      </c>
      <c r="B32" s="0" t="n">
        <f aca="false">S_PT(B$2,$A32)</f>
        <v>10.195093042763</v>
      </c>
      <c r="C32" s="0" t="n">
        <f aca="false">S_PT(C$2,$A32)</f>
        <v>10.1251995813766</v>
      </c>
      <c r="D32" s="0" t="n">
        <f aca="false">S_PT(D$2,$A32)</f>
        <v>10.0645101493149</v>
      </c>
      <c r="E32" s="0" t="n">
        <f aca="false">S_PT(E$2,$A32)</f>
        <v>10.0108801253124</v>
      </c>
      <c r="F32" s="0" t="n">
        <f aca="false">S_PT(F$2,$A32)</f>
        <v>9.96283684973961</v>
      </c>
      <c r="G32" s="0" t="n">
        <f aca="false">S_PT(G$2,$A32)</f>
        <v>9.64552637798526</v>
      </c>
      <c r="H32" s="0" t="n">
        <f aca="false">S_PT(H$2,$A32)</f>
        <v>9.45921427450208</v>
      </c>
      <c r="I32" s="0" t="n">
        <f aca="false">S_PT(I$2,$A32)</f>
        <v>9.32681656039859</v>
      </c>
      <c r="J32" s="0" t="n">
        <f aca="false">S_PT(J$2,$A32)</f>
        <v>9.2240265089772</v>
      </c>
      <c r="K32" s="0" t="n">
        <f aca="false">S_PT(K$2,$A32)</f>
        <v>9.13998749920232</v>
      </c>
      <c r="L32" s="0" t="n">
        <f aca="false">S_PT(L$2,$A32)</f>
        <v>9.06889897053573</v>
      </c>
      <c r="M32" s="0" t="n">
        <f aca="false">S_PT(M$2,$A32)</f>
        <v>9.0072948114325</v>
      </c>
      <c r="N32" s="0" t="n">
        <f aca="false">S_PT(N$2,$A32)</f>
        <v>8.95293760170486</v>
      </c>
      <c r="O32" s="0" t="n">
        <f aca="false">S_PT(O$2,$A32)</f>
        <v>8.90429876805049</v>
      </c>
      <c r="P32" s="0" t="n">
        <f aca="false">S_PT(P$2,$A32)</f>
        <v>8.58394152438859</v>
      </c>
      <c r="Q32" s="0" t="n">
        <f aca="false">S_PT(Q$2,$A32)</f>
        <v>8.39617542663138</v>
      </c>
      <c r="R32" s="0" t="n">
        <f aca="false">S_PT(R$2,$A32)</f>
        <v>8.26272198608764</v>
      </c>
      <c r="S32" s="0" t="n">
        <f aca="false">S_PT(S$2,$A32)</f>
        <v>8.15903435197852</v>
      </c>
      <c r="T32" s="0" t="n">
        <f aca="false">S_PT(T$2,$A32)</f>
        <v>8.07417568945222</v>
      </c>
      <c r="U32" s="0" t="n">
        <f aca="false">S_PT(U$2,$A32)</f>
        <v>8.00231101708364</v>
      </c>
      <c r="V32" s="0" t="n">
        <f aca="false">S_PT(V$2,$A32)</f>
        <v>7.93995699766706</v>
      </c>
      <c r="W32" s="0" t="n">
        <f aca="false">S_PT(W$2,$A32)</f>
        <v>7.88486663446564</v>
      </c>
      <c r="X32" s="0" t="n">
        <f aca="false">S_PT(X$2,$A32)</f>
        <v>7.83550560462937</v>
      </c>
      <c r="Y32" s="0" t="n">
        <f aca="false">S_PT(Y$2,$A32)</f>
        <v>7.50808565098257</v>
      </c>
      <c r="Z32" s="0" t="n">
        <f aca="false">S_PT(Z$2,$A32)</f>
        <v>7.31316839745384</v>
      </c>
      <c r="AA32" s="0" t="n">
        <f aca="false">S_PT(AA$2,$A32)</f>
        <v>7.17235124647694</v>
      </c>
      <c r="AB32" s="0" t="n">
        <f aca="false">S_PT(AB$2,$A32)</f>
        <v>7.06105938971688</v>
      </c>
      <c r="AC32" s="0" t="n">
        <f aca="false">S_PT(AC$2,$A32)</f>
        <v>6.9683431333056</v>
      </c>
      <c r="AD32" s="0" t="n">
        <f aca="false">S_PT(AD$2,$A32)</f>
        <v>6.88835752348098</v>
      </c>
      <c r="AE32" s="0" t="n">
        <f aca="false">S_PT(AE$2,$A32)</f>
        <v>6.81760829151207</v>
      </c>
      <c r="AF32" s="0" t="n">
        <f aca="false">S_PT(AF$2,$A32)</f>
        <v>6.75383428687853</v>
      </c>
      <c r="AG32" s="0" t="n">
        <f aca="false">S_PT(AG$2,$A32)</f>
        <v>6.69548170974683</v>
      </c>
      <c r="AH32" s="0" t="n">
        <f aca="false">S_PT(AH$2,$A32)</f>
        <v>2.33009158592924</v>
      </c>
      <c r="AI32" s="0" t="n">
        <f aca="false">S_PT(AI$2,$A32)</f>
        <v>2.32850660494409</v>
      </c>
      <c r="AJ32" s="0" t="n">
        <f aca="false">S_PT(AJ$2,$A32)</f>
        <v>2.32693162950176</v>
      </c>
      <c r="AK32" s="0" t="n">
        <f aca="false">S_PT(AK$2,$A32)</f>
        <v>2.32536649221626</v>
      </c>
      <c r="AL32" s="0" t="n">
        <f aca="false">S_PT(AL$2,$A32)</f>
        <v>2.32381103019367</v>
      </c>
      <c r="AM32" s="0" t="n">
        <f aca="false">S_PT(AM$2,$A32)</f>
        <v>2.32226508488063</v>
      </c>
      <c r="AN32" s="0" t="n">
        <f aca="false">S_PT(AN$2,$A32)</f>
        <v>2.32072850191863</v>
      </c>
      <c r="AO32" s="0" t="n">
        <f aca="false">S_PT(AO$2,$A32)</f>
        <v>2.31920113100373</v>
      </c>
      <c r="AP32" s="0" t="n">
        <f aca="false">S_PT(AP$2,$A32)</f>
        <v>2.31768282575154</v>
      </c>
      <c r="AQ32" s="0" t="n">
        <f aca="false">S_PT(AQ$2,$A32)</f>
        <v>2.30296873604885</v>
      </c>
      <c r="AR32" s="0" t="n">
        <f aca="false">S_PT(AR$2,$A32)</f>
        <v>2.30003130253614</v>
      </c>
      <c r="AS32" s="0" t="n">
        <f aca="false">S_PT(AS$2,$A32)</f>
        <v>2.29870962898158</v>
      </c>
    </row>
    <row r="33" customFormat="false" ht="13.8" hidden="false" customHeight="false" outlineLevel="0" collapsed="false">
      <c r="A33" s="0" t="n">
        <v>300</v>
      </c>
      <c r="B33" s="0" t="n">
        <f aca="false">S_PT(B$2,$A33)</f>
        <v>10.572531626479</v>
      </c>
      <c r="C33" s="0" t="n">
        <f aca="false">S_PT(C$2,$A33)</f>
        <v>10.5026422084099</v>
      </c>
      <c r="D33" s="0" t="n">
        <f aca="false">S_PT(D$2,$A33)</f>
        <v>10.4419568198815</v>
      </c>
      <c r="E33" s="0" t="n">
        <f aca="false">S_PT(E$2,$A33)</f>
        <v>10.3883308396281</v>
      </c>
      <c r="F33" s="0" t="n">
        <f aca="false">S_PT(F$2,$A33)</f>
        <v>10.3402916080205</v>
      </c>
      <c r="G33" s="0" t="n">
        <f aca="false">S_PT(G$2,$A33)</f>
        <v>10.0230215877943</v>
      </c>
      <c r="H33" s="0" t="n">
        <f aca="false">S_PT(H$2,$A33)</f>
        <v>9.83674995743576</v>
      </c>
      <c r="I33" s="0" t="n">
        <f aca="false">S_PT(I$2,$A33)</f>
        <v>9.70439273805587</v>
      </c>
      <c r="J33" s="0" t="n">
        <f aca="false">S_PT(J$2,$A33)</f>
        <v>9.60164320295956</v>
      </c>
      <c r="K33" s="0" t="n">
        <f aca="false">S_PT(K$2,$A33)</f>
        <v>9.51764473111372</v>
      </c>
      <c r="L33" s="0" t="n">
        <f aca="false">S_PT(L$2,$A33)</f>
        <v>9.44659676198262</v>
      </c>
      <c r="M33" s="0" t="n">
        <f aca="false">S_PT(M$2,$A33)</f>
        <v>9.38503318402384</v>
      </c>
      <c r="N33" s="0" t="n">
        <f aca="false">S_PT(N$2,$A33)</f>
        <v>9.33071657705211</v>
      </c>
      <c r="O33" s="0" t="n">
        <f aca="false">S_PT(O$2,$A33)</f>
        <v>9.28211836776759</v>
      </c>
      <c r="P33" s="0" t="n">
        <f aca="false">S_PT(P$2,$A33)</f>
        <v>8.96216855712093</v>
      </c>
      <c r="Q33" s="0" t="n">
        <f aca="false">S_PT(Q$2,$A33)</f>
        <v>8.77481205652133</v>
      </c>
      <c r="R33" s="0" t="n">
        <f aca="false">S_PT(R$2,$A33)</f>
        <v>8.64177037977535</v>
      </c>
      <c r="S33" s="0" t="n">
        <f aca="false">S_PT(S$2,$A33)</f>
        <v>8.53849667860227</v>
      </c>
      <c r="T33" s="0" t="n">
        <f aca="false">S_PT(T$2,$A33)</f>
        <v>8.45405412064927</v>
      </c>
      <c r="U33" s="0" t="n">
        <f aca="false">S_PT(U$2,$A33)</f>
        <v>8.38260772699145</v>
      </c>
      <c r="V33" s="0" t="n">
        <f aca="false">S_PT(V$2,$A33)</f>
        <v>8.32067416292508</v>
      </c>
      <c r="W33" s="0" t="n">
        <f aca="false">S_PT(W$2,$A33)</f>
        <v>8.2660064342178</v>
      </c>
      <c r="X33" s="0" t="n">
        <f aca="false">S_PT(X$2,$A33)</f>
        <v>8.21707022052733</v>
      </c>
      <c r="Y33" s="0" t="n">
        <f aca="false">S_PT(Y$2,$A33)</f>
        <v>7.89401897533704</v>
      </c>
      <c r="Z33" s="0" t="n">
        <f aca="false">S_PT(Z$2,$A33)</f>
        <v>7.70369142742798</v>
      </c>
      <c r="AA33" s="0" t="n">
        <f aca="false">S_PT(AA$2,$A33)</f>
        <v>7.56768779527051</v>
      </c>
      <c r="AB33" s="0" t="n">
        <f aca="false">S_PT(AB$2,$A33)</f>
        <v>7.46143663399007</v>
      </c>
      <c r="AC33" s="0" t="n">
        <f aca="false">S_PT(AC$2,$A33)</f>
        <v>7.37399263973798</v>
      </c>
      <c r="AD33" s="0" t="n">
        <f aca="false">S_PT(AD$2,$A33)</f>
        <v>7.2995169701843</v>
      </c>
      <c r="AE33" s="0" t="n">
        <f aca="false">S_PT(AE$2,$A33)</f>
        <v>7.23452415517333</v>
      </c>
      <c r="AF33" s="0" t="n">
        <f aca="false">S_PT(AF$2,$A33)</f>
        <v>7.17676583257224</v>
      </c>
      <c r="AG33" s="0" t="n">
        <f aca="false">S_PT(AG$2,$A33)</f>
        <v>7.12470669725248</v>
      </c>
      <c r="AH33" s="0" t="n">
        <f aca="false">S_PT(AH$2,$A33)</f>
        <v>6.7685121931535</v>
      </c>
      <c r="AI33" s="0" t="n">
        <f aca="false">S_PT(AI$2,$A33)</f>
        <v>6.54120839083173</v>
      </c>
      <c r="AJ33" s="0" t="n">
        <f aca="false">S_PT(AJ$2,$A33)</f>
        <v>6.36382458805064</v>
      </c>
      <c r="AK33" s="0" t="n">
        <f aca="false">S_PT(AK$2,$A33)</f>
        <v>6.21093869701334</v>
      </c>
      <c r="AL33" s="0" t="n">
        <f aca="false">S_PT(AL$2,$A33)</f>
        <v>6.07020941180188</v>
      </c>
      <c r="AM33" s="0" t="n">
        <f aca="false">S_PT(AM$2,$A33)</f>
        <v>5.93350947095294</v>
      </c>
      <c r="AN33" s="0" t="n">
        <f aca="false">S_PT(AN$2,$A33)</f>
        <v>5.79351012916357</v>
      </c>
      <c r="AO33" s="0" t="n">
        <f aca="false">S_PT(AO$2,$A33)</f>
        <v>3.25285514208057</v>
      </c>
      <c r="AP33" s="0" t="n">
        <f aca="false">S_PT(AP$2,$A33)</f>
        <v>3.24836608117204</v>
      </c>
      <c r="AQ33" s="0" t="n">
        <f aca="false">S_PT(AQ$2,$A33)</f>
        <v>3.2086836473982</v>
      </c>
      <c r="AR33" s="0" t="n">
        <f aca="false">S_PT(AR$2,$A33)</f>
        <v>3.20141924723929</v>
      </c>
      <c r="AS33" s="0" t="n">
        <f aca="false">S_PT(AS$2,$A33)</f>
        <v>3.19820828272172</v>
      </c>
    </row>
    <row r="34" customFormat="false" ht="13.8" hidden="false" customHeight="false" outlineLevel="0" collapsed="false">
      <c r="A34" s="0" t="n">
        <v>400</v>
      </c>
      <c r="B34" s="0" t="n">
        <f aca="false">S_PT(B$2,$A34)</f>
        <v>10.8990520588456</v>
      </c>
      <c r="C34" s="0" t="n">
        <f aca="false">S_PT(C$2,$A34)</f>
        <v>10.8291640654456</v>
      </c>
      <c r="D34" s="0" t="n">
        <f aca="false">S_PT(D$2,$A34)</f>
        <v>10.7684801016112</v>
      </c>
      <c r="E34" s="0" t="n">
        <f aca="false">S_PT(E$2,$A34)</f>
        <v>10.7148555460768</v>
      </c>
      <c r="F34" s="0" t="n">
        <f aca="false">S_PT(F$2,$A34)</f>
        <v>10.6668177392131</v>
      </c>
      <c r="G34" s="0" t="n">
        <f aca="false">S_PT(G$2,$A34)</f>
        <v>10.3495619677965</v>
      </c>
      <c r="H34" s="0" t="n">
        <f aca="false">S_PT(H$2,$A34)</f>
        <v>10.1633045887401</v>
      </c>
      <c r="I34" s="0" t="n">
        <f aca="false">S_PT(I$2,$A34)</f>
        <v>10.0309616231554</v>
      </c>
      <c r="J34" s="0" t="n">
        <f aca="false">S_PT(J$2,$A34)</f>
        <v>9.92822634434743</v>
      </c>
      <c r="K34" s="0" t="n">
        <f aca="false">S_PT(K$2,$A34)</f>
        <v>9.84424213128358</v>
      </c>
      <c r="L34" s="0" t="n">
        <f aca="false">S_PT(L$2,$A34)</f>
        <v>9.77320842342844</v>
      </c>
      <c r="M34" s="0" t="n">
        <f aca="false">S_PT(M$2,$A34)</f>
        <v>9.71165910923991</v>
      </c>
      <c r="N34" s="0" t="n">
        <f aca="false">S_PT(N$2,$A34)</f>
        <v>9.65735676853309</v>
      </c>
      <c r="O34" s="0" t="n">
        <f aca="false">S_PT(O$2,$A34)</f>
        <v>9.60877282800847</v>
      </c>
      <c r="P34" s="0" t="n">
        <f aca="false">S_PT(P$2,$A34)</f>
        <v>9.28896584226095</v>
      </c>
      <c r="Q34" s="0" t="n">
        <f aca="false">S_PT(Q$2,$A34)</f>
        <v>9.10175241643777</v>
      </c>
      <c r="R34" s="0" t="n">
        <f aca="false">S_PT(R$2,$A34)</f>
        <v>8.96885406468922</v>
      </c>
      <c r="S34" s="0" t="n">
        <f aca="false">S_PT(S$2,$A34)</f>
        <v>8.86572393907834</v>
      </c>
      <c r="T34" s="0" t="n">
        <f aca="false">S_PT(T$2,$A34)</f>
        <v>8.78142520759601</v>
      </c>
      <c r="U34" s="0" t="n">
        <f aca="false">S_PT(U$2,$A34)</f>
        <v>8.71012289166103</v>
      </c>
      <c r="V34" s="0" t="n">
        <f aca="false">S_PT(V$2,$A34)</f>
        <v>8.64833365691336</v>
      </c>
      <c r="W34" s="0" t="n">
        <f aca="false">S_PT(W$2,$A34)</f>
        <v>8.59381050946429</v>
      </c>
      <c r="X34" s="0" t="n">
        <f aca="false">S_PT(X$2,$A34)</f>
        <v>8.54501912931521</v>
      </c>
      <c r="Y34" s="0" t="n">
        <f aca="false">S_PT(Y$2,$A34)</f>
        <v>8.22343017070253</v>
      </c>
      <c r="Z34" s="0" t="n">
        <f aca="false">S_PT(Z$2,$A34)</f>
        <v>8.03459051557099</v>
      </c>
      <c r="AA34" s="0" t="n">
        <f aca="false">S_PT(AA$2,$A34)</f>
        <v>7.90010072577991</v>
      </c>
      <c r="AB34" s="0" t="n">
        <f aca="false">S_PT(AB$2,$A34)</f>
        <v>7.79538969977398</v>
      </c>
      <c r="AC34" s="0" t="n">
        <f aca="false">S_PT(AC$2,$A34)</f>
        <v>7.70951247708445</v>
      </c>
      <c r="AD34" s="0" t="n">
        <f aca="false">S_PT(AD$2,$A34)</f>
        <v>7.63663055900835</v>
      </c>
      <c r="AE34" s="0" t="n">
        <f aca="false">S_PT(AE$2,$A34)</f>
        <v>7.57325881950753</v>
      </c>
      <c r="AF34" s="0" t="n">
        <f aca="false">S_PT(AF$2,$A34)</f>
        <v>7.51714924135985</v>
      </c>
      <c r="AG34" s="0" t="n">
        <f aca="false">S_PT(AG$2,$A34)</f>
        <v>7.46676686550347</v>
      </c>
      <c r="AH34" s="0" t="n">
        <f aca="false">S_PT(AH$2,$A34)</f>
        <v>7.12895878991448</v>
      </c>
      <c r="AI34" s="0" t="n">
        <f aca="false">S_PT(AI$2,$A34)</f>
        <v>6.9232572410629</v>
      </c>
      <c r="AJ34" s="0" t="n">
        <f aca="false">S_PT(AJ$2,$A34)</f>
        <v>6.77119041949439</v>
      </c>
      <c r="AK34" s="0" t="n">
        <f aca="false">S_PT(AK$2,$A34)</f>
        <v>6.64812575330721</v>
      </c>
      <c r="AL34" s="0" t="n">
        <f aca="false">S_PT(AL$2,$A34)</f>
        <v>6.54305876960641</v>
      </c>
      <c r="AM34" s="0" t="n">
        <f aca="false">S_PT(AM$2,$A34)</f>
        <v>6.45009080634726</v>
      </c>
      <c r="AN34" s="0" t="n">
        <f aca="false">S_PT(AN$2,$A34)</f>
        <v>6.36567357820141</v>
      </c>
      <c r="AO34" s="0" t="n">
        <f aca="false">S_PT(AO$2,$A34)</f>
        <v>6.28749020526628</v>
      </c>
      <c r="AP34" s="0" t="n">
        <f aca="false">S_PT(AP$2,$A34)</f>
        <v>6.21392805846181</v>
      </c>
      <c r="AQ34" s="0" t="n">
        <f aca="false">S_PT(AQ$2,$A34)</f>
        <v>5.55246742717228</v>
      </c>
      <c r="AR34" s="0" t="n">
        <f aca="false">S_PT(AR$2,$A34)</f>
        <v>5.40003936760599</v>
      </c>
      <c r="AS34" s="0" t="n">
        <f aca="false">S_PT(AS$2,$A34)</f>
        <v>5.32422141909393</v>
      </c>
    </row>
    <row r="35" customFormat="false" ht="13.8" hidden="false" customHeight="false" outlineLevel="0" collapsed="false">
      <c r="A35" s="0" t="n">
        <f aca="false">A34+100</f>
        <v>500</v>
      </c>
      <c r="B35" s="0" t="n">
        <f aca="false">S_PT(B$2,$A35)</f>
        <v>11.1893783534359</v>
      </c>
      <c r="C35" s="0" t="n">
        <f aca="false">S_PT(C$2,$A35)</f>
        <v>11.1194910263641</v>
      </c>
      <c r="D35" s="0" t="n">
        <f aca="false">S_PT(D$2,$A35)</f>
        <v>11.0588077288619</v>
      </c>
      <c r="E35" s="0" t="n">
        <f aca="false">S_PT(E$2,$A35)</f>
        <v>11.0051838396637</v>
      </c>
      <c r="F35" s="0" t="n">
        <f aca="false">S_PT(F$2,$A35)</f>
        <v>10.95714669914</v>
      </c>
      <c r="G35" s="0" t="n">
        <f aca="false">S_PT(G$2,$A35)</f>
        <v>10.6398975913432</v>
      </c>
      <c r="H35" s="0" t="n">
        <f aca="false">S_PT(H$2,$A35)</f>
        <v>10.453646876304</v>
      </c>
      <c r="I35" s="0" t="n">
        <f aca="false">S_PT(I$2,$A35)</f>
        <v>10.3213105751336</v>
      </c>
      <c r="J35" s="0" t="n">
        <f aca="false">S_PT(J$2,$A35)</f>
        <v>10.2185819611375</v>
      </c>
      <c r="K35" s="0" t="n">
        <f aca="false">S_PT(K$2,$A35)</f>
        <v>10.134604413283</v>
      </c>
      <c r="L35" s="0" t="n">
        <f aca="false">S_PT(L$2,$A35)</f>
        <v>10.0635773710346</v>
      </c>
      <c r="M35" s="0" t="n">
        <f aca="false">S_PT(M$2,$A35)</f>
        <v>10.0020347228504</v>
      </c>
      <c r="N35" s="0" t="n">
        <f aca="false">S_PT(N$2,$A35)</f>
        <v>9.94773904854553</v>
      </c>
      <c r="O35" s="0" t="n">
        <f aca="false">S_PT(O$2,$A35)</f>
        <v>9.89916177482053</v>
      </c>
      <c r="P35" s="0" t="n">
        <f aca="false">S_PT(P$2,$A35)</f>
        <v>9.57942147895222</v>
      </c>
      <c r="Q35" s="0" t="n">
        <f aca="false">S_PT(Q$2,$A35)</f>
        <v>9.39227478283254</v>
      </c>
      <c r="R35" s="0" t="n">
        <f aca="false">S_PT(R$2,$A35)</f>
        <v>9.25944320066448</v>
      </c>
      <c r="S35" s="0" t="n">
        <f aca="false">S_PT(S$2,$A35)</f>
        <v>9.15637988456379</v>
      </c>
      <c r="T35" s="0" t="n">
        <f aca="false">S_PT(T$2,$A35)</f>
        <v>9.07214800257403</v>
      </c>
      <c r="U35" s="0" t="n">
        <f aca="false">S_PT(U$2,$A35)</f>
        <v>9.00091257616668</v>
      </c>
      <c r="V35" s="0" t="n">
        <f aca="false">S_PT(V$2,$A35)</f>
        <v>8.93919027103437</v>
      </c>
      <c r="W35" s="0" t="n">
        <f aca="false">S_PT(W$2,$A35)</f>
        <v>8.88473409334107</v>
      </c>
      <c r="X35" s="0" t="n">
        <f aca="false">S_PT(X$2,$A35)</f>
        <v>8.83600972314082</v>
      </c>
      <c r="Y35" s="0" t="n">
        <f aca="false">S_PT(Y$2,$A35)</f>
        <v>8.5150930862157</v>
      </c>
      <c r="Z35" s="0" t="n">
        <f aca="false">S_PT(Z$2,$A35)</f>
        <v>8.32692982995334</v>
      </c>
      <c r="AA35" s="0" t="n">
        <f aca="false">S_PT(AA$2,$A35)</f>
        <v>8.1931205687541</v>
      </c>
      <c r="AB35" s="0" t="n">
        <f aca="false">S_PT(AB$2,$A35)</f>
        <v>8.08909425352519</v>
      </c>
      <c r="AC35" s="0" t="n">
        <f aca="false">S_PT(AC$2,$A35)</f>
        <v>8.00390597617765</v>
      </c>
      <c r="AD35" s="0" t="n">
        <f aca="false">S_PT(AD$2,$A35)</f>
        <v>7.9317172903016</v>
      </c>
      <c r="AE35" s="0" t="n">
        <f aca="false">S_PT(AE$2,$A35)</f>
        <v>7.86904312206151</v>
      </c>
      <c r="AF35" s="0" t="n">
        <f aca="false">S_PT(AF$2,$A35)</f>
        <v>7.81363550634392</v>
      </c>
      <c r="AG35" s="0" t="n">
        <f aca="false">S_PT(AG$2,$A35)</f>
        <v>7.7639595360984</v>
      </c>
      <c r="AH35" s="0" t="n">
        <f aca="false">S_PT(AH$2,$A35)</f>
        <v>7.4334712594296</v>
      </c>
      <c r="AI35" s="0" t="n">
        <f aca="false">S_PT(AI$2,$A35)</f>
        <v>7.23559024354621</v>
      </c>
      <c r="AJ35" s="0" t="n">
        <f aca="false">S_PT(AJ$2,$A35)</f>
        <v>7.09189495332349</v>
      </c>
      <c r="AK35" s="0" t="n">
        <f aca="false">S_PT(AK$2,$A35)</f>
        <v>6.97780239708273</v>
      </c>
      <c r="AL35" s="0" t="n">
        <f aca="false">S_PT(AL$2,$A35)</f>
        <v>6.88235788415052</v>
      </c>
      <c r="AM35" s="0" t="n">
        <f aca="false">S_PT(AM$2,$A35)</f>
        <v>6.79971420687379</v>
      </c>
      <c r="AN35" s="0" t="n">
        <f aca="false">S_PT(AN$2,$A35)</f>
        <v>6.72637826859762</v>
      </c>
      <c r="AO35" s="0" t="n">
        <f aca="false">S_PT(AO$2,$A35)</f>
        <v>6.66009471953884</v>
      </c>
      <c r="AP35" s="0" t="n">
        <f aca="false">S_PT(AP$2,$A35)</f>
        <v>6.59932185377688</v>
      </c>
      <c r="AQ35" s="0" t="n">
        <f aca="false">S_PT(AQ$2,$A35)</f>
        <v>6.14454807880311</v>
      </c>
      <c r="AR35" s="0" t="n">
        <f aca="false">S_PT(AR$2,$A35)</f>
        <v>6.0681255860256</v>
      </c>
      <c r="AS35" s="0" t="n">
        <f aca="false">S_PT(AS$2,$A35)</f>
        <v>6.03445910629936</v>
      </c>
    </row>
    <row r="36" customFormat="false" ht="13.8" hidden="false" customHeight="false" outlineLevel="0" collapsed="false">
      <c r="A36" s="0" t="n">
        <f aca="false">A35+100</f>
        <v>600</v>
      </c>
      <c r="B36" s="0" t="n">
        <f aca="false">S_PT(B$2,$A36)</f>
        <v>11.4527151834541</v>
      </c>
      <c r="C36" s="0" t="n">
        <f aca="false">S_PT(C$2,$A36)</f>
        <v>11.3828282164128</v>
      </c>
      <c r="D36" s="0" t="n">
        <f aca="false">S_PT(D$2,$A36)</f>
        <v>11.3221452789419</v>
      </c>
      <c r="E36" s="0" t="n">
        <f aca="false">S_PT(E$2,$A36)</f>
        <v>11.2685217497758</v>
      </c>
      <c r="F36" s="0" t="n">
        <f aca="false">S_PT(F$2,$A36)</f>
        <v>11.2204849692853</v>
      </c>
      <c r="G36" s="0" t="n">
        <f aca="false">S_PT(G$2,$A36)</f>
        <v>10.9032394618685</v>
      </c>
      <c r="H36" s="0" t="n">
        <f aca="false">S_PT(H$2,$A36)</f>
        <v>10.7169923472983</v>
      </c>
      <c r="I36" s="0" t="n">
        <f aca="false">S_PT(I$2,$A36)</f>
        <v>10.5846596466861</v>
      </c>
      <c r="J36" s="0" t="n">
        <f aca="false">S_PT(J$2,$A36)</f>
        <v>10.4819346333373</v>
      </c>
      <c r="K36" s="0" t="n">
        <f aca="false">S_PT(K$2,$A36)</f>
        <v>10.397960686219</v>
      </c>
      <c r="L36" s="0" t="n">
        <f aca="false">S_PT(L$2,$A36)</f>
        <v>10.3269372447961</v>
      </c>
      <c r="M36" s="0" t="n">
        <f aca="false">S_PT(M$2,$A36)</f>
        <v>10.2653981975265</v>
      </c>
      <c r="N36" s="0" t="n">
        <f aca="false">S_PT(N$2,$A36)</f>
        <v>10.2111061242252</v>
      </c>
      <c r="O36" s="0" t="n">
        <f aca="false">S_PT(O$2,$A36)</f>
        <v>10.162532451593</v>
      </c>
      <c r="P36" s="0" t="n">
        <f aca="false">S_PT(P$2,$A36)</f>
        <v>9.84282817155677</v>
      </c>
      <c r="Q36" s="0" t="n">
        <f aca="false">S_PT(Q$2,$A36)</f>
        <v>9.65571750019226</v>
      </c>
      <c r="R36" s="0" t="n">
        <f aca="false">S_PT(R$2,$A36)</f>
        <v>9.52292195171176</v>
      </c>
      <c r="S36" s="0" t="n">
        <f aca="false">S_PT(S$2,$A36)</f>
        <v>9.41989467824025</v>
      </c>
      <c r="T36" s="0" t="n">
        <f aca="false">S_PT(T$2,$A36)</f>
        <v>9.33569884783056</v>
      </c>
      <c r="U36" s="0" t="n">
        <f aca="false">S_PT(U$2,$A36)</f>
        <v>9.26449948196341</v>
      </c>
      <c r="V36" s="0" t="n">
        <f aca="false">S_PT(V$2,$A36)</f>
        <v>9.20281324634068</v>
      </c>
      <c r="W36" s="0" t="n">
        <f aca="false">S_PT(W$2,$A36)</f>
        <v>9.14839314713558</v>
      </c>
      <c r="X36" s="0" t="n">
        <f aca="false">S_PT(X$2,$A36)</f>
        <v>9.09970486441138</v>
      </c>
      <c r="Y36" s="0" t="n">
        <f aca="false">S_PT(Y$2,$A36)</f>
        <v>8.77914959860983</v>
      </c>
      <c r="Z36" s="0" t="n">
        <f aca="false">S_PT(Z$2,$A36)</f>
        <v>8.5913486223994</v>
      </c>
      <c r="AA36" s="0" t="n">
        <f aca="false">S_PT(AA$2,$A36)</f>
        <v>8.45790255937249</v>
      </c>
      <c r="AB36" s="0" t="n">
        <f aca="false">S_PT(AB$2,$A36)</f>
        <v>8.35424036959886</v>
      </c>
      <c r="AC36" s="0" t="n">
        <f aca="false">S_PT(AC$2,$A36)</f>
        <v>8.26941715412237</v>
      </c>
      <c r="AD36" s="0" t="n">
        <f aca="false">S_PT(AD$2,$A36)</f>
        <v>8.19759447563587</v>
      </c>
      <c r="AE36" s="0" t="n">
        <f aca="false">S_PT(AE$2,$A36)</f>
        <v>8.13528726937607</v>
      </c>
      <c r="AF36" s="0" t="n">
        <f aca="false">S_PT(AF$2,$A36)</f>
        <v>8.08024757927097</v>
      </c>
      <c r="AG36" s="0" t="n">
        <f aca="false">S_PT(AG$2,$A36)</f>
        <v>8.03094050728048</v>
      </c>
      <c r="AH36" s="0" t="n">
        <f aca="false">S_PT(AH$2,$A36)</f>
        <v>7.70419666784615</v>
      </c>
      <c r="AI36" s="0" t="n">
        <f aca="false">S_PT(AI$2,$A36)</f>
        <v>7.51016702103958</v>
      </c>
      <c r="AJ36" s="0" t="n">
        <f aca="false">S_PT(AJ$2,$A36)</f>
        <v>7.37043847861229</v>
      </c>
      <c r="AK36" s="0" t="n">
        <f aca="false">S_PT(AK$2,$A36)</f>
        <v>7.26043611970134</v>
      </c>
      <c r="AL36" s="0" t="n">
        <f aca="false">S_PT(AL$2,$A36)</f>
        <v>7.16921292751956</v>
      </c>
      <c r="AM36" s="0" t="n">
        <f aca="false">S_PT(AM$2,$A36)</f>
        <v>7.09092895805477</v>
      </c>
      <c r="AN36" s="0" t="n">
        <f aca="false">S_PT(AN$2,$A36)</f>
        <v>7.02209796335756</v>
      </c>
      <c r="AO36" s="0" t="n">
        <f aca="false">S_PT(AO$2,$A36)</f>
        <v>6.96047103202144</v>
      </c>
      <c r="AP36" s="0" t="n">
        <f aca="false">S_PT(AP$2,$A36)</f>
        <v>6.90451250030337</v>
      </c>
      <c r="AQ36" s="0" t="n">
        <f aca="false">S_PT(AQ$2,$A36)</f>
        <v>6.5076693743426</v>
      </c>
      <c r="AR36" s="0" t="n">
        <f aca="false">S_PT(AR$2,$A36)</f>
        <v>6.44565959425043</v>
      </c>
      <c r="AS36" s="0" t="n">
        <f aca="false">S_PT(AS$2,$A36)</f>
        <v>6.41883207096586</v>
      </c>
    </row>
    <row r="37" customFormat="false" ht="13.8" hidden="false" customHeight="false" outlineLevel="0" collapsed="false">
      <c r="A37" s="0" t="n">
        <f aca="false">A36+100</f>
        <v>700</v>
      </c>
      <c r="B37" s="0" t="n">
        <f aca="false">S_PT(B$2,$A37)</f>
        <v>11.6951177746097</v>
      </c>
      <c r="C37" s="0" t="n">
        <f aca="false">S_PT(C$2,$A37)</f>
        <v>11.6252310179256</v>
      </c>
      <c r="D37" s="0" t="n">
        <f aca="false">S_PT(D$2,$A37)</f>
        <v>11.5645482908121</v>
      </c>
      <c r="E37" s="0" t="n">
        <f aca="false">S_PT(E$2,$A37)</f>
        <v>11.5109249720038</v>
      </c>
      <c r="F37" s="0" t="n">
        <f aca="false">S_PT(F$2,$A37)</f>
        <v>11.4628884018713</v>
      </c>
      <c r="G37" s="0" t="n">
        <f aca="false">S_PT(G$2,$A37)</f>
        <v>11.1456449980491</v>
      </c>
      <c r="H37" s="0" t="n">
        <f aca="false">S_PT(H$2,$A37)</f>
        <v>10.9593999870999</v>
      </c>
      <c r="I37" s="0" t="n">
        <f aca="false">S_PT(I$2,$A37)</f>
        <v>10.8270693901352</v>
      </c>
      <c r="J37" s="0" t="n">
        <f aca="false">S_PT(J$2,$A37)</f>
        <v>10.7243464804602</v>
      </c>
      <c r="K37" s="0" t="n">
        <f aca="false">S_PT(K$2,$A37)</f>
        <v>10.6403746370423</v>
      </c>
      <c r="L37" s="0" t="n">
        <f aca="false">S_PT(L$2,$A37)</f>
        <v>10.5693532993462</v>
      </c>
      <c r="M37" s="0" t="n">
        <f aca="false">S_PT(M$2,$A37)</f>
        <v>10.5078163558298</v>
      </c>
      <c r="N37" s="0" t="n">
        <f aca="false">S_PT(N$2,$A37)</f>
        <v>10.4535263863083</v>
      </c>
      <c r="O37" s="0" t="n">
        <f aca="false">S_PT(O$2,$A37)</f>
        <v>10.4049548174823</v>
      </c>
      <c r="P37" s="0" t="n">
        <f aca="false">S_PT(P$2,$A37)</f>
        <v>10.0852715769634</v>
      </c>
      <c r="Q37" s="0" t="n">
        <f aca="false">S_PT(Q$2,$A37)</f>
        <v>9.89818194776443</v>
      </c>
      <c r="R37" s="0" t="n">
        <f aca="false">S_PT(R$2,$A37)</f>
        <v>9.76540744409967</v>
      </c>
      <c r="S37" s="0" t="n">
        <f aca="false">S_PT(S$2,$A37)</f>
        <v>9.66240121809621</v>
      </c>
      <c r="T37" s="0" t="n">
        <f aca="false">S_PT(T$2,$A37)</f>
        <v>9.57822643780893</v>
      </c>
      <c r="U37" s="0" t="n">
        <f aca="false">S_PT(U$2,$A37)</f>
        <v>9.50704812472065</v>
      </c>
      <c r="V37" s="0" t="n">
        <f aca="false">S_PT(V$2,$A37)</f>
        <v>9.44538294453533</v>
      </c>
      <c r="W37" s="0" t="n">
        <f aca="false">S_PT(W$2,$A37)</f>
        <v>9.39098390342825</v>
      </c>
      <c r="X37" s="0" t="n">
        <f aca="false">S_PT(X$2,$A37)</f>
        <v>9.34231668146477</v>
      </c>
      <c r="Y37" s="0" t="n">
        <f aca="false">S_PT(Y$2,$A37)</f>
        <v>9.02197217017435</v>
      </c>
      <c r="Z37" s="0" t="n">
        <f aca="false">S_PT(Z$2,$A37)</f>
        <v>8.83438221701992</v>
      </c>
      <c r="AA37" s="0" t="n">
        <f aca="false">S_PT(AA$2,$A37)</f>
        <v>8.70114744765156</v>
      </c>
      <c r="AB37" s="0" t="n">
        <f aca="false">S_PT(AB$2,$A37)</f>
        <v>8.59769682418521</v>
      </c>
      <c r="AC37" s="0" t="n">
        <f aca="false">S_PT(AC$2,$A37)</f>
        <v>8.51308544969938</v>
      </c>
      <c r="AD37" s="0" t="n">
        <f aca="false">S_PT(AD$2,$A37)</f>
        <v>8.44147488890997</v>
      </c>
      <c r="AE37" s="0" t="n">
        <f aca="false">S_PT(AE$2,$A37)</f>
        <v>8.37938007906524</v>
      </c>
      <c r="AF37" s="0" t="n">
        <f aca="false">S_PT(AF$2,$A37)</f>
        <v>8.32455306609309</v>
      </c>
      <c r="AG37" s="0" t="n">
        <f aca="false">S_PT(AG$2,$A37)</f>
        <v>8.27545895394179</v>
      </c>
      <c r="AH37" s="0" t="n">
        <f aca="false">S_PT(AH$2,$A37)</f>
        <v>7.95086069085805</v>
      </c>
      <c r="AI37" s="0" t="n">
        <f aca="false">S_PT(AI$2,$A37)</f>
        <v>7.75900699158514</v>
      </c>
      <c r="AJ37" s="0" t="n">
        <f aca="false">S_PT(AJ$2,$A37)</f>
        <v>7.62148656285283</v>
      </c>
      <c r="AK37" s="0" t="n">
        <f aca="false">S_PT(AK$2,$A37)</f>
        <v>7.51372616012109</v>
      </c>
      <c r="AL37" s="0" t="n">
        <f aca="false">S_PT(AL$2,$A37)</f>
        <v>7.4247803232504</v>
      </c>
      <c r="AM37" s="0" t="n">
        <f aca="false">S_PT(AM$2,$A37)</f>
        <v>7.34881054432753</v>
      </c>
      <c r="AN37" s="0" t="n">
        <f aca="false">S_PT(AN$2,$A37)</f>
        <v>7.28233189023351</v>
      </c>
      <c r="AO37" s="0" t="n">
        <f aca="false">S_PT(AO$2,$A37)</f>
        <v>7.22309664256392</v>
      </c>
      <c r="AP37" s="0" t="n">
        <f aca="false">S_PT(AP$2,$A37)</f>
        <v>7.1695702083546</v>
      </c>
      <c r="AQ37" s="0" t="n">
        <f aca="false">S_PT(AQ$2,$A37)</f>
        <v>6.79941906044832</v>
      </c>
      <c r="AR37" s="0" t="n">
        <f aca="false">S_PT(AR$2,$A37)</f>
        <v>6.74346855536493</v>
      </c>
      <c r="AS37" s="0" t="n">
        <f aca="false">S_PT(AS$2,$A37)</f>
        <v>6.71945012958233</v>
      </c>
    </row>
    <row r="38" customFormat="false" ht="13.8" hidden="false" customHeight="false" outlineLevel="0" collapsed="false">
      <c r="A38" s="0" t="n">
        <f aca="false">A37+100</f>
        <v>800</v>
      </c>
      <c r="B38" s="0" t="n">
        <f aca="false">S_PT(B$2,$A38)</f>
        <v>11.9207196815498</v>
      </c>
      <c r="C38" s="0" t="n">
        <f aca="false">S_PT(C$2,$A38)</f>
        <v>11.8508330538661</v>
      </c>
      <c r="D38" s="0" t="n">
        <f aca="false">S_PT(D$2,$A38)</f>
        <v>11.7901504557532</v>
      </c>
      <c r="E38" s="0" t="n">
        <f aca="false">S_PT(E$2,$A38)</f>
        <v>11.7365272659455</v>
      </c>
      <c r="F38" s="0" t="n">
        <f aca="false">S_PT(F$2,$A38)</f>
        <v>11.6884908248136</v>
      </c>
      <c r="G38" s="0" t="n">
        <f aca="false">S_PT(G$2,$A38)</f>
        <v>11.3712487110045</v>
      </c>
      <c r="H38" s="0" t="n">
        <f aca="false">S_PT(H$2,$A38)</f>
        <v>11.1850049900792</v>
      </c>
      <c r="I38" s="0" t="n">
        <f aca="false">S_PT(I$2,$A38)</f>
        <v>11.0526756831493</v>
      </c>
      <c r="J38" s="0" t="n">
        <f aca="false">S_PT(J$2,$A38)</f>
        <v>10.94995406352</v>
      </c>
      <c r="K38" s="0" t="n">
        <f aca="false">S_PT(K$2,$A38)</f>
        <v>10.8659835101586</v>
      </c>
      <c r="L38" s="0" t="n">
        <f aca="false">S_PT(L$2,$A38)</f>
        <v>10.7949634625299</v>
      </c>
      <c r="M38" s="0" t="n">
        <f aca="false">S_PT(M$2,$A38)</f>
        <v>10.7334278090918</v>
      </c>
      <c r="N38" s="0" t="n">
        <f aca="false">S_PT(N$2,$A38)</f>
        <v>10.6791391296595</v>
      </c>
      <c r="O38" s="0" t="n">
        <f aca="false">S_PT(O$2,$A38)</f>
        <v>10.6305688509336</v>
      </c>
      <c r="P38" s="0" t="n">
        <f aca="false">S_PT(P$2,$A38)</f>
        <v>10.3108985120138</v>
      </c>
      <c r="Q38" s="0" t="n">
        <f aca="false">S_PT(Q$2,$A38)</f>
        <v>10.1238217855025</v>
      </c>
      <c r="R38" s="0" t="n">
        <f aca="false">S_PT(R$2,$A38)</f>
        <v>9.99106018561422</v>
      </c>
      <c r="S38" s="0" t="n">
        <f aca="false">S_PT(S$2,$A38)</f>
        <v>9.8880668644766</v>
      </c>
      <c r="T38" s="0" t="n">
        <f aca="false">S_PT(T$2,$A38)</f>
        <v>9.80390499014495</v>
      </c>
      <c r="U38" s="0" t="n">
        <f aca="false">S_PT(U$2,$A38)</f>
        <v>9.7327395841025</v>
      </c>
      <c r="V38" s="0" t="n">
        <f aca="false">S_PT(V$2,$A38)</f>
        <v>9.67108731205367</v>
      </c>
      <c r="W38" s="0" t="n">
        <f aca="false">S_PT(W$2,$A38)</f>
        <v>9.61670118017417</v>
      </c>
      <c r="X38" s="0" t="n">
        <f aca="false">S_PT(X$2,$A38)</f>
        <v>9.56804686852979</v>
      </c>
      <c r="Y38" s="0" t="n">
        <f aca="false">S_PT(Y$2,$A38)</f>
        <v>9.24783152055995</v>
      </c>
      <c r="Z38" s="0" t="n">
        <f aca="false">S_PT(Z$2,$A38)</f>
        <v>9.06037084035588</v>
      </c>
      <c r="AA38" s="0" t="n">
        <f aca="false">S_PT(AA$2,$A38)</f>
        <v>8.92726545399834</v>
      </c>
      <c r="AB38" s="0" t="n">
        <f aca="false">S_PT(AB$2,$A38)</f>
        <v>8.82394432403061</v>
      </c>
      <c r="AC38" s="0" t="n">
        <f aca="false">S_PT(AC$2,$A38)</f>
        <v>8.73946255395518</v>
      </c>
      <c r="AD38" s="0" t="n">
        <f aca="false">S_PT(AD$2,$A38)</f>
        <v>8.66798170890857</v>
      </c>
      <c r="AE38" s="0" t="n">
        <f aca="false">S_PT(AE$2,$A38)</f>
        <v>8.60601672655626</v>
      </c>
      <c r="AF38" s="0" t="n">
        <f aca="false">S_PT(AF$2,$A38)</f>
        <v>8.55131965324009</v>
      </c>
      <c r="AG38" s="0" t="n">
        <f aca="false">S_PT(AG$2,$A38)</f>
        <v>8.50235559331883</v>
      </c>
      <c r="AH38" s="0" t="n">
        <f aca="false">S_PT(AH$2,$A38)</f>
        <v>8.17906413202653</v>
      </c>
      <c r="AI38" s="0" t="n">
        <f aca="false">S_PT(AI$2,$A38)</f>
        <v>7.98852891861106</v>
      </c>
      <c r="AJ38" s="0" t="n">
        <f aca="false">S_PT(AJ$2,$A38)</f>
        <v>7.85233901495888</v>
      </c>
      <c r="AK38" s="0" t="n">
        <f aca="false">S_PT(AK$2,$A38)</f>
        <v>7.74592149818568</v>
      </c>
      <c r="AL38" s="0" t="n">
        <f aca="false">S_PT(AL$2,$A38)</f>
        <v>7.65833119638753</v>
      </c>
      <c r="AM38" s="0" t="n">
        <f aca="false">S_PT(AM$2,$A38)</f>
        <v>7.58372985657417</v>
      </c>
      <c r="AN38" s="0" t="n">
        <f aca="false">S_PT(AN$2,$A38)</f>
        <v>7.51863276737149</v>
      </c>
      <c r="AO38" s="0" t="n">
        <f aca="false">S_PT(AO$2,$A38)</f>
        <v>7.46079239910313</v>
      </c>
      <c r="AP38" s="0" t="n">
        <f aca="false">S_PT(AP$2,$A38)</f>
        <v>7.40867431470433</v>
      </c>
      <c r="AQ38" s="0" t="n">
        <f aca="false">S_PT(AQ$2,$A38)</f>
        <v>7.05335887377168</v>
      </c>
      <c r="AR38" s="0" t="n">
        <f aca="false">S_PT(AR$2,$A38)</f>
        <v>7.00063749445434</v>
      </c>
      <c r="AS38" s="0" t="n">
        <f aca="false">S_PT(AS$2,$A38)</f>
        <v>6.97810142039701</v>
      </c>
    </row>
    <row r="39" customFormat="false" ht="13.8" hidden="false" customHeight="false" outlineLevel="0" collapsed="false">
      <c r="A39" s="0" t="n">
        <f aca="false">A38+100</f>
        <v>900</v>
      </c>
      <c r="B39" s="0" t="n">
        <f aca="false">S_PT(B$2,$A39)</f>
        <v>12.1325009067744</v>
      </c>
      <c r="C39" s="0" t="n">
        <f aca="false">S_PT(C$2,$A39)</f>
        <v>12.0626143587995</v>
      </c>
      <c r="D39" s="0" t="n">
        <f aca="false">S_PT(D$2,$A39)</f>
        <v>12.0019318403956</v>
      </c>
      <c r="E39" s="0" t="n">
        <f aca="false">S_PT(E$2,$A39)</f>
        <v>11.9483087302969</v>
      </c>
      <c r="F39" s="0" t="n">
        <f aca="false">S_PT(F$2,$A39)</f>
        <v>11.9002723688742</v>
      </c>
      <c r="G39" s="0" t="n">
        <f aca="false">S_PT(G$2,$A39)</f>
        <v>11.5830310521612</v>
      </c>
      <c r="H39" s="0" t="n">
        <f aca="false">S_PT(H$2,$A39)</f>
        <v>11.3967881283409</v>
      </c>
      <c r="I39" s="0" t="n">
        <f aca="false">S_PT(I$2,$A39)</f>
        <v>11.2644596185248</v>
      </c>
      <c r="J39" s="0" t="n">
        <f aca="false">S_PT(J$2,$A39)</f>
        <v>11.1617387960182</v>
      </c>
      <c r="K39" s="0" t="n">
        <f aca="false">S_PT(K$2,$A39)</f>
        <v>11.0777690397883</v>
      </c>
      <c r="L39" s="0" t="n">
        <f aca="false">S_PT(L$2,$A39)</f>
        <v>11.0067497893</v>
      </c>
      <c r="M39" s="0" t="n">
        <f aca="false">S_PT(M$2,$A39)</f>
        <v>10.9452149330111</v>
      </c>
      <c r="N39" s="0" t="n">
        <f aca="false">S_PT(N$2,$A39)</f>
        <v>10.8909270507368</v>
      </c>
      <c r="O39" s="0" t="n">
        <f aca="false">S_PT(O$2,$A39)</f>
        <v>10.8423575691777</v>
      </c>
      <c r="P39" s="0" t="n">
        <f aca="false">S_PT(P$2,$A39)</f>
        <v>10.5226952024123</v>
      </c>
      <c r="Q39" s="0" t="n">
        <f aca="false">S_PT(Q$2,$A39)</f>
        <v>10.3356264489388</v>
      </c>
      <c r="R39" s="0" t="n">
        <f aca="false">S_PT(R$2,$A39)</f>
        <v>10.2028728229716</v>
      </c>
      <c r="S39" s="0" t="n">
        <f aca="false">S_PT(S$2,$A39)</f>
        <v>10.0998874766383</v>
      </c>
      <c r="T39" s="0" t="n">
        <f aca="false">S_PT(T$2,$A39)</f>
        <v>10.0157335779941</v>
      </c>
      <c r="U39" s="0" t="n">
        <f aca="false">S_PT(U$2,$A39)</f>
        <v>9.94457614852202</v>
      </c>
      <c r="V39" s="0" t="n">
        <f aca="false">S_PT(V$2,$A39)</f>
        <v>9.88293185392647</v>
      </c>
      <c r="W39" s="0" t="n">
        <f aca="false">S_PT(W$2,$A39)</f>
        <v>9.82855370038303</v>
      </c>
      <c r="X39" s="0" t="n">
        <f aca="false">S_PT(X$2,$A39)</f>
        <v>9.77990736795737</v>
      </c>
      <c r="Y39" s="0" t="n">
        <f aca="false">S_PT(Y$2,$A39)</f>
        <v>9.45977186069849</v>
      </c>
      <c r="Z39" s="0" t="n">
        <f aca="false">S_PT(Z$2,$A39)</f>
        <v>9.27239110935636</v>
      </c>
      <c r="AA39" s="0" t="n">
        <f aca="false">S_PT(AA$2,$A39)</f>
        <v>9.13936573990652</v>
      </c>
      <c r="AB39" s="0" t="n">
        <f aca="false">S_PT(AB$2,$A39)</f>
        <v>9.03612471478743</v>
      </c>
      <c r="AC39" s="0" t="n">
        <f aca="false">S_PT(AC$2,$A39)</f>
        <v>8.95172313739709</v>
      </c>
      <c r="AD39" s="0" t="n">
        <f aca="false">S_PT(AD$2,$A39)</f>
        <v>8.88032257276795</v>
      </c>
      <c r="AE39" s="0" t="n">
        <f aca="false">S_PT(AE$2,$A39)</f>
        <v>8.81843795846183</v>
      </c>
      <c r="AF39" s="0" t="n">
        <f aca="false">S_PT(AF$2,$A39)</f>
        <v>8.76382134071722</v>
      </c>
      <c r="AG39" s="0" t="n">
        <f aca="false">S_PT(AG$2,$A39)</f>
        <v>8.71493782379</v>
      </c>
      <c r="AH39" s="0" t="n">
        <f aca="false">S_PT(AH$2,$A39)</f>
        <v>8.39245657830377</v>
      </c>
      <c r="AI39" s="0" t="n">
        <f aca="false">S_PT(AI$2,$A39)</f>
        <v>8.2027402125671</v>
      </c>
      <c r="AJ39" s="0" t="n">
        <f aca="false">S_PT(AJ$2,$A39)</f>
        <v>8.06737769186243</v>
      </c>
      <c r="AK39" s="0" t="n">
        <f aca="false">S_PT(AK$2,$A39)</f>
        <v>7.96179600053303</v>
      </c>
      <c r="AL39" s="0" t="n">
        <f aca="false">S_PT(AL$2,$A39)</f>
        <v>7.87504987773429</v>
      </c>
      <c r="AM39" s="0" t="n">
        <f aca="false">S_PT(AM$2,$A39)</f>
        <v>7.80130098536728</v>
      </c>
      <c r="AN39" s="0" t="n">
        <f aca="false">S_PT(AN$2,$A39)</f>
        <v>7.73706453078152</v>
      </c>
      <c r="AO39" s="0" t="n">
        <f aca="false">S_PT(AO$2,$A39)</f>
        <v>7.68009290685679</v>
      </c>
      <c r="AP39" s="0" t="n">
        <f aca="false">S_PT(AP$2,$A39)</f>
        <v>2015</v>
      </c>
      <c r="AQ39" s="0" t="n">
        <f aca="false">S_PT(AQ$2,$A39)</f>
        <v>2015</v>
      </c>
      <c r="AR39" s="0" t="n">
        <f aca="false">S_PT(AR$2,$A39)</f>
        <v>2015</v>
      </c>
      <c r="AS39" s="0" t="n">
        <f aca="false">S_PT(AS$2,$A39)</f>
        <v>2015</v>
      </c>
    </row>
    <row r="40" customFormat="false" ht="13.8" hidden="false" customHeight="false" outlineLevel="0" collapsed="false">
      <c r="A40" s="0" t="n">
        <f aca="false">A39+100</f>
        <v>1000</v>
      </c>
      <c r="B40" s="0" t="n">
        <f aca="false">S_PT(B$2,$A40)</f>
        <v>12.3323941096155</v>
      </c>
      <c r="C40" s="0" t="n">
        <f aca="false">S_PT(C$2,$A40)</f>
        <v>12.2625076187975</v>
      </c>
      <c r="D40" s="0" t="n">
        <f aca="false">S_PT(D$2,$A40)</f>
        <v>12.2018251575505</v>
      </c>
      <c r="E40" s="0" t="n">
        <f aca="false">S_PT(E$2,$A40)</f>
        <v>12.1482021046089</v>
      </c>
      <c r="F40" s="0" t="n">
        <f aca="false">S_PT(F$2,$A40)</f>
        <v>12.1001658003432</v>
      </c>
      <c r="G40" s="0" t="n">
        <f aca="false">S_PT(G$2,$A40)</f>
        <v>11.7829250552025</v>
      </c>
      <c r="H40" s="0" t="n">
        <f aca="false">S_PT(H$2,$A40)</f>
        <v>11.5966827029581</v>
      </c>
      <c r="I40" s="0" t="n">
        <f aca="false">S_PT(I$2,$A40)</f>
        <v>11.4643547647216</v>
      </c>
      <c r="J40" s="0" t="n">
        <f aca="false">S_PT(J$2,$A40)</f>
        <v>11.3616345137981</v>
      </c>
      <c r="K40" s="0" t="n">
        <f aca="false">S_PT(K$2,$A40)</f>
        <v>11.2776653291551</v>
      </c>
      <c r="L40" s="0" t="n">
        <f aca="false">S_PT(L$2,$A40)</f>
        <v>11.2066466502572</v>
      </c>
      <c r="M40" s="0" t="n">
        <f aca="false">S_PT(M$2,$A40)</f>
        <v>11.1451123655624</v>
      </c>
      <c r="N40" s="0" t="n">
        <f aca="false">S_PT(N$2,$A40)</f>
        <v>11.0908250548858</v>
      </c>
      <c r="O40" s="0" t="n">
        <f aca="false">S_PT(O$2,$A40)</f>
        <v>11.042256144928</v>
      </c>
      <c r="P40" s="0" t="n">
        <f aca="false">S_PT(P$2,$A40)</f>
        <v>10.7225994943758</v>
      </c>
      <c r="Q40" s="0" t="n">
        <f aca="false">S_PT(Q$2,$A40)</f>
        <v>10.5355364574783</v>
      </c>
      <c r="R40" s="0" t="n">
        <f aca="false">S_PT(R$2,$A40)</f>
        <v>10.4027885484501</v>
      </c>
      <c r="S40" s="0" t="n">
        <f aca="false">S_PT(S$2,$A40)</f>
        <v>10.2998089194185</v>
      </c>
      <c r="T40" s="0" t="n">
        <f aca="false">S_PT(T$2,$A40)</f>
        <v>10.2156607384386</v>
      </c>
      <c r="U40" s="0" t="n">
        <f aca="false">S_PT(U$2,$A40)</f>
        <v>10.1445090269936</v>
      </c>
      <c r="V40" s="0" t="n">
        <f aca="false">S_PT(V$2,$A40)</f>
        <v>10.0828704507875</v>
      </c>
      <c r="W40" s="0" t="n">
        <f aca="false">S_PT(W$2,$A40)</f>
        <v>10.0284980159959</v>
      </c>
      <c r="X40" s="0" t="n">
        <f aca="false">S_PT(X$2,$A40)</f>
        <v>9.97985740268435</v>
      </c>
      <c r="Y40" s="0" t="n">
        <f aca="false">S_PT(Y$2,$A40)</f>
        <v>9.65977910647168</v>
      </c>
      <c r="Z40" s="0" t="n">
        <f aca="false">S_PT(Z$2,$A40)</f>
        <v>9.47245560229888</v>
      </c>
      <c r="AA40" s="0" t="n">
        <f aca="false">S_PT(AA$2,$A40)</f>
        <v>9.33948751604508</v>
      </c>
      <c r="AB40" s="0" t="n">
        <f aca="false">S_PT(AB$2,$A40)</f>
        <v>9.23630381005227</v>
      </c>
      <c r="AC40" s="0" t="n">
        <f aca="false">S_PT(AC$2,$A40)</f>
        <v>9.15195958762205</v>
      </c>
      <c r="AD40" s="0" t="n">
        <f aca="false">S_PT(AD$2,$A40)</f>
        <v>9.08061641369041</v>
      </c>
      <c r="AE40" s="0" t="n">
        <f aca="false">S_PT(AE$2,$A40)</f>
        <v>9.01878922572274</v>
      </c>
      <c r="AF40" s="0" t="n">
        <f aca="false">S_PT(AF$2,$A40)</f>
        <v>8.9642300698611</v>
      </c>
      <c r="AG40" s="0" t="n">
        <f aca="false">S_PT(AG$2,$A40)</f>
        <v>8.91540405026493</v>
      </c>
      <c r="AH40" s="0" t="n">
        <f aca="false">S_PT(AH$2,$A40)</f>
        <v>8.59349970651777</v>
      </c>
      <c r="AI40" s="0" t="n">
        <f aca="false">S_PT(AI$2,$A40)</f>
        <v>8.40436368124912</v>
      </c>
      <c r="AJ40" s="0" t="n">
        <f aca="false">S_PT(AJ$2,$A40)</f>
        <v>8.26958484330585</v>
      </c>
      <c r="AK40" s="0" t="n">
        <f aca="false">S_PT(AK$2,$A40)</f>
        <v>8.16459008059569</v>
      </c>
      <c r="AL40" s="0" t="n">
        <f aca="false">S_PT(AL$2,$A40)</f>
        <v>8.07843403583845</v>
      </c>
      <c r="AM40" s="0" t="n">
        <f aca="false">S_PT(AM$2,$A40)</f>
        <v>8.0052782744997</v>
      </c>
      <c r="AN40" s="0" t="n">
        <f aca="false">S_PT(AN$2,$A40)</f>
        <v>7.94163790749338</v>
      </c>
      <c r="AO40" s="0" t="n">
        <f aca="false">S_PT(AO$2,$A40)</f>
        <v>7.88526523126371</v>
      </c>
      <c r="AP40" s="0" t="n">
        <f aca="false">S_PT(AP$2,$A40)</f>
        <v>2015</v>
      </c>
      <c r="AQ40" s="0" t="n">
        <f aca="false">S_PT(AQ$2,$A40)</f>
        <v>2015</v>
      </c>
      <c r="AR40" s="0" t="n">
        <f aca="false">S_PT(AR$2,$A40)</f>
        <v>2015</v>
      </c>
      <c r="AS40" s="0" t="n">
        <f aca="false">S_PT(AS$2,$A40)</f>
        <v>2015</v>
      </c>
    </row>
    <row r="41" customFormat="false" ht="13.8" hidden="false" customHeight="false" outlineLevel="0" collapsed="false"/>
    <row r="42" customFormat="false" ht="13.8" hidden="false" customHeight="false" outlineLevel="0" collapsed="false"/>
    <row r="43" customFormat="false" ht="13.8" hidden="false" customHeight="false" outlineLevel="0" collapsed="false"/>
    <row r="44" customFormat="false" ht="13.8" hidden="false" customHeight="false" outlineLevel="0" collapsed="false"/>
    <row r="45" customFormat="false" ht="13.8" hidden="false" customHeight="false" outlineLevel="0" collapsed="false"/>
    <row r="46" customFormat="false" ht="13.8" hidden="false" customHeight="false" outlineLevel="0" collapsed="false"/>
  </sheetData>
  <printOptions headings="false" gridLines="false" gridLinesSet="true" horizontalCentered="false" verticalCentered="false"/>
  <pageMargins left="0.7875" right="0.7875" top="1.05277777777778" bottom="1.05277777777778" header="0.7875" footer="0.787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>&amp;C&amp;"Times New Roman,Regular"&amp;12&amp;A</oddHeader>
    <oddFooter>&amp;C&amp;"Times New Roman,Regular"&amp;12Page &amp;P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127</TotalTime>
  <Application>LibreOffice/6.0.2.1$Windows_X86_64 LibreOffice_project/f7f06a8f319e4b62f9bc5095aa112a65d2f3ac89</Application>
  <Company>Mechanical Engineering</Company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2007-09-20T16:33:49Z</dcterms:created>
  <dc:creator>kwoodbury</dc:creator>
  <dc:description/>
  <dc:language>en-US</dc:language>
  <cp:lastModifiedBy/>
  <dcterms:modified xsi:type="dcterms:W3CDTF">2018-08-03T18:20:32Z</dcterms:modified>
  <cp:revision>16</cp:revision>
  <dc:subject/>
  <dc:title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12.0000</vt:lpwstr>
  </property>
  <property fmtid="{D5CDD505-2E9C-101B-9397-08002B2CF9AE}" pid="3" name="Company">
    <vt:lpwstr>Mechanical Engineering</vt:lpwstr>
  </property>
  <property fmtid="{D5CDD505-2E9C-101B-9397-08002B2CF9AE}" pid="4" name="DocSecurity">
    <vt:i4>0</vt:i4>
  </property>
  <property fmtid="{D5CDD505-2E9C-101B-9397-08002B2CF9AE}" pid="5" name="HyperlinksChanged">
    <vt:bool>0</vt:bool>
  </property>
  <property fmtid="{D5CDD505-2E9C-101B-9397-08002B2CF9AE}" pid="6" name="LinksUpToDate">
    <vt:bool>0</vt:bool>
  </property>
  <property fmtid="{D5CDD505-2E9C-101B-9397-08002B2CF9AE}" pid="7" name="ScaleCrop">
    <vt:bool>0</vt:bool>
  </property>
  <property fmtid="{D5CDD505-2E9C-101B-9397-08002B2CF9AE}" pid="8" name="ShareDoc">
    <vt:bool>0</vt:bool>
  </property>
</Properties>
</file>